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xr:revisionPtr revIDLastSave="6" documentId="8_{62789C74-79EA-4132-82DC-AD99031E0054}" xr6:coauthVersionLast="47" xr6:coauthVersionMax="47" xr10:uidLastSave="{54652BE0-C25C-496E-84CF-A3B34D98DB5F}"/>
  <bookViews>
    <workbookView xWindow="-96" yWindow="-96" windowWidth="23232" windowHeight="13872" xr2:uid="{00000000-000D-0000-FFFF-FFFF00000000}"/>
  </bookViews>
  <sheets>
    <sheet name="Introduction" sheetId="72" r:id="rId1"/>
    <sheet name="Guide" sheetId="75" r:id="rId2"/>
    <sheet name="KQ_all" sheetId="61" r:id="rId3"/>
    <sheet name="KQ_StructuralRegressionY" sheetId="70" state="hidden" r:id="rId4"/>
    <sheet name="KQ_StructuralRegressionF" sheetId="69" state="hidden" r:id="rId5"/>
    <sheet name="KE_all" sheetId="60" r:id="rId6"/>
    <sheet name="KE_Energy" sheetId="8" r:id="rId7"/>
    <sheet name="KE_Structural" sheetId="66" r:id="rId8"/>
    <sheet name="KR_Preservation" sheetId="62" r:id="rId9"/>
    <sheet name="KQ_WWR" sheetId="14" state="hidden" r:id="rId10"/>
    <sheet name="KQ_NettoBrutto" sheetId="52" state="hidden" r:id="rId11"/>
    <sheet name="KQ_InnerWall" sheetId="13" state="hidden" r:id="rId12"/>
    <sheet name="KQ_CoreWall" sheetId="37" state="hidden" r:id="rId13"/>
    <sheet name="KQ_Heating" sheetId="76" state="hidden" r:id="rId14"/>
    <sheet name="KQ_Electricity" sheetId="77" state="hidden" r:id="rId15"/>
    <sheet name="KQ_ElectricityA5" sheetId="64" state="hidden" r:id="rId16"/>
    <sheet name="KQ_DieselA5" sheetId="65" state="hidden" r:id="rId17"/>
    <sheet name="KE_Facade" sheetId="58" state="hidden" r:id="rId18"/>
    <sheet name="KE_FacadeBasement" sheetId="44" state="hidden" r:id="rId19"/>
    <sheet name="KE_GroundSlap" sheetId="42" state="hidden" r:id="rId20"/>
    <sheet name="KE_BasementGroundSlap" sheetId="43" state="hidden" r:id="rId21"/>
    <sheet name="KE_Roof" sheetId="45" state="hidden" r:id="rId22"/>
    <sheet name="KE_Window" sheetId="59" state="hidden" r:id="rId23"/>
    <sheet name="KE_CoreWall" sheetId="39" state="hidden" r:id="rId24"/>
    <sheet name="KE_InnerWall" sheetId="47" state="hidden" r:id="rId25"/>
    <sheet name="KE_FireWall" sheetId="71" state="hidden" r:id="rId26"/>
    <sheet name="KE_Floor" sheetId="48" state="hidden" r:id="rId27"/>
    <sheet name="KE_Ceiling" sheetId="49" state="hidden" r:id="rId28"/>
    <sheet name="KE_Utilities" sheetId="50" state="hidden" r:id="rId29"/>
    <sheet name="KE_Stairs" sheetId="51" state="hidden" r:id="rId30"/>
    <sheet name="KE_ElevatorMeter" sheetId="53" state="hidden" r:id="rId31"/>
    <sheet name="KE_ElevatorCounts" sheetId="54" state="hidden" r:id="rId32"/>
    <sheet name="Plan22-data" sheetId="10" state="hidden" r:id="rId33"/>
    <sheet name="KE_StructuralData" sheetId="32" state="hidden" r:id="rId34"/>
    <sheet name="Guide_StructuralRegressionModel" sheetId="78" state="hidden" r:id="rId3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 i="14" l="1"/>
  <c r="B14" i="14"/>
  <c r="C13" i="14"/>
  <c r="B13" i="14"/>
  <c r="C12" i="14"/>
  <c r="B12" i="14"/>
  <c r="C11" i="14"/>
  <c r="B11" i="14"/>
  <c r="C10" i="14"/>
  <c r="B10" i="14"/>
  <c r="C9" i="14"/>
  <c r="B9" i="14"/>
  <c r="C8" i="14"/>
  <c r="B8" i="14"/>
  <c r="C7" i="14"/>
  <c r="B7" i="14"/>
  <c r="C6" i="14"/>
  <c r="B6" i="14"/>
  <c r="C5" i="14"/>
  <c r="B5" i="14"/>
  <c r="C4" i="14"/>
  <c r="B4" i="14"/>
  <c r="C3" i="14"/>
  <c r="B3" i="14"/>
  <c r="I14" i="77"/>
  <c r="H14" i="77"/>
  <c r="C14" i="77"/>
  <c r="B14" i="77"/>
  <c r="I13" i="77"/>
  <c r="H13" i="77"/>
  <c r="C13" i="77"/>
  <c r="B13" i="77"/>
  <c r="I12" i="77"/>
  <c r="H12" i="77"/>
  <c r="C12" i="77"/>
  <c r="B12" i="77"/>
  <c r="I11" i="77"/>
  <c r="H11" i="77"/>
  <c r="C11" i="77"/>
  <c r="B11" i="77"/>
  <c r="I10" i="77"/>
  <c r="H10" i="77"/>
  <c r="C10" i="77"/>
  <c r="B10" i="77"/>
  <c r="I9" i="77"/>
  <c r="H9" i="77"/>
  <c r="C9" i="77"/>
  <c r="B9" i="77"/>
  <c r="I8" i="77"/>
  <c r="H8" i="77"/>
  <c r="C8" i="77"/>
  <c r="B8" i="77"/>
  <c r="I7" i="77"/>
  <c r="H7" i="77"/>
  <c r="C7" i="77"/>
  <c r="B7" i="77"/>
  <c r="I6" i="77"/>
  <c r="H6" i="77"/>
  <c r="C6" i="77"/>
  <c r="B6" i="77"/>
  <c r="I5" i="77"/>
  <c r="H5" i="77"/>
  <c r="C5" i="77"/>
  <c r="B5" i="77"/>
  <c r="I4" i="77"/>
  <c r="H4" i="77"/>
  <c r="C4" i="77"/>
  <c r="B4" i="77"/>
  <c r="I3" i="77"/>
  <c r="H3" i="77"/>
  <c r="C3" i="77"/>
  <c r="B3" i="77"/>
  <c r="I14" i="76"/>
  <c r="H14" i="76"/>
  <c r="I13" i="76"/>
  <c r="H13" i="76"/>
  <c r="C13" i="76"/>
  <c r="B13" i="76"/>
  <c r="I12" i="76"/>
  <c r="H12" i="76"/>
  <c r="C12" i="76"/>
  <c r="B12" i="76"/>
  <c r="I11" i="76"/>
  <c r="H11" i="76"/>
  <c r="C11" i="76"/>
  <c r="B11" i="76"/>
  <c r="I10" i="76"/>
  <c r="H10" i="76"/>
  <c r="C10" i="76"/>
  <c r="B10" i="76"/>
  <c r="I9" i="76"/>
  <c r="H9" i="76"/>
  <c r="C9" i="76"/>
  <c r="B9" i="76"/>
  <c r="I8" i="76"/>
  <c r="H8" i="76"/>
  <c r="C8" i="76"/>
  <c r="B8" i="76"/>
  <c r="I7" i="76"/>
  <c r="H7" i="76"/>
  <c r="C7" i="76"/>
  <c r="B7" i="76"/>
  <c r="I6" i="76"/>
  <c r="H6" i="76"/>
  <c r="C6" i="76"/>
  <c r="B6" i="76"/>
  <c r="I5" i="76"/>
  <c r="H5" i="76"/>
  <c r="C5" i="76"/>
  <c r="B5" i="76"/>
  <c r="I4" i="76"/>
  <c r="H4" i="76"/>
  <c r="C4" i="76"/>
  <c r="B4" i="76"/>
  <c r="I3" i="76"/>
  <c r="H3" i="76"/>
  <c r="C3" i="76"/>
  <c r="B3" i="76"/>
  <c r="W99" i="10"/>
  <c r="W98" i="10"/>
  <c r="W97" i="10"/>
  <c r="W96" i="10"/>
  <c r="W95" i="10"/>
  <c r="W94" i="10"/>
  <c r="W93" i="10"/>
  <c r="W92" i="10"/>
  <c r="W91" i="10"/>
  <c r="W90" i="10"/>
  <c r="W89" i="10"/>
  <c r="W88" i="10"/>
  <c r="W87" i="10"/>
  <c r="W86" i="10"/>
  <c r="W85" i="10"/>
  <c r="W84" i="10"/>
  <c r="W83" i="10"/>
  <c r="W82" i="10"/>
  <c r="W81" i="10"/>
  <c r="W80" i="10"/>
  <c r="W79" i="10"/>
  <c r="W78" i="10"/>
  <c r="W77" i="10"/>
  <c r="W76" i="10"/>
  <c r="W75" i="10"/>
  <c r="W74" i="10"/>
  <c r="W73" i="10"/>
  <c r="W72" i="10"/>
  <c r="W71" i="10"/>
  <c r="W70" i="10"/>
  <c r="W69" i="10"/>
  <c r="W68" i="10"/>
  <c r="W67" i="10"/>
  <c r="W66" i="10"/>
  <c r="W65" i="10"/>
  <c r="W64" i="10"/>
  <c r="W63" i="10"/>
  <c r="W62" i="10"/>
  <c r="W61" i="10"/>
  <c r="W60" i="10"/>
  <c r="W59" i="10"/>
  <c r="W58" i="10"/>
  <c r="W57" i="10"/>
  <c r="W56" i="10"/>
  <c r="W55" i="10"/>
  <c r="W54" i="10"/>
  <c r="W53" i="10"/>
  <c r="W52" i="10"/>
  <c r="W51" i="10"/>
  <c r="W50" i="10"/>
  <c r="W49" i="10"/>
  <c r="W48" i="10"/>
  <c r="W47" i="10"/>
  <c r="W46" i="10"/>
  <c r="W45" i="10"/>
  <c r="W44" i="10"/>
  <c r="W43" i="10"/>
  <c r="W42" i="10"/>
  <c r="W41" i="10"/>
  <c r="W40" i="10"/>
  <c r="W39" i="10"/>
  <c r="W38" i="10"/>
  <c r="W37" i="10"/>
  <c r="W36" i="10"/>
  <c r="W35" i="10"/>
  <c r="W34" i="10"/>
  <c r="W33" i="10"/>
  <c r="W32" i="10"/>
  <c r="W31" i="10"/>
  <c r="W30" i="10"/>
  <c r="W29" i="10"/>
  <c r="W28" i="10"/>
  <c r="W27" i="10"/>
  <c r="W26" i="10"/>
  <c r="W25" i="10"/>
  <c r="W24" i="10"/>
  <c r="W23" i="10"/>
  <c r="W22" i="10"/>
  <c r="W21" i="10"/>
  <c r="W20" i="10"/>
  <c r="W19" i="10"/>
  <c r="W18" i="10"/>
  <c r="W17" i="10"/>
  <c r="W16" i="10"/>
  <c r="W15" i="10"/>
  <c r="W14" i="10"/>
  <c r="W13" i="10"/>
  <c r="W12" i="10"/>
  <c r="W11" i="10"/>
  <c r="W10" i="10"/>
  <c r="W9" i="10"/>
  <c r="W8" i="10"/>
  <c r="W7" i="10"/>
  <c r="W6" i="10"/>
  <c r="W5" i="10"/>
  <c r="W4" i="10"/>
  <c r="I3" i="32"/>
  <c r="I14" i="71"/>
  <c r="H14" i="71"/>
  <c r="I13" i="71"/>
  <c r="H13" i="71"/>
  <c r="I12" i="71"/>
  <c r="H12" i="71"/>
  <c r="I11" i="71"/>
  <c r="H11" i="71"/>
  <c r="I10" i="71"/>
  <c r="H10" i="71"/>
  <c r="I9" i="71"/>
  <c r="H9" i="71"/>
  <c r="I8" i="71"/>
  <c r="H8" i="71"/>
  <c r="I7" i="71"/>
  <c r="H7" i="71"/>
  <c r="I6" i="71"/>
  <c r="H6" i="71"/>
  <c r="I5" i="71"/>
  <c r="H5" i="71"/>
  <c r="I4" i="71"/>
  <c r="H4" i="71"/>
  <c r="I3" i="71"/>
  <c r="H3" i="71"/>
  <c r="U2" i="60"/>
  <c r="U1" i="60" s="1"/>
  <c r="T1" i="60"/>
  <c r="S2" i="61"/>
  <c r="R1" i="61"/>
  <c r="Q2" i="61"/>
  <c r="P1" i="61"/>
  <c r="I14" i="65"/>
  <c r="H14" i="65"/>
  <c r="I13" i="65"/>
  <c r="H13" i="65"/>
  <c r="I12" i="65"/>
  <c r="H12" i="65"/>
  <c r="I11" i="65"/>
  <c r="H11" i="65"/>
  <c r="I10" i="65"/>
  <c r="H10" i="65"/>
  <c r="I9" i="65"/>
  <c r="H9" i="65"/>
  <c r="I8" i="65"/>
  <c r="H8" i="65"/>
  <c r="I7" i="65"/>
  <c r="H7" i="65"/>
  <c r="I6" i="65"/>
  <c r="H6" i="65"/>
  <c r="I5" i="65"/>
  <c r="H5" i="65"/>
  <c r="I4" i="65"/>
  <c r="H4" i="65"/>
  <c r="B4" i="65" s="1"/>
  <c r="C4" i="65"/>
  <c r="I3" i="65"/>
  <c r="H3" i="65"/>
  <c r="B3" i="65"/>
  <c r="I14" i="64"/>
  <c r="H14" i="64"/>
  <c r="I13" i="64"/>
  <c r="H13" i="64"/>
  <c r="I12" i="64"/>
  <c r="H12" i="64"/>
  <c r="I11" i="64"/>
  <c r="H11" i="64"/>
  <c r="I10" i="64"/>
  <c r="H10" i="64"/>
  <c r="I9" i="64"/>
  <c r="H9" i="64"/>
  <c r="I8" i="64"/>
  <c r="H8" i="64"/>
  <c r="I7" i="64"/>
  <c r="H7" i="64"/>
  <c r="I6" i="64"/>
  <c r="H6" i="64"/>
  <c r="I5" i="64"/>
  <c r="H5" i="64"/>
  <c r="I4" i="64"/>
  <c r="H4" i="64"/>
  <c r="C4" i="64"/>
  <c r="B4" i="64"/>
  <c r="I3" i="64"/>
  <c r="H3" i="64"/>
  <c r="C3" i="64"/>
  <c r="B3" i="64"/>
  <c r="O2" i="61"/>
  <c r="O1" i="61" s="1"/>
  <c r="N1" i="61"/>
  <c r="M2" i="61"/>
  <c r="L1" i="61"/>
  <c r="D1" i="61"/>
  <c r="Q2" i="62"/>
  <c r="Q1" i="62" s="1"/>
  <c r="P1" i="62"/>
  <c r="F1" i="62"/>
  <c r="H1" i="62"/>
  <c r="J1" i="62"/>
  <c r="L1" i="62"/>
  <c r="N1" i="62"/>
  <c r="R1" i="62"/>
  <c r="D1" i="62"/>
  <c r="O9" i="62"/>
  <c r="M9" i="62"/>
  <c r="K9" i="62"/>
  <c r="I9" i="62"/>
  <c r="G9" i="62"/>
  <c r="E9" i="62"/>
  <c r="C9" i="62"/>
  <c r="S8" i="62"/>
  <c r="O8" i="62"/>
  <c r="M8" i="62"/>
  <c r="K8" i="62"/>
  <c r="I8" i="62"/>
  <c r="G8" i="62"/>
  <c r="E8" i="62"/>
  <c r="C8" i="62"/>
  <c r="S7" i="62"/>
  <c r="O7" i="62"/>
  <c r="M7" i="62"/>
  <c r="I7" i="62"/>
  <c r="G7" i="62"/>
  <c r="E7" i="62"/>
  <c r="C7" i="62"/>
  <c r="S6" i="62"/>
  <c r="O6" i="62"/>
  <c r="G6" i="62"/>
  <c r="C6" i="62"/>
  <c r="S5" i="62"/>
  <c r="O5" i="62"/>
  <c r="G5" i="62"/>
  <c r="E5" i="62"/>
  <c r="S4" i="62"/>
  <c r="S2" i="62"/>
  <c r="S1" i="62" s="1"/>
  <c r="O2" i="62"/>
  <c r="O1" i="62" s="1"/>
  <c r="M2" i="62"/>
  <c r="M1" i="62" s="1"/>
  <c r="K2" i="62"/>
  <c r="K1" i="62" s="1"/>
  <c r="I2" i="62"/>
  <c r="I1" i="62" s="1"/>
  <c r="G2" i="62"/>
  <c r="G1" i="62" s="1"/>
  <c r="E2" i="62"/>
  <c r="E1" i="62" s="1"/>
  <c r="C2" i="62"/>
  <c r="C1" i="62" s="1"/>
  <c r="B1" i="62"/>
  <c r="AE2" i="60"/>
  <c r="AD1" i="60"/>
  <c r="T3" i="60" a="1"/>
  <c r="P9" i="71"/>
  <c r="P8" i="71"/>
  <c r="N6" i="61" a="1"/>
  <c r="Q11" i="65"/>
  <c r="AD12" i="60" a="1"/>
  <c r="Q5" i="61" a="1"/>
  <c r="N14" i="61" a="1"/>
  <c r="P12" i="71"/>
  <c r="N8" i="61" a="1"/>
  <c r="R7" i="64"/>
  <c r="N11" i="61" a="1"/>
  <c r="N15" i="61" a="1"/>
  <c r="P13" i="65"/>
  <c r="N9" i="61" a="1"/>
  <c r="T7" i="64" a="1"/>
  <c r="AD6" i="60" a="1"/>
  <c r="Q10" i="64"/>
  <c r="N12" i="61" a="1"/>
  <c r="S14" i="65"/>
  <c r="Q4" i="61" a="1"/>
  <c r="AE4" i="60" a="1"/>
  <c r="AE9" i="60" a="1"/>
  <c r="S9" i="64"/>
  <c r="R10" i="65"/>
  <c r="P6" i="65"/>
  <c r="Q4" i="65"/>
  <c r="Q8" i="64"/>
  <c r="P14" i="64"/>
  <c r="Q9" i="65"/>
  <c r="S10" i="65"/>
  <c r="R12" i="65"/>
  <c r="R9" i="64"/>
  <c r="T4" i="65" a="1"/>
  <c r="P5" i="61" a="1"/>
  <c r="O4" i="61" a="1"/>
  <c r="AD3" i="60" a="1"/>
  <c r="R14" i="65"/>
  <c r="R5" i="61" a="1"/>
  <c r="L6" i="61" a="1"/>
  <c r="AD5" i="60" a="1"/>
  <c r="R8" i="65"/>
  <c r="Q5" i="65"/>
  <c r="O9" i="61" a="1"/>
  <c r="T5" i="64" a="1"/>
  <c r="N3" i="61" a="1"/>
  <c r="AD4" i="60" a="1"/>
  <c r="P3" i="61" a="1"/>
  <c r="R14" i="64"/>
  <c r="P5" i="64"/>
  <c r="S8" i="64"/>
  <c r="P10" i="65"/>
  <c r="P14" i="71"/>
  <c r="S8" i="65"/>
  <c r="Q13" i="64"/>
  <c r="T11" i="65" a="1"/>
  <c r="L10" i="61" a="1"/>
  <c r="L7" i="61" a="1"/>
  <c r="R5" i="65"/>
  <c r="R8" i="64"/>
  <c r="S11" i="64"/>
  <c r="Q3" i="64"/>
  <c r="S11" i="65"/>
  <c r="T5" i="65" a="1"/>
  <c r="O12" i="61" a="1"/>
  <c r="P11" i="65"/>
  <c r="S5" i="64"/>
  <c r="Q10" i="65"/>
  <c r="M15" i="61" a="1"/>
  <c r="R7" i="65"/>
  <c r="L8" i="61" a="1"/>
  <c r="Q6" i="64"/>
  <c r="P10" i="71"/>
  <c r="S12" i="65"/>
  <c r="R4" i="64"/>
  <c r="AD8" i="60" a="1"/>
  <c r="R13" i="64"/>
  <c r="Q3" i="65"/>
  <c r="R10" i="64"/>
  <c r="R5" i="64"/>
  <c r="L5" i="61" a="1"/>
  <c r="P7" i="64"/>
  <c r="P9" i="65"/>
  <c r="P3" i="64"/>
  <c r="T14" i="64" a="1"/>
  <c r="N10" i="61" a="1"/>
  <c r="Q6" i="65"/>
  <c r="S4" i="64"/>
  <c r="T7" i="65" a="1"/>
  <c r="O13" i="61" a="1"/>
  <c r="T13" i="64" a="1"/>
  <c r="AD9" i="60" a="1"/>
  <c r="R9" i="65"/>
  <c r="R3" i="65"/>
  <c r="T6" i="64" a="1"/>
  <c r="N13" i="61" a="1"/>
  <c r="P4" i="71"/>
  <c r="S3" i="64"/>
  <c r="P7" i="65"/>
  <c r="M5" i="61" a="1"/>
  <c r="R3" i="64"/>
  <c r="M9" i="61" a="1"/>
  <c r="S6" i="64"/>
  <c r="L4" i="61" a="1"/>
  <c r="S10" i="64"/>
  <c r="T10" i="64" a="1"/>
  <c r="Q12" i="65"/>
  <c r="M8" i="61" a="1"/>
  <c r="L3" i="61" a="1"/>
  <c r="T6" i="65" a="1"/>
  <c r="Q13" i="65"/>
  <c r="L9" i="61" a="1"/>
  <c r="T3" i="64" a="1"/>
  <c r="T8" i="64" a="1"/>
  <c r="N5" i="61" a="1"/>
  <c r="R12" i="64"/>
  <c r="S5" i="65"/>
  <c r="S14" i="64"/>
  <c r="P4" i="65"/>
  <c r="L14" i="61" a="1"/>
  <c r="AE8" i="60" a="1"/>
  <c r="R11" i="64"/>
  <c r="L11" i="61" a="1"/>
  <c r="O5" i="61" a="1"/>
  <c r="R11" i="65"/>
  <c r="Q8" i="65"/>
  <c r="P8" i="64"/>
  <c r="AD11" i="60" a="1"/>
  <c r="AD15" i="60" a="1"/>
  <c r="T3" i="65" a="1"/>
  <c r="M13" i="61" a="1"/>
  <c r="P4" i="64"/>
  <c r="P8" i="65"/>
  <c r="S9" i="65"/>
  <c r="N4" i="61" a="1"/>
  <c r="P3" i="65"/>
  <c r="P9" i="64"/>
  <c r="P11" i="64"/>
  <c r="O15" i="61" a="1"/>
  <c r="T14" i="65" a="1"/>
  <c r="AE12" i="60" a="1"/>
  <c r="S13" i="65"/>
  <c r="R3" i="61" a="1"/>
  <c r="Q11" i="64"/>
  <c r="P11" i="71"/>
  <c r="P12" i="64"/>
  <c r="AD14" i="60" a="1"/>
  <c r="P10" i="64"/>
  <c r="Q4" i="64"/>
  <c r="L12" i="61" a="1"/>
  <c r="P6" i="64"/>
  <c r="P4" i="61" a="1"/>
  <c r="Q5" i="64"/>
  <c r="L15" i="61" a="1"/>
  <c r="S3" i="65"/>
  <c r="R13" i="65"/>
  <c r="M4" i="61" a="1"/>
  <c r="Q14" i="65"/>
  <c r="S13" i="64"/>
  <c r="P5" i="71"/>
  <c r="S7" i="65"/>
  <c r="T10" i="65" a="1"/>
  <c r="R6" i="64"/>
  <c r="P3" i="71"/>
  <c r="T12" i="64" a="1"/>
  <c r="R4" i="65"/>
  <c r="S6" i="65"/>
  <c r="T8" i="65" a="1"/>
  <c r="O8" i="61" a="1"/>
  <c r="T9" i="64" a="1"/>
  <c r="P12" i="65"/>
  <c r="R4" i="61" a="1"/>
  <c r="O11" i="61" a="1"/>
  <c r="P14" i="65"/>
  <c r="M12" i="61" a="1"/>
  <c r="S4" i="65"/>
  <c r="R6" i="65"/>
  <c r="T11" i="64" a="1"/>
  <c r="S7" i="64"/>
  <c r="T4" i="64" a="1"/>
  <c r="Q7" i="64"/>
  <c r="T12" i="65" a="1"/>
  <c r="P7" i="71"/>
  <c r="P5" i="65"/>
  <c r="S12" i="64"/>
  <c r="Q7" i="65"/>
  <c r="L13" i="61" a="1"/>
  <c r="P6" i="71"/>
  <c r="T13" i="65" a="1"/>
  <c r="T9" i="65" a="1"/>
  <c r="Q12" i="64"/>
  <c r="O7" i="61" a="1"/>
  <c r="Q9" i="64"/>
  <c r="AD7" i="60" a="1"/>
  <c r="AD10" i="60" a="1"/>
  <c r="Q14" i="64"/>
  <c r="AD13" i="60" a="1"/>
  <c r="P13" i="71"/>
  <c r="P13" i="64"/>
  <c r="N7" i="61" a="1"/>
  <c r="C14" i="76" l="1"/>
  <c r="B14" i="76"/>
  <c r="C3" i="65"/>
  <c r="S4" i="61" s="1" a="1"/>
  <c r="S4" i="61" s="1"/>
  <c r="T3" i="60"/>
  <c r="U3" i="60" s="1"/>
  <c r="R4" i="61"/>
  <c r="R5" i="61"/>
  <c r="R3" i="61"/>
  <c r="S3" i="61" s="1"/>
  <c r="S1" i="61"/>
  <c r="Q4" i="61"/>
  <c r="P4" i="61"/>
  <c r="Q5" i="61"/>
  <c r="P5" i="61"/>
  <c r="P3" i="61"/>
  <c r="Q3" i="61" s="1"/>
  <c r="Q1" i="61"/>
  <c r="T10" i="65"/>
  <c r="C10" i="65" s="1"/>
  <c r="T13" i="65"/>
  <c r="C13" i="65" s="1"/>
  <c r="T5" i="65"/>
  <c r="C5" i="65" s="1"/>
  <c r="B9" i="65"/>
  <c r="R10" i="61" s="1" a="1"/>
  <c r="R10" i="61" s="1"/>
  <c r="T4" i="65"/>
  <c r="T12" i="65"/>
  <c r="C12" i="65" s="1"/>
  <c r="B12" i="65"/>
  <c r="R13" i="61" s="1" a="1"/>
  <c r="R13" i="61" s="1"/>
  <c r="B6" i="65"/>
  <c r="R7" i="61" s="1" a="1"/>
  <c r="R7" i="61" s="1"/>
  <c r="B14" i="65"/>
  <c r="R15" i="61" s="1" a="1"/>
  <c r="R15" i="61" s="1"/>
  <c r="T9" i="65"/>
  <c r="C9" i="65" s="1"/>
  <c r="B11" i="65"/>
  <c r="R12" i="61" s="1" a="1"/>
  <c r="R12" i="61" s="1"/>
  <c r="T6" i="65"/>
  <c r="C6" i="65" s="1"/>
  <c r="T14" i="65"/>
  <c r="C14" i="65" s="1"/>
  <c r="S15" i="61" s="1" a="1"/>
  <c r="S15" i="61" s="1"/>
  <c r="B7" i="65"/>
  <c r="R8" i="61" s="1" a="1"/>
  <c r="R8" i="61" s="1"/>
  <c r="B8" i="65"/>
  <c r="R9" i="61" s="1" a="1"/>
  <c r="R9" i="61" s="1"/>
  <c r="B10" i="65"/>
  <c r="R11" i="61" s="1" a="1"/>
  <c r="R11" i="61" s="1"/>
  <c r="T7" i="65"/>
  <c r="C7" i="65" s="1"/>
  <c r="S8" i="61" s="1" a="1"/>
  <c r="S8" i="61" s="1"/>
  <c r="T3" i="65"/>
  <c r="T11" i="65"/>
  <c r="C11" i="65" s="1"/>
  <c r="S12" i="61" s="1" a="1"/>
  <c r="S12" i="61" s="1"/>
  <c r="B5" i="65"/>
  <c r="R6" i="61" s="1" a="1"/>
  <c r="R6" i="61" s="1"/>
  <c r="B13" i="65"/>
  <c r="R14" i="61" s="1" a="1"/>
  <c r="R14" i="61" s="1"/>
  <c r="T8" i="65"/>
  <c r="C8" i="65" s="1"/>
  <c r="T8" i="64"/>
  <c r="C8" i="64" s="1"/>
  <c r="Q9" i="61" s="1" a="1"/>
  <c r="Q9" i="61" s="1"/>
  <c r="B5" i="64"/>
  <c r="P6" i="61" s="1" a="1"/>
  <c r="P6" i="61" s="1"/>
  <c r="T5" i="64"/>
  <c r="C5" i="64" s="1"/>
  <c r="T10" i="64"/>
  <c r="C10" i="64" s="1"/>
  <c r="B13" i="64"/>
  <c r="P14" i="61" s="1" a="1"/>
  <c r="P14" i="61" s="1"/>
  <c r="B12" i="64"/>
  <c r="P13" i="61" s="1" a="1"/>
  <c r="P13" i="61" s="1"/>
  <c r="B9" i="64"/>
  <c r="P10" i="61" s="1" a="1"/>
  <c r="P10" i="61" s="1"/>
  <c r="T12" i="64"/>
  <c r="C12" i="64" s="1"/>
  <c r="Q13" i="61" s="1" a="1"/>
  <c r="Q13" i="61" s="1"/>
  <c r="B14" i="64"/>
  <c r="P15" i="61" s="1" a="1"/>
  <c r="P15" i="61" s="1"/>
  <c r="B7" i="64"/>
  <c r="P8" i="61" s="1" a="1"/>
  <c r="P8" i="61" s="1"/>
  <c r="B11" i="64"/>
  <c r="P12" i="61" s="1" a="1"/>
  <c r="P12" i="61" s="1"/>
  <c r="T7" i="64"/>
  <c r="C7" i="64" s="1"/>
  <c r="Q8" i="61" s="1" a="1"/>
  <c r="Q8" i="61" s="1"/>
  <c r="T9" i="64"/>
  <c r="C9" i="64" s="1"/>
  <c r="T6" i="64"/>
  <c r="C6" i="64" s="1"/>
  <c r="T14" i="64"/>
  <c r="C14" i="64" s="1"/>
  <c r="Q15" i="61" s="1" a="1"/>
  <c r="Q15" i="61" s="1"/>
  <c r="T3" i="64"/>
  <c r="T11" i="64"/>
  <c r="C11" i="64" s="1"/>
  <c r="Q12" i="61" s="1" a="1"/>
  <c r="Q12" i="61" s="1"/>
  <c r="B10" i="64"/>
  <c r="P11" i="61" s="1" a="1"/>
  <c r="P11" i="61" s="1"/>
  <c r="T13" i="64"/>
  <c r="C13" i="64" s="1"/>
  <c r="T4" i="64"/>
  <c r="B6" i="64"/>
  <c r="P7" i="61" s="1" a="1"/>
  <c r="P7" i="61" s="1"/>
  <c r="B8" i="64"/>
  <c r="P9" i="61" s="1" a="1"/>
  <c r="P9" i="61" s="1"/>
  <c r="N13" i="61"/>
  <c r="N9" i="61"/>
  <c r="O13" i="61"/>
  <c r="N6" i="61"/>
  <c r="N10" i="61"/>
  <c r="N14" i="61"/>
  <c r="N4" i="61"/>
  <c r="O8" i="61"/>
  <c r="N5" i="61"/>
  <c r="N8" i="61"/>
  <c r="O4" i="61"/>
  <c r="O9" i="61"/>
  <c r="N12" i="61"/>
  <c r="O12" i="61"/>
  <c r="O5" i="61"/>
  <c r="N7" i="61"/>
  <c r="N11" i="61"/>
  <c r="N15" i="61"/>
  <c r="N3" i="61"/>
  <c r="O3" i="61" s="1"/>
  <c r="O15" i="61"/>
  <c r="O7" i="61"/>
  <c r="O11" i="61"/>
  <c r="M15" i="61"/>
  <c r="L12" i="61"/>
  <c r="M13" i="61"/>
  <c r="L9" i="61"/>
  <c r="L10" i="61"/>
  <c r="L14" i="61"/>
  <c r="L4" i="61"/>
  <c r="M8" i="61"/>
  <c r="L5" i="61"/>
  <c r="L6" i="61"/>
  <c r="L8" i="61"/>
  <c r="M12" i="61"/>
  <c r="L13" i="61"/>
  <c r="M5" i="61"/>
  <c r="L7" i="61"/>
  <c r="L11" i="61"/>
  <c r="L15" i="61"/>
  <c r="M4" i="61"/>
  <c r="L3" i="61"/>
  <c r="M3" i="61" s="1"/>
  <c r="M9" i="61"/>
  <c r="M1" i="61"/>
  <c r="AE9" i="60"/>
  <c r="AE12" i="60"/>
  <c r="AD12" i="60"/>
  <c r="AD9" i="60"/>
  <c r="AE8" i="60"/>
  <c r="AD8" i="60"/>
  <c r="AD5" i="60"/>
  <c r="AD6" i="60"/>
  <c r="AD10" i="60"/>
  <c r="AD14" i="60"/>
  <c r="AD3" i="60"/>
  <c r="AE3" i="60" s="1"/>
  <c r="AE4" i="60"/>
  <c r="AD15" i="60"/>
  <c r="AD4" i="60"/>
  <c r="AD13" i="60"/>
  <c r="AD7" i="60"/>
  <c r="AD11" i="60"/>
  <c r="AE1" i="60"/>
  <c r="O6" i="61" a="1"/>
  <c r="S10" i="61" a="1"/>
  <c r="S13" i="61" a="1"/>
  <c r="Q11" i="61" a="1"/>
  <c r="AE11" i="60" a="1"/>
  <c r="AE15" i="60" a="1"/>
  <c r="AE13" i="60" a="1"/>
  <c r="S5" i="61" a="1"/>
  <c r="AE7" i="60" a="1"/>
  <c r="AE10" i="60" a="1"/>
  <c r="Q14" i="61" a="1"/>
  <c r="Q10" i="61" a="1"/>
  <c r="O14" i="61" a="1"/>
  <c r="AE14" i="60" a="1"/>
  <c r="S7" i="61" a="1"/>
  <c r="M10" i="61" a="1"/>
  <c r="S14" i="61" a="1"/>
  <c r="M14" i="61" a="1"/>
  <c r="M6" i="61" a="1"/>
  <c r="AE6" i="60" a="1"/>
  <c r="S9" i="61" a="1"/>
  <c r="M7" i="61" a="1"/>
  <c r="O10" i="61" a="1"/>
  <c r="AE5" i="60" a="1"/>
  <c r="Q6" i="61" a="1"/>
  <c r="S6" i="61" a="1"/>
  <c r="M11" i="61" a="1"/>
  <c r="S11" i="61" a="1"/>
  <c r="Q7" i="61" a="1"/>
  <c r="S11" i="61" l="1"/>
  <c r="S7" i="61"/>
  <c r="S14" i="61"/>
  <c r="S13" i="61"/>
  <c r="S10" i="61"/>
  <c r="S6" i="61"/>
  <c r="S9" i="61"/>
  <c r="S5" i="61"/>
  <c r="Q7" i="61"/>
  <c r="Q14" i="61"/>
  <c r="Q6" i="61"/>
  <c r="Q11" i="61"/>
  <c r="Q10" i="61"/>
  <c r="O10" i="61"/>
  <c r="O14" i="61"/>
  <c r="O6" i="61"/>
  <c r="M14" i="61"/>
  <c r="M10" i="61"/>
  <c r="M6" i="61"/>
  <c r="M11" i="61"/>
  <c r="M7" i="61"/>
  <c r="AE6" i="60"/>
  <c r="AE15" i="60"/>
  <c r="AE11" i="60"/>
  <c r="AE7" i="60"/>
  <c r="AE10" i="60"/>
  <c r="AE5" i="60"/>
  <c r="AE13" i="60"/>
  <c r="AE14" i="60"/>
  <c r="AC2" i="60"/>
  <c r="AC1" i="60" s="1"/>
  <c r="AB1" i="60"/>
  <c r="K2" i="61"/>
  <c r="I2" i="61"/>
  <c r="I1" i="61" s="1"/>
  <c r="G2" i="61"/>
  <c r="G1" i="61" s="1"/>
  <c r="E2" i="61"/>
  <c r="E1" i="61" s="1"/>
  <c r="J1" i="61"/>
  <c r="H1" i="61"/>
  <c r="F1" i="61"/>
  <c r="AG2" i="60"/>
  <c r="AG1" i="60" s="1"/>
  <c r="AF1" i="60"/>
  <c r="AA2" i="60"/>
  <c r="Z1" i="60"/>
  <c r="Y2" i="60"/>
  <c r="X1" i="60"/>
  <c r="W2" i="60"/>
  <c r="V1" i="60"/>
  <c r="S2" i="60"/>
  <c r="R1" i="60"/>
  <c r="Q2" i="60"/>
  <c r="P1" i="60"/>
  <c r="O2" i="60"/>
  <c r="N1" i="60"/>
  <c r="M2" i="60"/>
  <c r="L1" i="60"/>
  <c r="K2" i="60"/>
  <c r="K1" i="60" s="1"/>
  <c r="J1" i="60"/>
  <c r="I2" i="60"/>
  <c r="H1" i="60"/>
  <c r="E2" i="60"/>
  <c r="E1" i="60" s="1"/>
  <c r="G2" i="60"/>
  <c r="G1" i="60" s="1"/>
  <c r="F1" i="60"/>
  <c r="D1" i="60"/>
  <c r="I14" i="59"/>
  <c r="H14" i="59"/>
  <c r="I13" i="59"/>
  <c r="H13" i="59"/>
  <c r="I12" i="59"/>
  <c r="H12" i="59"/>
  <c r="I11" i="59"/>
  <c r="H11" i="59"/>
  <c r="I10" i="59"/>
  <c r="H10" i="59"/>
  <c r="I9" i="59"/>
  <c r="H9" i="59"/>
  <c r="I8" i="59"/>
  <c r="H8" i="59"/>
  <c r="I7" i="59"/>
  <c r="H7" i="59"/>
  <c r="I6" i="59"/>
  <c r="H6" i="59"/>
  <c r="I5" i="59"/>
  <c r="H5" i="59"/>
  <c r="I4" i="59"/>
  <c r="H4" i="59"/>
  <c r="I3" i="59"/>
  <c r="H3" i="59"/>
  <c r="I14" i="54"/>
  <c r="C14" i="54" s="1"/>
  <c r="H14" i="54"/>
  <c r="B14" i="54"/>
  <c r="I13" i="54"/>
  <c r="H13" i="54"/>
  <c r="C13" i="54" s="1"/>
  <c r="B13" i="54"/>
  <c r="I12" i="54"/>
  <c r="H12" i="54"/>
  <c r="C12" i="54" s="1"/>
  <c r="I11" i="54"/>
  <c r="C11" i="54" s="1"/>
  <c r="H11" i="54"/>
  <c r="B11" i="54"/>
  <c r="I10" i="54"/>
  <c r="C10" i="54" s="1"/>
  <c r="H10" i="54"/>
  <c r="I9" i="54"/>
  <c r="C9" i="54" s="1"/>
  <c r="H9" i="54"/>
  <c r="I8" i="54"/>
  <c r="H8" i="54"/>
  <c r="I7" i="54"/>
  <c r="H7" i="54"/>
  <c r="C7" i="54"/>
  <c r="B7" i="54"/>
  <c r="I6" i="54"/>
  <c r="C6" i="54" s="1"/>
  <c r="H6" i="54"/>
  <c r="B6" i="54" s="1"/>
  <c r="I5" i="54"/>
  <c r="H5" i="54"/>
  <c r="I4" i="54"/>
  <c r="H4" i="54"/>
  <c r="I3" i="54"/>
  <c r="C3" i="54" s="1"/>
  <c r="H3" i="54"/>
  <c r="B3" i="54"/>
  <c r="I14" i="53"/>
  <c r="C14" i="53" s="1"/>
  <c r="H14" i="53"/>
  <c r="B14" i="53" s="1"/>
  <c r="I13" i="53"/>
  <c r="H13" i="53"/>
  <c r="B13" i="53" s="1"/>
  <c r="C13" i="53"/>
  <c r="I12" i="53"/>
  <c r="H12" i="53"/>
  <c r="C12" i="53"/>
  <c r="B12" i="53"/>
  <c r="I11" i="53"/>
  <c r="C11" i="53" s="1"/>
  <c r="H11" i="53"/>
  <c r="B11" i="53" s="1"/>
  <c r="I10" i="53"/>
  <c r="H10" i="53"/>
  <c r="B10" i="53" s="1"/>
  <c r="I9" i="53"/>
  <c r="H9" i="53"/>
  <c r="B9" i="53" s="1"/>
  <c r="I8" i="53"/>
  <c r="H8" i="53"/>
  <c r="I7" i="53"/>
  <c r="C7" i="53" s="1"/>
  <c r="H7" i="53"/>
  <c r="B7" i="53" s="1"/>
  <c r="I6" i="53"/>
  <c r="H6" i="53"/>
  <c r="B6" i="53" s="1"/>
  <c r="I5" i="53"/>
  <c r="H5" i="53"/>
  <c r="C5" i="53" s="1"/>
  <c r="I4" i="53"/>
  <c r="C4" i="53" s="1"/>
  <c r="H4" i="53"/>
  <c r="B4" i="53"/>
  <c r="I3" i="53"/>
  <c r="C3" i="53" s="1"/>
  <c r="H3" i="53"/>
  <c r="I14" i="52"/>
  <c r="H14" i="52"/>
  <c r="B14" i="52" s="1"/>
  <c r="C14" i="52"/>
  <c r="I13" i="52"/>
  <c r="H13" i="52"/>
  <c r="I12" i="52"/>
  <c r="C12" i="52" s="1"/>
  <c r="H12" i="52"/>
  <c r="B12" i="52" s="1"/>
  <c r="I11" i="52"/>
  <c r="H11" i="52"/>
  <c r="B11" i="52" s="1"/>
  <c r="I10" i="52"/>
  <c r="C10" i="52" s="1"/>
  <c r="H10" i="52"/>
  <c r="B10" i="52" s="1"/>
  <c r="I9" i="52"/>
  <c r="C9" i="52" s="1"/>
  <c r="H9" i="52"/>
  <c r="I8" i="52"/>
  <c r="C8" i="52" s="1"/>
  <c r="H8" i="52"/>
  <c r="I7" i="52"/>
  <c r="C7" i="52" s="1"/>
  <c r="H7" i="52"/>
  <c r="B7" i="52"/>
  <c r="I6" i="52"/>
  <c r="H6" i="52"/>
  <c r="C6" i="52"/>
  <c r="B6" i="52"/>
  <c r="I5" i="52"/>
  <c r="H5" i="52"/>
  <c r="I4" i="52"/>
  <c r="H4" i="52"/>
  <c r="I3" i="52"/>
  <c r="C3" i="52" s="1"/>
  <c r="H3" i="52"/>
  <c r="I14" i="51"/>
  <c r="C14" i="51" s="1"/>
  <c r="H14" i="51"/>
  <c r="B14" i="51" s="1"/>
  <c r="I13" i="51"/>
  <c r="H13" i="51"/>
  <c r="B13" i="51" s="1"/>
  <c r="C13" i="51"/>
  <c r="I12" i="51"/>
  <c r="H12" i="51"/>
  <c r="C12" i="51"/>
  <c r="B12" i="51"/>
  <c r="I11" i="51"/>
  <c r="H11" i="51"/>
  <c r="C11" i="51" s="1"/>
  <c r="I10" i="51"/>
  <c r="C10" i="51" s="1"/>
  <c r="H10" i="51"/>
  <c r="I9" i="51"/>
  <c r="H9" i="51"/>
  <c r="B9" i="51" s="1"/>
  <c r="I8" i="51"/>
  <c r="C8" i="51" s="1"/>
  <c r="H8" i="51"/>
  <c r="I7" i="51"/>
  <c r="C7" i="51" s="1"/>
  <c r="H7" i="51"/>
  <c r="B7" i="51" s="1"/>
  <c r="I6" i="51"/>
  <c r="H6" i="51"/>
  <c r="C6" i="51" s="1"/>
  <c r="I5" i="51"/>
  <c r="H5" i="51"/>
  <c r="C5" i="51"/>
  <c r="I4" i="51"/>
  <c r="H4" i="51"/>
  <c r="C4" i="51"/>
  <c r="B4" i="51"/>
  <c r="I3" i="51"/>
  <c r="C3" i="51" s="1"/>
  <c r="H3" i="51"/>
  <c r="B3" i="51" s="1"/>
  <c r="I14" i="50"/>
  <c r="H14" i="50"/>
  <c r="I13" i="50"/>
  <c r="H13" i="50"/>
  <c r="I12" i="50"/>
  <c r="H12" i="50"/>
  <c r="I11" i="50"/>
  <c r="H11" i="50"/>
  <c r="I10" i="50"/>
  <c r="H10" i="50"/>
  <c r="I9" i="50"/>
  <c r="H9" i="50"/>
  <c r="I8" i="50"/>
  <c r="H8" i="50"/>
  <c r="I7" i="50"/>
  <c r="H7" i="50"/>
  <c r="I6" i="50"/>
  <c r="H6" i="50"/>
  <c r="I5" i="50"/>
  <c r="H5" i="50"/>
  <c r="I4" i="50"/>
  <c r="H4" i="50"/>
  <c r="I14" i="49"/>
  <c r="H14" i="49"/>
  <c r="I13" i="49"/>
  <c r="H13" i="49"/>
  <c r="I12" i="49"/>
  <c r="H12" i="49"/>
  <c r="I11" i="49"/>
  <c r="H11" i="49"/>
  <c r="I10" i="49"/>
  <c r="H10" i="49"/>
  <c r="I9" i="49"/>
  <c r="H9" i="49"/>
  <c r="I8" i="49"/>
  <c r="H8" i="49"/>
  <c r="I7" i="49"/>
  <c r="H7" i="49"/>
  <c r="I6" i="49"/>
  <c r="H6" i="49"/>
  <c r="I5" i="49"/>
  <c r="H5" i="49"/>
  <c r="I4" i="49"/>
  <c r="H4" i="49"/>
  <c r="I3" i="49"/>
  <c r="H3" i="49"/>
  <c r="I14" i="48"/>
  <c r="H14" i="48"/>
  <c r="I13" i="48"/>
  <c r="H13" i="48"/>
  <c r="I12" i="48"/>
  <c r="H12" i="48"/>
  <c r="I11" i="48"/>
  <c r="H11" i="48"/>
  <c r="I10" i="48"/>
  <c r="H10" i="48"/>
  <c r="I9" i="48"/>
  <c r="H9" i="48"/>
  <c r="I8" i="48"/>
  <c r="H8" i="48"/>
  <c r="I7" i="48"/>
  <c r="H7" i="48"/>
  <c r="I6" i="48"/>
  <c r="H6" i="48"/>
  <c r="I5" i="48"/>
  <c r="H5" i="48"/>
  <c r="I4" i="48"/>
  <c r="H4" i="48"/>
  <c r="I3" i="48"/>
  <c r="H3" i="48"/>
  <c r="I14" i="47"/>
  <c r="H14" i="47"/>
  <c r="I13" i="47"/>
  <c r="H13" i="47"/>
  <c r="I12" i="47"/>
  <c r="H12" i="47"/>
  <c r="I11" i="47"/>
  <c r="H11" i="47"/>
  <c r="I10" i="47"/>
  <c r="H10" i="47"/>
  <c r="I9" i="47"/>
  <c r="H9" i="47"/>
  <c r="I8" i="47"/>
  <c r="H8" i="47"/>
  <c r="I7" i="47"/>
  <c r="H7" i="47"/>
  <c r="I6" i="47"/>
  <c r="H6" i="47"/>
  <c r="I5" i="47"/>
  <c r="H5" i="47"/>
  <c r="I4" i="47"/>
  <c r="H4" i="47"/>
  <c r="I3" i="47"/>
  <c r="H3" i="47"/>
  <c r="I14" i="45"/>
  <c r="H14" i="45"/>
  <c r="I13" i="45"/>
  <c r="H13" i="45"/>
  <c r="I12" i="45"/>
  <c r="H12" i="45"/>
  <c r="I11" i="45"/>
  <c r="H11" i="45"/>
  <c r="I10" i="45"/>
  <c r="H10" i="45"/>
  <c r="I9" i="45"/>
  <c r="H9" i="45"/>
  <c r="I8" i="45"/>
  <c r="H8" i="45"/>
  <c r="I7" i="45"/>
  <c r="H7" i="45"/>
  <c r="I6" i="45"/>
  <c r="H6" i="45"/>
  <c r="I5" i="45"/>
  <c r="H5" i="45"/>
  <c r="I4" i="45"/>
  <c r="H4" i="45"/>
  <c r="I3" i="45"/>
  <c r="H3" i="45"/>
  <c r="H5" i="44"/>
  <c r="I5" i="44"/>
  <c r="H6" i="44"/>
  <c r="I6" i="44"/>
  <c r="H7" i="44"/>
  <c r="I7" i="44"/>
  <c r="H8" i="44"/>
  <c r="I8" i="44"/>
  <c r="H9" i="44"/>
  <c r="I9" i="44"/>
  <c r="H10" i="44"/>
  <c r="I10" i="44"/>
  <c r="H11" i="44"/>
  <c r="I11" i="44"/>
  <c r="H12" i="44"/>
  <c r="I12" i="44"/>
  <c r="H13" i="44"/>
  <c r="I13" i="44"/>
  <c r="H14" i="44"/>
  <c r="I14" i="44"/>
  <c r="I4" i="44"/>
  <c r="H4" i="44"/>
  <c r="I3" i="44"/>
  <c r="H3" i="44"/>
  <c r="I14" i="42"/>
  <c r="H14" i="42"/>
  <c r="I13" i="42"/>
  <c r="H13" i="42"/>
  <c r="I12" i="42"/>
  <c r="H12" i="42"/>
  <c r="I11" i="42"/>
  <c r="H11" i="42"/>
  <c r="I10" i="42"/>
  <c r="H10" i="42"/>
  <c r="I9" i="42"/>
  <c r="H9" i="42"/>
  <c r="I8" i="42"/>
  <c r="H8" i="42"/>
  <c r="I7" i="42"/>
  <c r="H7" i="42"/>
  <c r="I6" i="42"/>
  <c r="H6" i="42"/>
  <c r="I5" i="42"/>
  <c r="H5" i="42"/>
  <c r="I4" i="42"/>
  <c r="H4" i="42"/>
  <c r="I3" i="42"/>
  <c r="H3" i="42"/>
  <c r="H4" i="43"/>
  <c r="I4" i="43"/>
  <c r="H5" i="43"/>
  <c r="I5" i="43"/>
  <c r="H6" i="43"/>
  <c r="I6" i="43"/>
  <c r="H7" i="43"/>
  <c r="I7" i="43"/>
  <c r="H8" i="43"/>
  <c r="I8" i="43"/>
  <c r="H9" i="43"/>
  <c r="I9" i="43"/>
  <c r="C9" i="43" s="1"/>
  <c r="H10" i="43"/>
  <c r="I10" i="43"/>
  <c r="B10" i="43" s="1"/>
  <c r="H11" i="43"/>
  <c r="B11" i="43" s="1"/>
  <c r="I11" i="43"/>
  <c r="C11" i="43" s="1"/>
  <c r="H12" i="43"/>
  <c r="I12" i="43"/>
  <c r="H13" i="43"/>
  <c r="I13" i="43"/>
  <c r="H14" i="43"/>
  <c r="I14" i="43"/>
  <c r="C13" i="43"/>
  <c r="C8" i="43"/>
  <c r="B8" i="43"/>
  <c r="C7" i="43"/>
  <c r="B7" i="43"/>
  <c r="C5" i="43"/>
  <c r="C10" i="43"/>
  <c r="I3" i="43"/>
  <c r="H3" i="43"/>
  <c r="C14" i="43"/>
  <c r="B14" i="43"/>
  <c r="C12" i="43"/>
  <c r="B12" i="43"/>
  <c r="C6" i="43"/>
  <c r="B6" i="43"/>
  <c r="C4" i="43"/>
  <c r="B4" i="43"/>
  <c r="C3" i="43"/>
  <c r="B3" i="43"/>
  <c r="I4" i="39"/>
  <c r="H4" i="39"/>
  <c r="I3" i="39"/>
  <c r="H3" i="39"/>
  <c r="I14" i="37"/>
  <c r="H14" i="37"/>
  <c r="C14" i="37"/>
  <c r="B14" i="37"/>
  <c r="I13" i="37"/>
  <c r="H13" i="37"/>
  <c r="C13" i="37"/>
  <c r="B13" i="37"/>
  <c r="I12" i="37"/>
  <c r="H12" i="37"/>
  <c r="B12" i="37" s="1"/>
  <c r="C12" i="37"/>
  <c r="I11" i="37"/>
  <c r="B11" i="37" s="1"/>
  <c r="H11" i="37"/>
  <c r="I10" i="37"/>
  <c r="C10" i="37" s="1"/>
  <c r="H10" i="37"/>
  <c r="I9" i="37"/>
  <c r="C9" i="37" s="1"/>
  <c r="H9" i="37"/>
  <c r="I8" i="37"/>
  <c r="H8" i="37"/>
  <c r="C8" i="37"/>
  <c r="B8" i="37"/>
  <c r="I7" i="37"/>
  <c r="H7" i="37"/>
  <c r="C7" i="37" s="1"/>
  <c r="I6" i="37"/>
  <c r="C6" i="37" s="1"/>
  <c r="H6" i="37"/>
  <c r="B6" i="37" s="1"/>
  <c r="I5" i="37"/>
  <c r="C5" i="37" s="1"/>
  <c r="H5" i="37"/>
  <c r="B5" i="37" s="1"/>
  <c r="I4" i="37"/>
  <c r="H4" i="37"/>
  <c r="C4" i="37"/>
  <c r="B4" i="37"/>
  <c r="I3" i="37"/>
  <c r="H3" i="37"/>
  <c r="B3" i="37"/>
  <c r="B4" i="52" l="1"/>
  <c r="C13" i="52"/>
  <c r="C11" i="52"/>
  <c r="C4" i="52"/>
  <c r="B3" i="52"/>
  <c r="K1" i="61"/>
  <c r="AA1" i="60"/>
  <c r="Y1" i="60"/>
  <c r="W1" i="60"/>
  <c r="S1" i="60"/>
  <c r="Q1" i="60"/>
  <c r="O1" i="60"/>
  <c r="M1" i="60"/>
  <c r="I1" i="60"/>
  <c r="C10" i="53"/>
  <c r="C6" i="53"/>
  <c r="C9" i="53"/>
  <c r="C8" i="53"/>
  <c r="C4" i="54"/>
  <c r="C5" i="54"/>
  <c r="C8" i="54"/>
  <c r="B9" i="54"/>
  <c r="B12" i="54"/>
  <c r="B8" i="54"/>
  <c r="B4" i="54"/>
  <c r="B5" i="54"/>
  <c r="B10" i="54"/>
  <c r="B8" i="53"/>
  <c r="B5" i="53"/>
  <c r="B10" i="51"/>
  <c r="C9" i="51"/>
  <c r="B3" i="53"/>
  <c r="B8" i="51"/>
  <c r="B5" i="51"/>
  <c r="B6" i="51"/>
  <c r="B11" i="51"/>
  <c r="B8" i="52"/>
  <c r="C5" i="52"/>
  <c r="B5" i="52"/>
  <c r="B9" i="52"/>
  <c r="B13" i="52"/>
  <c r="B5" i="50"/>
  <c r="B10" i="50"/>
  <c r="B7" i="50"/>
  <c r="B4" i="50"/>
  <c r="B12" i="50"/>
  <c r="B9" i="50"/>
  <c r="B6" i="50"/>
  <c r="B14" i="50"/>
  <c r="B13" i="50"/>
  <c r="B3" i="50"/>
  <c r="B11" i="50"/>
  <c r="B8" i="50"/>
  <c r="B3" i="44"/>
  <c r="B4" i="44"/>
  <c r="B5" i="43"/>
  <c r="B13" i="43"/>
  <c r="B9" i="43"/>
  <c r="B3" i="42"/>
  <c r="B5" i="42"/>
  <c r="B7" i="42"/>
  <c r="B9" i="42"/>
  <c r="B11" i="42"/>
  <c r="B13" i="42"/>
  <c r="B4" i="42"/>
  <c r="B6" i="42"/>
  <c r="B8" i="42"/>
  <c r="B10" i="42"/>
  <c r="B12" i="42"/>
  <c r="B14" i="42"/>
  <c r="C3" i="39"/>
  <c r="C4" i="39"/>
  <c r="B4" i="39"/>
  <c r="B3" i="39"/>
  <c r="B7" i="37"/>
  <c r="C11" i="37"/>
  <c r="C3" i="37"/>
  <c r="B9" i="37"/>
  <c r="B10" i="37"/>
  <c r="H4" i="61" a="1"/>
  <c r="X3" i="60" a="1"/>
  <c r="P7" i="59"/>
  <c r="AB9" i="60" a="1"/>
  <c r="G11" i="61" a="1"/>
  <c r="D3" i="61" a="1"/>
  <c r="K4" i="60" a="1"/>
  <c r="G14" i="61" a="1"/>
  <c r="AF7" i="60" a="1"/>
  <c r="G8" i="61" a="1"/>
  <c r="P9" i="58"/>
  <c r="F6" i="61" a="1"/>
  <c r="AC7" i="60" a="1"/>
  <c r="AB8" i="60" a="1"/>
  <c r="K5" i="60" a="1"/>
  <c r="AC4" i="60" a="1"/>
  <c r="AC10" i="60" a="1"/>
  <c r="J4" i="61" a="1"/>
  <c r="G6" i="61" a="1"/>
  <c r="P11" i="58"/>
  <c r="AC9" i="60" a="1"/>
  <c r="F11" i="61" a="1"/>
  <c r="F8" i="61" a="1"/>
  <c r="P3" i="59"/>
  <c r="AC6" i="60" a="1"/>
  <c r="P14" i="58"/>
  <c r="K8" i="61" a="1"/>
  <c r="J6" i="61" a="1"/>
  <c r="AB5" i="60" a="1"/>
  <c r="AF12" i="60" a="1"/>
  <c r="AC12" i="60" a="1"/>
  <c r="K4" i="61" a="1"/>
  <c r="I4" i="61" a="1"/>
  <c r="F14" i="61" a="1"/>
  <c r="F7" i="61" a="1"/>
  <c r="J5" i="60" a="1"/>
  <c r="P9" i="59"/>
  <c r="P14" i="59"/>
  <c r="AF15" i="60" a="1"/>
  <c r="AG4" i="60" a="1"/>
  <c r="P12" i="58"/>
  <c r="L4" i="60" a="1"/>
  <c r="P5" i="58"/>
  <c r="H5" i="61" a="1"/>
  <c r="AF6" i="60" a="1"/>
  <c r="F12" i="61" a="1"/>
  <c r="K9" i="61" a="1"/>
  <c r="AG11" i="60" a="1"/>
  <c r="P6" i="58"/>
  <c r="K7" i="61" a="1"/>
  <c r="F3" i="60" a="1"/>
  <c r="AG10" i="60" a="1"/>
  <c r="AB12" i="60" a="1"/>
  <c r="F15" i="61" a="1"/>
  <c r="J7" i="61" a="1"/>
  <c r="AG9" i="60" a="1"/>
  <c r="P10" i="59"/>
  <c r="M4" i="60" a="1"/>
  <c r="H4" i="60" a="1"/>
  <c r="H3" i="61" a="1"/>
  <c r="AG7" i="60" a="1"/>
  <c r="P13" i="58"/>
  <c r="AB7" i="60" a="1"/>
  <c r="AB15" i="60" a="1"/>
  <c r="AF9" i="60" a="1"/>
  <c r="K5" i="61" a="1"/>
  <c r="M5" i="60" a="1"/>
  <c r="AF14" i="60" a="1"/>
  <c r="AC5" i="60" a="1"/>
  <c r="P4" i="60" a="1"/>
  <c r="P8" i="59"/>
  <c r="J15" i="61" a="1"/>
  <c r="G13" i="61" a="1"/>
  <c r="AG8" i="60" a="1"/>
  <c r="F3" i="61" a="1"/>
  <c r="AF11" i="60" a="1"/>
  <c r="J13" i="61" a="1"/>
  <c r="AB11" i="60" a="1"/>
  <c r="P13" i="59"/>
  <c r="J3" i="60" a="1"/>
  <c r="Q5" i="60" a="1"/>
  <c r="P10" i="58"/>
  <c r="F4" i="61" a="1"/>
  <c r="L5" i="60" a="1"/>
  <c r="AF8" i="60" a="1"/>
  <c r="AF13" i="60" a="1"/>
  <c r="J8" i="61" a="1"/>
  <c r="K13" i="61" a="1"/>
  <c r="AF3" i="60" a="1"/>
  <c r="K14" i="61" a="1"/>
  <c r="Q4" i="60" a="1"/>
  <c r="F5" i="61" a="1"/>
  <c r="AG14" i="60" a="1"/>
  <c r="P5" i="59"/>
  <c r="AG5" i="60" a="1"/>
  <c r="J9" i="61" a="1"/>
  <c r="G7" i="61" a="1"/>
  <c r="H3" i="60" a="1"/>
  <c r="P8" i="58"/>
  <c r="P4" i="58"/>
  <c r="G10" i="61" a="1"/>
  <c r="K12" i="61" a="1"/>
  <c r="P3" i="60" a="1"/>
  <c r="Z3" i="60" a="1"/>
  <c r="J3" i="61" a="1"/>
  <c r="P12" i="59"/>
  <c r="K6" i="61" a="1"/>
  <c r="P5" i="60" a="1"/>
  <c r="AF10" i="60" a="1"/>
  <c r="I5" i="61" a="1"/>
  <c r="K15" i="61" a="1"/>
  <c r="P7" i="58"/>
  <c r="F13" i="61" a="1"/>
  <c r="G9" i="61" a="1"/>
  <c r="J14" i="61" a="1"/>
  <c r="P11" i="59"/>
  <c r="L3" i="60" a="1"/>
  <c r="V3" i="60" a="1"/>
  <c r="AB14" i="60" a="1"/>
  <c r="AB13" i="60" a="1"/>
  <c r="AC15" i="60" a="1"/>
  <c r="F9" i="61" a="1"/>
  <c r="AC14" i="60" a="1"/>
  <c r="AF5" i="60" a="1"/>
  <c r="J12" i="61" a="1"/>
  <c r="F10" i="61" a="1"/>
  <c r="G5" i="61" a="1"/>
  <c r="N3" i="60" a="1"/>
  <c r="D3" i="60" a="1"/>
  <c r="J10" i="61" a="1"/>
  <c r="G12" i="61" a="1"/>
  <c r="P6" i="59"/>
  <c r="AC13" i="60" a="1"/>
  <c r="H5" i="60" a="1"/>
  <c r="AB10" i="60" a="1"/>
  <c r="AG13" i="60" a="1"/>
  <c r="AG6" i="60" a="1"/>
  <c r="K11" i="61" a="1"/>
  <c r="J4" i="60" a="1"/>
  <c r="R3" i="60" a="1"/>
  <c r="AG15" i="60" a="1"/>
  <c r="I5" i="60" a="1"/>
  <c r="AC11" i="60" a="1"/>
  <c r="J11" i="61" a="1"/>
  <c r="AC8" i="60" a="1"/>
  <c r="P3" i="58"/>
  <c r="P4" i="59"/>
  <c r="G15" i="61" a="1"/>
  <c r="I4" i="60" a="1"/>
  <c r="G4" i="61" a="1"/>
  <c r="AG12" i="60" a="1"/>
  <c r="AB4" i="60" a="1"/>
  <c r="AB6" i="60" a="1"/>
  <c r="J5" i="61" a="1"/>
  <c r="K10" i="61" a="1"/>
  <c r="AF4" i="60" a="1"/>
  <c r="AB3" i="60" a="1"/>
  <c r="AB5" i="60" l="1"/>
  <c r="AF11" i="60"/>
  <c r="H4" i="61"/>
  <c r="AF15" i="60"/>
  <c r="J3" i="60"/>
  <c r="K3" i="60" s="1"/>
  <c r="AC5" i="60"/>
  <c r="AF4" i="60"/>
  <c r="Z3" i="60"/>
  <c r="AA3" i="60" s="1"/>
  <c r="AC9" i="60"/>
  <c r="D3" i="60"/>
  <c r="E3" i="60" s="1"/>
  <c r="AF6" i="60"/>
  <c r="AB12" i="60"/>
  <c r="AG15" i="60"/>
  <c r="AB8" i="60"/>
  <c r="AF8" i="60"/>
  <c r="J6" i="61"/>
  <c r="AB14" i="60"/>
  <c r="J13" i="61"/>
  <c r="AB4" i="60"/>
  <c r="AB6" i="60"/>
  <c r="AF5" i="60"/>
  <c r="AB11" i="60"/>
  <c r="J15" i="61"/>
  <c r="AB15" i="60"/>
  <c r="Q4" i="60"/>
  <c r="J5" i="60"/>
  <c r="N3" i="60"/>
  <c r="O3" i="60" s="1"/>
  <c r="J4" i="60"/>
  <c r="K5" i="60"/>
  <c r="J14" i="61"/>
  <c r="H3" i="60"/>
  <c r="I3" i="60" s="1"/>
  <c r="AF9" i="60"/>
  <c r="AF10" i="60"/>
  <c r="J10" i="61"/>
  <c r="F3" i="61"/>
  <c r="G3" i="61" s="1"/>
  <c r="F3" i="60"/>
  <c r="G3" i="60" s="1"/>
  <c r="J8" i="61"/>
  <c r="J4" i="61"/>
  <c r="AF3" i="60"/>
  <c r="AG3" i="60" s="1"/>
  <c r="AB10" i="60"/>
  <c r="AF13" i="60"/>
  <c r="AB9" i="60"/>
  <c r="AB13" i="60"/>
  <c r="P3" i="60"/>
  <c r="Q3" i="60" s="1"/>
  <c r="P4" i="60"/>
  <c r="AC4" i="60"/>
  <c r="J11" i="61"/>
  <c r="M5" i="60"/>
  <c r="H5" i="61"/>
  <c r="K4" i="60"/>
  <c r="J12" i="61"/>
  <c r="J5" i="61"/>
  <c r="AC15" i="60"/>
  <c r="L4" i="60"/>
  <c r="K12" i="61"/>
  <c r="AC11" i="60"/>
  <c r="AF14" i="60"/>
  <c r="D3" i="61"/>
  <c r="E3" i="61" s="1"/>
  <c r="J9" i="61"/>
  <c r="AF12" i="60"/>
  <c r="AB7" i="60"/>
  <c r="AB3" i="60"/>
  <c r="AC3" i="60" s="1"/>
  <c r="H3" i="61"/>
  <c r="I3" i="61" s="1"/>
  <c r="M4" i="60"/>
  <c r="AF7" i="60"/>
  <c r="X3" i="60"/>
  <c r="Y3" i="60" s="1"/>
  <c r="J3" i="61"/>
  <c r="K3" i="61" s="1"/>
  <c r="L5" i="60"/>
  <c r="Q5" i="60"/>
  <c r="AC12" i="60"/>
  <c r="AC13" i="60"/>
  <c r="P5" i="60"/>
  <c r="V3" i="60"/>
  <c r="W3" i="60" s="1"/>
  <c r="R3" i="60"/>
  <c r="S3" i="60" s="1"/>
  <c r="AC7" i="60"/>
  <c r="J7" i="61"/>
  <c r="L3" i="60"/>
  <c r="M3" i="60" s="1"/>
  <c r="AC8" i="60"/>
  <c r="F4" i="61"/>
  <c r="AC14" i="60"/>
  <c r="AC10" i="60"/>
  <c r="AC6" i="60"/>
  <c r="K9" i="61"/>
  <c r="F13" i="61"/>
  <c r="F9" i="61"/>
  <c r="K4" i="61"/>
  <c r="K11" i="61"/>
  <c r="K13" i="61"/>
  <c r="F8" i="61"/>
  <c r="I5" i="61"/>
  <c r="G10" i="61"/>
  <c r="G5" i="61"/>
  <c r="G12" i="61"/>
  <c r="G7" i="61"/>
  <c r="K14" i="61"/>
  <c r="G14" i="61"/>
  <c r="K8" i="61"/>
  <c r="K15" i="61"/>
  <c r="K6" i="61"/>
  <c r="F7" i="61"/>
  <c r="I4" i="61"/>
  <c r="K7" i="61"/>
  <c r="G8" i="61"/>
  <c r="G9" i="61"/>
  <c r="G11" i="61"/>
  <c r="F15" i="61"/>
  <c r="F5" i="61"/>
  <c r="G4" i="61"/>
  <c r="K10" i="61"/>
  <c r="K5" i="61"/>
  <c r="F14" i="61"/>
  <c r="F12" i="61"/>
  <c r="F6" i="61"/>
  <c r="F11" i="61"/>
  <c r="F10" i="61"/>
  <c r="G6" i="61"/>
  <c r="G13" i="61"/>
  <c r="G15" i="61"/>
  <c r="AG8" i="60"/>
  <c r="AG11" i="60"/>
  <c r="AG7" i="60"/>
  <c r="AG14" i="60"/>
  <c r="AG10" i="60"/>
  <c r="AG4" i="60"/>
  <c r="AG6" i="60"/>
  <c r="AG13" i="60"/>
  <c r="AG9" i="60"/>
  <c r="AG5" i="60"/>
  <c r="AG12" i="60"/>
  <c r="I5" i="60"/>
  <c r="H4" i="60"/>
  <c r="I4" i="60"/>
  <c r="H5" i="60"/>
  <c r="C5" i="13"/>
  <c r="C6" i="13"/>
  <c r="C7" i="13"/>
  <c r="C8" i="13"/>
  <c r="C9" i="13"/>
  <c r="C10" i="13"/>
  <c r="C11" i="13"/>
  <c r="C12" i="13"/>
  <c r="C13" i="13"/>
  <c r="C14" i="13"/>
  <c r="C4" i="13"/>
  <c r="B5" i="13"/>
  <c r="B6" i="13"/>
  <c r="B7" i="13"/>
  <c r="B8" i="13"/>
  <c r="B9" i="13"/>
  <c r="B10" i="13"/>
  <c r="B11" i="13"/>
  <c r="B12" i="13"/>
  <c r="B13" i="13"/>
  <c r="B14" i="13"/>
  <c r="B4" i="13"/>
  <c r="I4" i="13"/>
  <c r="B3" i="13"/>
  <c r="H4" i="13"/>
  <c r="H5" i="13"/>
  <c r="I5" i="13"/>
  <c r="H6" i="13"/>
  <c r="I6" i="13"/>
  <c r="H7" i="13"/>
  <c r="I7" i="13"/>
  <c r="H8" i="13"/>
  <c r="I8" i="13"/>
  <c r="H9" i="13"/>
  <c r="I9" i="13"/>
  <c r="H10" i="13"/>
  <c r="I10" i="13"/>
  <c r="H11" i="13"/>
  <c r="I11" i="13"/>
  <c r="H12" i="13"/>
  <c r="I12" i="13"/>
  <c r="H13" i="13"/>
  <c r="I13" i="13"/>
  <c r="H14" i="13"/>
  <c r="I14" i="13"/>
  <c r="I3" i="13"/>
  <c r="H3" i="13"/>
  <c r="C3" i="13"/>
  <c r="P10" i="45" l="1"/>
  <c r="T12" i="51" a="1"/>
  <c r="F10" i="32"/>
  <c r="S3" i="43"/>
  <c r="Q13" i="48"/>
  <c r="Q11" i="47"/>
  <c r="S4" i="44"/>
  <c r="P13" i="50"/>
  <c r="Q4" i="42"/>
  <c r="T6" i="47" a="1"/>
  <c r="R4" i="48"/>
  <c r="AH10" i="32"/>
  <c r="S11" i="47"/>
  <c r="T14" i="50" a="1"/>
  <c r="S6" i="45"/>
  <c r="P6" i="47"/>
  <c r="T13" i="47" a="1"/>
  <c r="D7" i="61" a="1"/>
  <c r="R9" i="53"/>
  <c r="Q6" i="32"/>
  <c r="S8" i="54"/>
  <c r="S12" i="43"/>
  <c r="T9" i="45" a="1"/>
  <c r="P11" i="45"/>
  <c r="M8" i="32"/>
  <c r="Q7" i="49"/>
  <c r="T11" i="49" a="1"/>
  <c r="R3" i="32"/>
  <c r="V10" i="32"/>
  <c r="AH8" i="32"/>
  <c r="P6" i="43"/>
  <c r="T3" i="53" a="1"/>
  <c r="T7" i="50" a="1"/>
  <c r="R12" i="48"/>
  <c r="P14" i="47"/>
  <c r="AD10" i="32"/>
  <c r="P11" i="43"/>
  <c r="P14" i="49"/>
  <c r="F3" i="32"/>
  <c r="S6" i="43"/>
  <c r="S6" i="47"/>
  <c r="R3" i="43"/>
  <c r="R10" i="50"/>
  <c r="Q10" i="32"/>
  <c r="S8" i="43"/>
  <c r="F7" i="32"/>
  <c r="Y12" i="32"/>
  <c r="Q5" i="50"/>
  <c r="D15" i="61" a="1"/>
  <c r="S12" i="49"/>
  <c r="S3" i="48"/>
  <c r="S3" i="42"/>
  <c r="I4" i="32"/>
  <c r="T7" i="48" a="1"/>
  <c r="D12" i="61" a="1"/>
  <c r="P14" i="43"/>
  <c r="P12" i="43"/>
  <c r="P4" i="54"/>
  <c r="P13" i="54"/>
  <c r="Q6" i="50"/>
  <c r="R12" i="47"/>
  <c r="Q12" i="39"/>
  <c r="T7" i="54" a="1"/>
  <c r="R14" i="53"/>
  <c r="Q3" i="42"/>
  <c r="AG4" i="32"/>
  <c r="T12" i="54" a="1"/>
  <c r="T4" i="50" a="1"/>
  <c r="Q10" i="48"/>
  <c r="Q9" i="50"/>
  <c r="Q4" i="39"/>
  <c r="T10" i="50" a="1"/>
  <c r="P7" i="44"/>
  <c r="T5" i="42" a="1"/>
  <c r="S8" i="45"/>
  <c r="U11" i="32"/>
  <c r="S12" i="44"/>
  <c r="T8" i="45" a="1"/>
  <c r="R10" i="49"/>
  <c r="T6" i="54" a="1"/>
  <c r="R5" i="32"/>
  <c r="R9" i="45"/>
  <c r="R13" i="49"/>
  <c r="P7" i="39"/>
  <c r="F12" i="32"/>
  <c r="R3" i="50"/>
  <c r="T3" i="42" a="1"/>
  <c r="S9" i="44"/>
  <c r="T11" i="42" a="1"/>
  <c r="R10" i="43"/>
  <c r="P10" i="48"/>
  <c r="U10" i="32"/>
  <c r="M12" i="32"/>
  <c r="S12" i="53"/>
  <c r="T12" i="42" a="1"/>
  <c r="V5" i="32"/>
  <c r="T9" i="43" a="1"/>
  <c r="R11" i="43"/>
  <c r="P4" i="50"/>
  <c r="N9" i="32"/>
  <c r="Q11" i="43"/>
  <c r="R13" i="43"/>
  <c r="Q3" i="32"/>
  <c r="R9" i="43"/>
  <c r="P13" i="42"/>
  <c r="T12" i="49" a="1"/>
  <c r="P12" i="44"/>
  <c r="Q3" i="49"/>
  <c r="S12" i="54"/>
  <c r="S6" i="51"/>
  <c r="R11" i="42"/>
  <c r="T8" i="43" a="1"/>
  <c r="S5" i="44"/>
  <c r="P5" i="51"/>
  <c r="R8" i="47"/>
  <c r="E5" i="32"/>
  <c r="AH7" i="32"/>
  <c r="T6" i="45" a="1"/>
  <c r="E13" i="61" a="1"/>
  <c r="P9" i="49"/>
  <c r="R13" i="50"/>
  <c r="R5" i="45"/>
  <c r="R14" i="43"/>
  <c r="E7" i="32"/>
  <c r="Y10" i="32"/>
  <c r="P11" i="42"/>
  <c r="Q12" i="50"/>
  <c r="Q10" i="54"/>
  <c r="J10" i="32"/>
  <c r="AC3" i="32"/>
  <c r="S10" i="48"/>
  <c r="S7" i="51"/>
  <c r="N10" i="32"/>
  <c r="S14" i="48"/>
  <c r="R12" i="53"/>
  <c r="S12" i="42"/>
  <c r="Q12" i="51"/>
  <c r="R10" i="54"/>
  <c r="Q6" i="51"/>
  <c r="Q7" i="39"/>
  <c r="E9" i="32"/>
  <c r="S4" i="43"/>
  <c r="S5" i="51"/>
  <c r="S13" i="47"/>
  <c r="Q13" i="45"/>
  <c r="P4" i="51"/>
  <c r="Q3" i="45"/>
  <c r="Q8" i="49"/>
  <c r="P8" i="54"/>
  <c r="P7" i="45"/>
  <c r="P3" i="50"/>
  <c r="Q3" i="54"/>
  <c r="R9" i="50"/>
  <c r="R5" i="51"/>
  <c r="J5" i="32"/>
  <c r="S6" i="49"/>
  <c r="Q12" i="47"/>
  <c r="T13" i="44" a="1"/>
  <c r="Q9" i="43"/>
  <c r="T12" i="45" a="1"/>
  <c r="T4" i="47" a="1"/>
  <c r="Q11" i="50"/>
  <c r="S7" i="42"/>
  <c r="S12" i="45"/>
  <c r="T5" i="43" a="1"/>
  <c r="R13" i="54"/>
  <c r="T14" i="47" a="1"/>
  <c r="R4" i="49"/>
  <c r="P9" i="44"/>
  <c r="S7" i="54"/>
  <c r="T9" i="48" a="1"/>
  <c r="P7" i="53"/>
  <c r="R13" i="48"/>
  <c r="R4" i="44"/>
  <c r="P14" i="44"/>
  <c r="S7" i="49"/>
  <c r="T8" i="42" a="1"/>
  <c r="T9" i="54" a="1"/>
  <c r="T8" i="48" a="1"/>
  <c r="AC8" i="32"/>
  <c r="Q14" i="39"/>
  <c r="P6" i="39"/>
  <c r="Q9" i="54"/>
  <c r="T4" i="51" a="1"/>
  <c r="P12" i="42"/>
  <c r="Q3" i="47"/>
  <c r="S4" i="48"/>
  <c r="Q11" i="44"/>
  <c r="T13" i="49" a="1"/>
  <c r="R7" i="48"/>
  <c r="Q7" i="48"/>
  <c r="P12" i="53"/>
  <c r="R7" i="43"/>
  <c r="T9" i="44" a="1"/>
  <c r="T4" i="54" a="1"/>
  <c r="I7" i="32"/>
  <c r="V4" i="32"/>
  <c r="E9" i="61" a="1"/>
  <c r="S14" i="54"/>
  <c r="R7" i="32"/>
  <c r="P5" i="53"/>
  <c r="T10" i="47" a="1"/>
  <c r="Q3" i="51"/>
  <c r="U3" i="32"/>
  <c r="P8" i="49"/>
  <c r="R11" i="48"/>
  <c r="Y8" i="32"/>
  <c r="S8" i="53"/>
  <c r="R6" i="45"/>
  <c r="T5" i="48" a="1"/>
  <c r="P11" i="53"/>
  <c r="Y7" i="32"/>
  <c r="R6" i="54"/>
  <c r="AH9" i="32"/>
  <c r="S10" i="49"/>
  <c r="P8" i="39"/>
  <c r="P10" i="53"/>
  <c r="T3" i="51" a="1"/>
  <c r="S6" i="44"/>
  <c r="U4" i="32"/>
  <c r="E8" i="32"/>
  <c r="R3" i="47"/>
  <c r="U6" i="32"/>
  <c r="P14" i="51"/>
  <c r="Y3" i="32"/>
  <c r="AC10" i="32"/>
  <c r="T12" i="48" a="1"/>
  <c r="Z3" i="32"/>
  <c r="P13" i="47"/>
  <c r="E7" i="61" a="1"/>
  <c r="T13" i="53" a="1"/>
  <c r="P7" i="43"/>
  <c r="S8" i="39"/>
  <c r="T11" i="54" a="1"/>
  <c r="T3" i="50" a="1"/>
  <c r="V6" i="32"/>
  <c r="E4" i="61" a="1"/>
  <c r="P11" i="51"/>
  <c r="R5" i="48"/>
  <c r="Q5" i="44"/>
  <c r="N4" i="32"/>
  <c r="T7" i="49" a="1"/>
  <c r="Q11" i="51"/>
  <c r="T13" i="50" a="1"/>
  <c r="M7" i="32"/>
  <c r="AG11" i="32"/>
  <c r="P13" i="44"/>
  <c r="P14" i="42"/>
  <c r="P11" i="50"/>
  <c r="Y5" i="32"/>
  <c r="S10" i="43"/>
  <c r="Q14" i="48"/>
  <c r="R12" i="54"/>
  <c r="R8" i="42"/>
  <c r="T11" i="51" a="1"/>
  <c r="Q12" i="42"/>
  <c r="T5" i="44" a="1"/>
  <c r="P3" i="47"/>
  <c r="Q13" i="44"/>
  <c r="P9" i="50"/>
  <c r="R10" i="53"/>
  <c r="Q3" i="48"/>
  <c r="Q8" i="45"/>
  <c r="T4" i="43" a="1"/>
  <c r="T4" i="45" a="1"/>
  <c r="S10" i="54"/>
  <c r="T7" i="51" a="1"/>
  <c r="T14" i="45" a="1"/>
  <c r="S13" i="49"/>
  <c r="P11" i="48"/>
  <c r="S3" i="51"/>
  <c r="T6" i="42" a="1"/>
  <c r="P13" i="48"/>
  <c r="J7" i="32"/>
  <c r="AH6" i="32"/>
  <c r="P8" i="43"/>
  <c r="T9" i="50" a="1"/>
  <c r="T4" i="44" a="1"/>
  <c r="T9" i="39" a="1"/>
  <c r="R5" i="47"/>
  <c r="Q8" i="53"/>
  <c r="Q4" i="51"/>
  <c r="R12" i="42"/>
  <c r="R8" i="45"/>
  <c r="R6" i="43"/>
  <c r="R6" i="39"/>
  <c r="S14" i="44"/>
  <c r="P4" i="45"/>
  <c r="P8" i="45"/>
  <c r="R11" i="53"/>
  <c r="P12" i="51"/>
  <c r="S6" i="54"/>
  <c r="P11" i="49"/>
  <c r="Q12" i="32"/>
  <c r="P12" i="49"/>
  <c r="P14" i="45"/>
  <c r="T14" i="42" a="1"/>
  <c r="S3" i="53"/>
  <c r="R3" i="48"/>
  <c r="S9" i="39"/>
  <c r="S5" i="43"/>
  <c r="Z8" i="32"/>
  <c r="R8" i="39"/>
  <c r="M11" i="32"/>
  <c r="R4" i="54"/>
  <c r="R10" i="51"/>
  <c r="R5" i="49"/>
  <c r="S6" i="50"/>
  <c r="R14" i="47"/>
  <c r="T7" i="43" a="1"/>
  <c r="T3" i="54" a="1"/>
  <c r="U5" i="32"/>
  <c r="R4" i="39"/>
  <c r="T5" i="47" a="1"/>
  <c r="T14" i="39" a="1"/>
  <c r="S8" i="42"/>
  <c r="E6" i="32"/>
  <c r="R13" i="44"/>
  <c r="AD4" i="32"/>
  <c r="P6" i="54"/>
  <c r="T4" i="53" a="1"/>
  <c r="P6" i="50"/>
  <c r="S11" i="53"/>
  <c r="Q4" i="48"/>
  <c r="Q11" i="32"/>
  <c r="T8" i="39" a="1"/>
  <c r="Q4" i="50"/>
  <c r="R10" i="48"/>
  <c r="I11" i="32"/>
  <c r="P13" i="43"/>
  <c r="D11" i="61" a="1"/>
  <c r="P6" i="49"/>
  <c r="R12" i="50"/>
  <c r="Q14" i="44"/>
  <c r="P10" i="54"/>
  <c r="P7" i="54"/>
  <c r="T13" i="48" a="1"/>
  <c r="T14" i="53" a="1"/>
  <c r="Q5" i="49"/>
  <c r="D6" i="61" a="1"/>
  <c r="S13" i="48"/>
  <c r="T12" i="50" a="1"/>
  <c r="R12" i="49"/>
  <c r="P4" i="44"/>
  <c r="S14" i="49"/>
  <c r="R7" i="51"/>
  <c r="S6" i="39"/>
  <c r="Q5" i="51"/>
  <c r="R3" i="49"/>
  <c r="S8" i="48"/>
  <c r="Q10" i="43"/>
  <c r="P14" i="39"/>
  <c r="R12" i="32"/>
  <c r="R7" i="50"/>
  <c r="P4" i="53"/>
  <c r="P6" i="53"/>
  <c r="Q6" i="54"/>
  <c r="P3" i="45"/>
  <c r="T8" i="49" a="1"/>
  <c r="V9" i="32"/>
  <c r="S8" i="47"/>
  <c r="R4" i="42"/>
  <c r="T7" i="42" a="1"/>
  <c r="Q5" i="53"/>
  <c r="R10" i="47"/>
  <c r="T6" i="44" a="1"/>
  <c r="P9" i="45"/>
  <c r="U12" i="32"/>
  <c r="S14" i="42"/>
  <c r="T11" i="45" a="1"/>
  <c r="S12" i="48"/>
  <c r="N6" i="32"/>
  <c r="S13" i="39"/>
  <c r="T11" i="48" a="1"/>
  <c r="AC4" i="32"/>
  <c r="S11" i="43"/>
  <c r="S11" i="39"/>
  <c r="T3" i="43" a="1"/>
  <c r="R7" i="39"/>
  <c r="R14" i="45"/>
  <c r="R7" i="44"/>
  <c r="S9" i="43"/>
  <c r="E14" i="61" a="1"/>
  <c r="S8" i="49"/>
  <c r="T10" i="39" a="1"/>
  <c r="P7" i="47"/>
  <c r="S4" i="53"/>
  <c r="P10" i="44"/>
  <c r="Q11" i="49"/>
  <c r="P11" i="54"/>
  <c r="R6" i="42"/>
  <c r="S3" i="39"/>
  <c r="S11" i="48"/>
  <c r="M6" i="32"/>
  <c r="Q14" i="54"/>
  <c r="Z11" i="32"/>
  <c r="Q14" i="45"/>
  <c r="T14" i="54" a="1"/>
  <c r="I10" i="32"/>
  <c r="Q8" i="51"/>
  <c r="R9" i="39"/>
  <c r="P5" i="47"/>
  <c r="Q3" i="39"/>
  <c r="F4" i="32"/>
  <c r="Q9" i="51"/>
  <c r="P9" i="47"/>
  <c r="AG10" i="32"/>
  <c r="T3" i="48" a="1"/>
  <c r="R9" i="54"/>
  <c r="P7" i="50"/>
  <c r="S5" i="53"/>
  <c r="R14" i="49"/>
  <c r="S14" i="39"/>
  <c r="Q11" i="54"/>
  <c r="R6" i="51"/>
  <c r="Q10" i="53"/>
  <c r="R3" i="45"/>
  <c r="Q5" i="43"/>
  <c r="D4" i="61" a="1"/>
  <c r="P12" i="50"/>
  <c r="R13" i="42"/>
  <c r="R8" i="51"/>
  <c r="T8" i="53" a="1"/>
  <c r="T11" i="39" a="1"/>
  <c r="S11" i="42"/>
  <c r="S7" i="48"/>
  <c r="P14" i="54"/>
  <c r="AH12" i="32"/>
  <c r="F11" i="32"/>
  <c r="Q4" i="43"/>
  <c r="Q7" i="50"/>
  <c r="T14" i="51" a="1"/>
  <c r="P3" i="39"/>
  <c r="Q5" i="48"/>
  <c r="P4" i="47"/>
  <c r="Q5" i="39"/>
  <c r="P10" i="39"/>
  <c r="R12" i="43"/>
  <c r="AG5" i="32"/>
  <c r="S3" i="49"/>
  <c r="S11" i="44"/>
  <c r="Q12" i="54"/>
  <c r="S14" i="45"/>
  <c r="T5" i="53" a="1"/>
  <c r="Q7" i="43"/>
  <c r="AG6" i="32"/>
  <c r="AG12" i="32"/>
  <c r="R11" i="47"/>
  <c r="S5" i="48"/>
  <c r="R8" i="50"/>
  <c r="T14" i="48" a="1"/>
  <c r="T7" i="53" a="1"/>
  <c r="R12" i="45"/>
  <c r="S13" i="54"/>
  <c r="Q14" i="51"/>
  <c r="R9" i="51"/>
  <c r="Q6" i="48"/>
  <c r="AD5" i="32"/>
  <c r="S12" i="47"/>
  <c r="P4" i="43"/>
  <c r="Z12" i="32"/>
  <c r="R6" i="32"/>
  <c r="T10" i="43" a="1"/>
  <c r="R3" i="54"/>
  <c r="Z7" i="32"/>
  <c r="R11" i="32"/>
  <c r="T12" i="43" a="1"/>
  <c r="T14" i="43" a="1"/>
  <c r="U8" i="32"/>
  <c r="R11" i="49"/>
  <c r="J3" i="32"/>
  <c r="R3" i="51"/>
  <c r="S12" i="50"/>
  <c r="Q13" i="42"/>
  <c r="N8" i="32"/>
  <c r="Y6" i="32"/>
  <c r="P5" i="42"/>
  <c r="P7" i="48"/>
  <c r="S5" i="49"/>
  <c r="AG3" i="32"/>
  <c r="R13" i="39"/>
  <c r="R14" i="50"/>
  <c r="J4" i="32"/>
  <c r="D8" i="61" a="1"/>
  <c r="I5" i="32"/>
  <c r="P3" i="43"/>
  <c r="P3" i="53"/>
  <c r="AC9" i="32"/>
  <c r="P9" i="51"/>
  <c r="T6" i="51" a="1"/>
  <c r="S13" i="42"/>
  <c r="P9" i="54"/>
  <c r="P13" i="45"/>
  <c r="Q3" i="43"/>
  <c r="R9" i="48"/>
  <c r="P6" i="44"/>
  <c r="T3" i="39" a="1"/>
  <c r="F6" i="32"/>
  <c r="P14" i="53"/>
  <c r="S8" i="50"/>
  <c r="Q9" i="48"/>
  <c r="S9" i="49"/>
  <c r="S7" i="47"/>
  <c r="S13" i="45"/>
  <c r="Q11" i="53"/>
  <c r="S3" i="50"/>
  <c r="R3" i="39"/>
  <c r="P13" i="51"/>
  <c r="T9" i="42" a="1"/>
  <c r="S11" i="49"/>
  <c r="Z4" i="32"/>
  <c r="AH5" i="32"/>
  <c r="P5" i="48"/>
  <c r="Q8" i="39"/>
  <c r="R5" i="44"/>
  <c r="T4" i="48" a="1"/>
  <c r="T11" i="53" a="1"/>
  <c r="R4" i="43"/>
  <c r="T13" i="51" a="1"/>
  <c r="R6" i="48"/>
  <c r="P4" i="48"/>
  <c r="AD7" i="32"/>
  <c r="P4" i="49"/>
  <c r="Q5" i="45"/>
  <c r="P8" i="47"/>
  <c r="S14" i="50"/>
  <c r="P7" i="49"/>
  <c r="P7" i="42"/>
  <c r="S9" i="48"/>
  <c r="N5" i="32"/>
  <c r="J9" i="32"/>
  <c r="R5" i="39"/>
  <c r="T5" i="45" a="1"/>
  <c r="AH4" i="32"/>
  <c r="N7" i="32"/>
  <c r="AD3" i="32"/>
  <c r="Q4" i="44"/>
  <c r="P8" i="51"/>
  <c r="Q14" i="53"/>
  <c r="E3" i="32"/>
  <c r="R7" i="54"/>
  <c r="S10" i="51"/>
  <c r="S9" i="54"/>
  <c r="T10" i="54" a="1"/>
  <c r="T13" i="43" a="1"/>
  <c r="AD12" i="32"/>
  <c r="P4" i="39"/>
  <c r="P11" i="47"/>
  <c r="P5" i="49"/>
  <c r="T10" i="45" a="1"/>
  <c r="R6" i="49"/>
  <c r="S7" i="45"/>
  <c r="AH11" i="32"/>
  <c r="R14" i="54"/>
  <c r="S3" i="54"/>
  <c r="J12" i="32"/>
  <c r="S9" i="51"/>
  <c r="P8" i="53"/>
  <c r="R6" i="47"/>
  <c r="Q13" i="54"/>
  <c r="T11" i="43" a="1"/>
  <c r="T8" i="51" a="1"/>
  <c r="E10" i="61" a="1"/>
  <c r="Q14" i="49"/>
  <c r="T10" i="49" a="1"/>
  <c r="R5" i="43"/>
  <c r="Y9" i="32"/>
  <c r="P10" i="50"/>
  <c r="Q4" i="49"/>
  <c r="Q7" i="42"/>
  <c r="Q5" i="42"/>
  <c r="AH3" i="32"/>
  <c r="Q7" i="44"/>
  <c r="T10" i="48" a="1"/>
  <c r="R10" i="42"/>
  <c r="R4" i="45"/>
  <c r="R14" i="48"/>
  <c r="D10" i="61" a="1"/>
  <c r="R12" i="39"/>
  <c r="S6" i="53"/>
  <c r="Q8" i="50"/>
  <c r="P3" i="51"/>
  <c r="S13" i="50"/>
  <c r="Q5" i="32"/>
  <c r="E10" i="32"/>
  <c r="S14" i="51"/>
  <c r="Q8" i="43"/>
  <c r="S10" i="47"/>
  <c r="S13" i="51"/>
  <c r="R4" i="32"/>
  <c r="R13" i="47"/>
  <c r="I12" i="32"/>
  <c r="S14" i="47"/>
  <c r="S14" i="53"/>
  <c r="Z5" i="32"/>
  <c r="R3" i="42"/>
  <c r="R7" i="53"/>
  <c r="P10" i="51"/>
  <c r="S4" i="54"/>
  <c r="S5" i="45"/>
  <c r="AC5" i="32"/>
  <c r="Z9" i="32"/>
  <c r="S7" i="44"/>
  <c r="T4" i="49" a="1"/>
  <c r="Q6" i="45"/>
  <c r="S4" i="45"/>
  <c r="P8" i="44"/>
  <c r="T11" i="44" a="1"/>
  <c r="P11" i="44"/>
  <c r="P5" i="39"/>
  <c r="T14" i="49" a="1"/>
  <c r="P12" i="45"/>
  <c r="T14" i="44" a="1"/>
  <c r="Q4" i="45"/>
  <c r="R5" i="53"/>
  <c r="P6" i="48"/>
  <c r="Q8" i="42"/>
  <c r="R8" i="49"/>
  <c r="AD11" i="32"/>
  <c r="P13" i="39"/>
  <c r="S12" i="39"/>
  <c r="T13" i="39" a="1"/>
  <c r="R13" i="45"/>
  <c r="N12" i="32"/>
  <c r="S13" i="43"/>
  <c r="P12" i="47"/>
  <c r="V12" i="32"/>
  <c r="M10" i="32"/>
  <c r="R4" i="47"/>
  <c r="Q6" i="43"/>
  <c r="E12" i="32"/>
  <c r="D13" i="61" a="1"/>
  <c r="P9" i="39"/>
  <c r="E11" i="61" a="1"/>
  <c r="T8" i="47" a="1"/>
  <c r="T12" i="44" a="1"/>
  <c r="S3" i="47"/>
  <c r="P5" i="45"/>
  <c r="Q10" i="49"/>
  <c r="M5" i="32"/>
  <c r="Q10" i="44"/>
  <c r="S10" i="50"/>
  <c r="T9" i="53" a="1"/>
  <c r="S7" i="39"/>
  <c r="Q10" i="45"/>
  <c r="S4" i="51"/>
  <c r="AG9" i="32"/>
  <c r="S10" i="42"/>
  <c r="Q14" i="47"/>
  <c r="S4" i="50"/>
  <c r="R12" i="51"/>
  <c r="Q13" i="43"/>
  <c r="P9" i="43"/>
  <c r="Q3" i="53"/>
  <c r="N11" i="32"/>
  <c r="S10" i="39"/>
  <c r="T9" i="47" a="1"/>
  <c r="Q8" i="47"/>
  <c r="Q11" i="39"/>
  <c r="T12" i="47" a="1"/>
  <c r="T6" i="48" a="1"/>
  <c r="P12" i="54"/>
  <c r="E8" i="61" a="1"/>
  <c r="Q13" i="51"/>
  <c r="T11" i="50" a="1"/>
  <c r="Q11" i="48"/>
  <c r="P13" i="49"/>
  <c r="Q11" i="45"/>
  <c r="E11" i="32"/>
  <c r="R5" i="54"/>
  <c r="Q4" i="54"/>
  <c r="R4" i="50"/>
  <c r="R6" i="53"/>
  <c r="Q9" i="39"/>
  <c r="R6" i="50"/>
  <c r="J6" i="32"/>
  <c r="S10" i="53"/>
  <c r="T10" i="44" a="1"/>
  <c r="S5" i="50"/>
  <c r="T10" i="42" a="1"/>
  <c r="T5" i="54" a="1"/>
  <c r="Q12" i="53"/>
  <c r="P5" i="43"/>
  <c r="P11" i="39"/>
  <c r="R3" i="44"/>
  <c r="T11" i="47" a="1"/>
  <c r="S12" i="51"/>
  <c r="J8" i="32"/>
  <c r="P8" i="48"/>
  <c r="U7" i="32"/>
  <c r="Q8" i="48"/>
  <c r="S13" i="53"/>
  <c r="R8" i="32"/>
  <c r="Q14" i="42"/>
  <c r="Q10" i="47"/>
  <c r="Q6" i="39"/>
  <c r="Q5" i="47"/>
  <c r="F9" i="32"/>
  <c r="S4" i="49"/>
  <c r="S5" i="42"/>
  <c r="P14" i="50"/>
  <c r="Q3" i="50"/>
  <c r="AC11" i="32"/>
  <c r="M9" i="32"/>
  <c r="T8" i="50" a="1"/>
  <c r="Q14" i="43"/>
  <c r="P3" i="44"/>
  <c r="R8" i="54"/>
  <c r="Q9" i="44"/>
  <c r="Q9" i="42"/>
  <c r="Q13" i="47"/>
  <c r="Z6" i="32"/>
  <c r="D14" i="61" a="1"/>
  <c r="Q6" i="42"/>
  <c r="P12" i="39"/>
  <c r="R7" i="42"/>
  <c r="Q12" i="44"/>
  <c r="R4" i="51"/>
  <c r="S9" i="45"/>
  <c r="S5" i="54"/>
  <c r="Q12" i="48"/>
  <c r="I6" i="32"/>
  <c r="S4" i="47"/>
  <c r="R3" i="53"/>
  <c r="P10" i="43"/>
  <c r="V8" i="32"/>
  <c r="P5" i="50"/>
  <c r="S5" i="39"/>
  <c r="S10" i="44"/>
  <c r="S6" i="48"/>
  <c r="R7" i="47"/>
  <c r="Q13" i="39"/>
  <c r="S10" i="45"/>
  <c r="Q7" i="45"/>
  <c r="T5" i="50" a="1"/>
  <c r="T3" i="47" a="1"/>
  <c r="Q6" i="49"/>
  <c r="R11" i="45"/>
  <c r="R11" i="50"/>
  <c r="R11" i="51"/>
  <c r="Q10" i="51"/>
  <c r="R10" i="32"/>
  <c r="M3" i="32"/>
  <c r="P3" i="42"/>
  <c r="R9" i="32"/>
  <c r="R11" i="54"/>
  <c r="Q9" i="53"/>
  <c r="R11" i="44"/>
  <c r="P3" i="54"/>
  <c r="Q6" i="44"/>
  <c r="T7" i="45" a="1"/>
  <c r="P10" i="49"/>
  <c r="R8" i="48"/>
  <c r="R7" i="49"/>
  <c r="T13" i="45" a="1"/>
  <c r="R10" i="45"/>
  <c r="S9" i="42"/>
  <c r="S9" i="50"/>
  <c r="AG8" i="32"/>
  <c r="AD6" i="32"/>
  <c r="Q9" i="47"/>
  <c r="P10" i="47"/>
  <c r="P14" i="48"/>
  <c r="T8" i="54" a="1"/>
  <c r="S11" i="45"/>
  <c r="E4" i="32"/>
  <c r="F5" i="32"/>
  <c r="S6" i="42"/>
  <c r="S7" i="43"/>
  <c r="V11" i="32"/>
  <c r="Q7" i="51"/>
  <c r="Q9" i="49"/>
  <c r="P5" i="44"/>
  <c r="Q6" i="53"/>
  <c r="T9" i="51" a="1"/>
  <c r="S4" i="42"/>
  <c r="R9" i="42"/>
  <c r="P6" i="42"/>
  <c r="R5" i="42"/>
  <c r="I8" i="32"/>
  <c r="R12" i="44"/>
  <c r="V3" i="32"/>
  <c r="Y11" i="32"/>
  <c r="T6" i="53" a="1"/>
  <c r="J11" i="32"/>
  <c r="Q11" i="42"/>
  <c r="R10" i="44"/>
  <c r="R14" i="39"/>
  <c r="Z10" i="32"/>
  <c r="E15" i="61" a="1"/>
  <c r="Q8" i="44"/>
  <c r="Q9" i="45"/>
  <c r="Q13" i="49"/>
  <c r="AC7" i="32"/>
  <c r="S7" i="53"/>
  <c r="Q9" i="32"/>
  <c r="P4" i="42"/>
  <c r="T12" i="39" a="1"/>
  <c r="E12" i="61" a="1"/>
  <c r="T4" i="42" a="1"/>
  <c r="Q10" i="50"/>
  <c r="T5" i="39" a="1"/>
  <c r="Q6" i="47"/>
  <c r="T6" i="39" a="1"/>
  <c r="Q12" i="45"/>
  <c r="P3" i="49"/>
  <c r="T9" i="49" a="1"/>
  <c r="S11" i="51"/>
  <c r="F8" i="32"/>
  <c r="Q12" i="43"/>
  <c r="AC6" i="32"/>
  <c r="Q8" i="54"/>
  <c r="R8" i="43"/>
  <c r="Q7" i="47"/>
  <c r="P8" i="50"/>
  <c r="S11" i="50"/>
  <c r="P5" i="54"/>
  <c r="T5" i="51" a="1"/>
  <c r="Q8" i="32"/>
  <c r="D9" i="61" a="1"/>
  <c r="M4" i="32"/>
  <c r="N3" i="32"/>
  <c r="T13" i="42" a="1"/>
  <c r="V7" i="32"/>
  <c r="Q10" i="39"/>
  <c r="T6" i="43" a="1"/>
  <c r="T3" i="45" a="1"/>
  <c r="Q3" i="44"/>
  <c r="R6" i="44"/>
  <c r="R13" i="53"/>
  <c r="AD9" i="32"/>
  <c r="T3" i="44" a="1"/>
  <c r="S9" i="47"/>
  <c r="Q10" i="42"/>
  <c r="P3" i="48"/>
  <c r="S3" i="45"/>
  <c r="R10" i="39"/>
  <c r="S9" i="53"/>
  <c r="T6" i="50" a="1"/>
  <c r="Q13" i="53"/>
  <c r="T7" i="47" a="1"/>
  <c r="AG7" i="32"/>
  <c r="P9" i="53"/>
  <c r="P7" i="51"/>
  <c r="Q5" i="54"/>
  <c r="R9" i="49"/>
  <c r="P6" i="45"/>
  <c r="R8" i="53"/>
  <c r="S7" i="50"/>
  <c r="T10" i="51" a="1"/>
  <c r="S3" i="44"/>
  <c r="P10" i="42"/>
  <c r="Q4" i="53"/>
  <c r="Q7" i="53"/>
  <c r="P9" i="42"/>
  <c r="P12" i="48"/>
  <c r="T7" i="39" a="1"/>
  <c r="T3" i="49" a="1"/>
  <c r="D5" i="61" a="1"/>
  <c r="P6" i="51"/>
  <c r="R14" i="42"/>
  <c r="R14" i="44"/>
  <c r="Q13" i="50"/>
  <c r="S13" i="44"/>
  <c r="AC12" i="32"/>
  <c r="T4" i="39" a="1"/>
  <c r="Y4" i="32"/>
  <c r="E5" i="61" a="1"/>
  <c r="R7" i="45"/>
  <c r="S8" i="44"/>
  <c r="S4" i="39"/>
  <c r="R4" i="53"/>
  <c r="I9" i="32"/>
  <c r="R13" i="51"/>
  <c r="R8" i="44"/>
  <c r="R9" i="47"/>
  <c r="Q14" i="50"/>
  <c r="T10" i="53" a="1"/>
  <c r="T7" i="44" a="1"/>
  <c r="P9" i="48"/>
  <c r="Q4" i="47"/>
  <c r="R9" i="44"/>
  <c r="S5" i="47"/>
  <c r="U9" i="32"/>
  <c r="T13" i="54" a="1"/>
  <c r="R5" i="50"/>
  <c r="P8" i="42"/>
  <c r="E6" i="61" a="1"/>
  <c r="Q7" i="32"/>
  <c r="T8" i="44" a="1"/>
  <c r="S8" i="51"/>
  <c r="T6" i="49" a="1"/>
  <c r="Q12" i="49"/>
  <c r="S14" i="43"/>
  <c r="S11" i="54"/>
  <c r="Q4" i="32"/>
  <c r="R11" i="39"/>
  <c r="AD8" i="32"/>
  <c r="P13" i="53"/>
  <c r="R14" i="51"/>
  <c r="T12" i="53" a="1"/>
  <c r="Q7" i="54"/>
  <c r="T5" i="49" a="1"/>
  <c r="S6" i="58" l="1"/>
  <c r="T9" i="58" a="1"/>
  <c r="T9" i="58" s="1"/>
  <c r="C9" i="58" s="1"/>
  <c r="G10" i="60" s="1" a="1"/>
  <c r="G10" i="60" s="1"/>
  <c r="T13" i="58" a="1"/>
  <c r="T13" i="58" s="1"/>
  <c r="C13" i="58" s="1"/>
  <c r="G14" i="60" s="1" a="1"/>
  <c r="G14" i="60" s="1"/>
  <c r="R12" i="58"/>
  <c r="Q6" i="58"/>
  <c r="B6" i="58" s="1"/>
  <c r="F7" i="60" s="1" a="1"/>
  <c r="F7" i="60" s="1"/>
  <c r="Q5" i="58"/>
  <c r="B5" i="58" s="1"/>
  <c r="F6" i="60" s="1" a="1"/>
  <c r="F6" i="60" s="1"/>
  <c r="R13" i="58"/>
  <c r="T6" i="58" a="1"/>
  <c r="T6" i="58" s="1"/>
  <c r="C6" i="58" s="1"/>
  <c r="G7" i="60" s="1" a="1"/>
  <c r="G7" i="60" s="1"/>
  <c r="R9" i="58"/>
  <c r="Q13" i="58"/>
  <c r="B13" i="58" s="1"/>
  <c r="F14" i="60" s="1" a="1"/>
  <c r="F14" i="60" s="1"/>
  <c r="Q9" i="58"/>
  <c r="B9" i="58" s="1"/>
  <c r="F10" i="60" s="1" a="1"/>
  <c r="F10" i="60" s="1"/>
  <c r="R8" i="58"/>
  <c r="S5" i="58"/>
  <c r="R14" i="58"/>
  <c r="Q11" i="58"/>
  <c r="B11" i="58" s="1"/>
  <c r="F12" i="60" s="1" a="1"/>
  <c r="F12" i="60" s="1"/>
  <c r="S13" i="58"/>
  <c r="T14" i="58" a="1"/>
  <c r="T14" i="58" s="1"/>
  <c r="C14" i="58" s="1"/>
  <c r="G15" i="60" s="1" a="1"/>
  <c r="G15" i="60" s="1"/>
  <c r="R11" i="58"/>
  <c r="R5" i="58"/>
  <c r="T5" i="58" a="1"/>
  <c r="T5" i="58" s="1"/>
  <c r="C5" i="58" s="1"/>
  <c r="G6" i="60" s="1" a="1"/>
  <c r="G6" i="60" s="1"/>
  <c r="Q7" i="58"/>
  <c r="B7" i="58" s="1"/>
  <c r="F8" i="60" s="1" a="1"/>
  <c r="F8" i="60" s="1"/>
  <c r="S8" i="58"/>
  <c r="Q12" i="58"/>
  <c r="B12" i="58" s="1"/>
  <c r="F13" i="60" s="1" a="1"/>
  <c r="F13" i="60" s="1"/>
  <c r="R6" i="58"/>
  <c r="S12" i="58"/>
  <c r="T10" i="58" a="1"/>
  <c r="T10" i="58" s="1"/>
  <c r="C10" i="58" s="1"/>
  <c r="G11" i="60" s="1" a="1"/>
  <c r="G11" i="60" s="1"/>
  <c r="S11" i="58"/>
  <c r="S9" i="58"/>
  <c r="R10" i="58"/>
  <c r="T11" i="58" a="1"/>
  <c r="T11" i="58" s="1"/>
  <c r="C11" i="58" s="1"/>
  <c r="G12" i="60" s="1" a="1"/>
  <c r="G12" i="60" s="1"/>
  <c r="Q10" i="58"/>
  <c r="B10" i="58" s="1"/>
  <c r="F11" i="60" s="1" a="1"/>
  <c r="F11" i="60" s="1"/>
  <c r="R7" i="58"/>
  <c r="S10" i="58"/>
  <c r="T12" i="58" a="1"/>
  <c r="T12" i="58" s="1"/>
  <c r="C12" i="58" s="1"/>
  <c r="G13" i="60" s="1" a="1"/>
  <c r="G13" i="60" s="1"/>
  <c r="S7" i="58"/>
  <c r="T7" i="58" a="1"/>
  <c r="T7" i="58" s="1"/>
  <c r="C7" i="58" s="1"/>
  <c r="G8" i="60" s="1" a="1"/>
  <c r="G8" i="60" s="1"/>
  <c r="Q8" i="58"/>
  <c r="B8" i="58" s="1"/>
  <c r="F9" i="60" s="1" a="1"/>
  <c r="F9" i="60" s="1"/>
  <c r="T8" i="58" a="1"/>
  <c r="T8" i="58" s="1"/>
  <c r="C8" i="58" s="1"/>
  <c r="G9" i="60" s="1" a="1"/>
  <c r="G9" i="60" s="1"/>
  <c r="S14" i="58"/>
  <c r="Q14" i="58"/>
  <c r="B14" i="58" s="1"/>
  <c r="F15" i="60" s="1" a="1"/>
  <c r="F15" i="60" s="1"/>
  <c r="S4" i="58"/>
  <c r="T4" i="58" a="1"/>
  <c r="T4" i="58" s="1"/>
  <c r="C4" i="58" s="1"/>
  <c r="G5" i="60" s="1" a="1"/>
  <c r="G5" i="60" s="1"/>
  <c r="T3" i="58" a="1"/>
  <c r="T3" i="58" s="1"/>
  <c r="C3" i="58" s="1"/>
  <c r="G4" i="60" s="1" a="1"/>
  <c r="G4" i="60" s="1"/>
  <c r="R3" i="58"/>
  <c r="Q4" i="58"/>
  <c r="B4" i="58" s="1"/>
  <c r="F5" i="60" s="1" a="1"/>
  <c r="F5" i="60" s="1"/>
  <c r="Q3" i="58"/>
  <c r="B3" i="58" s="1"/>
  <c r="F4" i="60" s="1" a="1"/>
  <c r="F4" i="60" s="1"/>
  <c r="S3" i="58"/>
  <c r="R4" i="58"/>
  <c r="T13" i="59" a="1"/>
  <c r="T13" i="59" s="1"/>
  <c r="C13" i="59" s="1"/>
  <c r="E14" i="60" s="1" a="1"/>
  <c r="E14" i="60" s="1"/>
  <c r="S10" i="59"/>
  <c r="S14" i="59"/>
  <c r="S6" i="59"/>
  <c r="Q11" i="59"/>
  <c r="B11" i="59" s="1"/>
  <c r="D12" i="60" s="1" a="1"/>
  <c r="D12" i="60" s="1"/>
  <c r="T14" i="59" a="1"/>
  <c r="T14" i="59" s="1"/>
  <c r="C14" i="59" s="1"/>
  <c r="E15" i="60" s="1" a="1"/>
  <c r="E15" i="60" s="1"/>
  <c r="Q8" i="59"/>
  <c r="B8" i="59" s="1"/>
  <c r="D9" i="60" s="1" a="1"/>
  <c r="D9" i="60" s="1"/>
  <c r="R9" i="59"/>
  <c r="T10" i="59" a="1"/>
  <c r="T10" i="59" s="1"/>
  <c r="C10" i="59" s="1"/>
  <c r="E11" i="60" s="1" a="1"/>
  <c r="E11" i="60" s="1"/>
  <c r="T6" i="59" a="1"/>
  <c r="T6" i="59" s="1"/>
  <c r="C6" i="59" s="1"/>
  <c r="E7" i="60" s="1" a="1"/>
  <c r="E7" i="60" s="1"/>
  <c r="R4" i="59"/>
  <c r="R14" i="59"/>
  <c r="S4" i="59"/>
  <c r="S11" i="59"/>
  <c r="Q6" i="59"/>
  <c r="B6" i="59" s="1"/>
  <c r="D7" i="60" s="1" a="1"/>
  <c r="D7" i="60" s="1"/>
  <c r="S9" i="59"/>
  <c r="R5" i="59"/>
  <c r="Q7" i="59"/>
  <c r="B7" i="59" s="1"/>
  <c r="D8" i="60" s="1" a="1"/>
  <c r="D8" i="60" s="1"/>
  <c r="R3" i="59"/>
  <c r="R7" i="59"/>
  <c r="R10" i="59"/>
  <c r="T9" i="59" a="1"/>
  <c r="T9" i="59" s="1"/>
  <c r="C9" i="59" s="1"/>
  <c r="E10" i="60" s="1" a="1"/>
  <c r="E10" i="60" s="1"/>
  <c r="R8" i="59"/>
  <c r="Q14" i="59"/>
  <c r="B14" i="59" s="1"/>
  <c r="D15" i="60" s="1" a="1"/>
  <c r="D15" i="60" s="1"/>
  <c r="S5" i="59"/>
  <c r="T4" i="59" a="1"/>
  <c r="T4" i="59" s="1"/>
  <c r="C4" i="59" s="1"/>
  <c r="E5" i="60" s="1" a="1"/>
  <c r="E5" i="60" s="1"/>
  <c r="S8" i="59"/>
  <c r="T5" i="59" a="1"/>
  <c r="T5" i="59" s="1"/>
  <c r="C5" i="59" s="1"/>
  <c r="E6" i="60" s="1" a="1"/>
  <c r="E6" i="60" s="1"/>
  <c r="T8" i="59" a="1"/>
  <c r="T8" i="59" s="1"/>
  <c r="C8" i="59" s="1"/>
  <c r="E9" i="60" s="1" a="1"/>
  <c r="E9" i="60" s="1"/>
  <c r="S3" i="59"/>
  <c r="T7" i="59" a="1"/>
  <c r="T7" i="59" s="1"/>
  <c r="C7" i="59" s="1"/>
  <c r="E8" i="60" s="1" a="1"/>
  <c r="E8" i="60" s="1"/>
  <c r="T12" i="59" a="1"/>
  <c r="T12" i="59" s="1"/>
  <c r="C12" i="59" s="1"/>
  <c r="E13" i="60" s="1" a="1"/>
  <c r="E13" i="60" s="1"/>
  <c r="T11" i="59" a="1"/>
  <c r="T11" i="59" s="1"/>
  <c r="C11" i="59" s="1"/>
  <c r="E12" i="60" s="1" a="1"/>
  <c r="E12" i="60" s="1"/>
  <c r="Q3" i="59"/>
  <c r="B3" i="59" s="1"/>
  <c r="D4" i="60" s="1" a="1"/>
  <c r="D4" i="60" s="1"/>
  <c r="R13" i="59"/>
  <c r="R11" i="59"/>
  <c r="Q9" i="59"/>
  <c r="B9" i="59" s="1"/>
  <c r="D10" i="60" s="1" a="1"/>
  <c r="D10" i="60" s="1"/>
  <c r="R12" i="59"/>
  <c r="S12" i="59"/>
  <c r="R6" i="59"/>
  <c r="S7" i="59"/>
  <c r="Q5" i="59"/>
  <c r="B5" i="59" s="1"/>
  <c r="D6" i="60" s="1" a="1"/>
  <c r="D6" i="60" s="1"/>
  <c r="Q10" i="59"/>
  <c r="B10" i="59" s="1"/>
  <c r="D11" i="60" s="1" a="1"/>
  <c r="D11" i="60" s="1"/>
  <c r="S13" i="59"/>
  <c r="Q13" i="59"/>
  <c r="B13" i="59" s="1"/>
  <c r="D14" i="60" s="1" a="1"/>
  <c r="D14" i="60" s="1"/>
  <c r="Q12" i="59"/>
  <c r="B12" i="59" s="1"/>
  <c r="D13" i="60" s="1" a="1"/>
  <c r="D13" i="60" s="1"/>
  <c r="T3" i="59" a="1"/>
  <c r="T3" i="59" s="1"/>
  <c r="C3" i="59" s="1"/>
  <c r="E4" i="60" s="1" a="1"/>
  <c r="E4" i="60" s="1"/>
  <c r="Q4" i="59"/>
  <c r="B4" i="59" s="1"/>
  <c r="D5" i="60" s="1" a="1"/>
  <c r="D5" i="60" s="1"/>
  <c r="S8" i="71"/>
  <c r="S9" i="71"/>
  <c r="T6" i="71" a="1"/>
  <c r="T6" i="71" s="1"/>
  <c r="C6" i="71" s="1"/>
  <c r="U7" i="60" s="1" a="1"/>
  <c r="T8" i="71" a="1"/>
  <c r="T8" i="71" s="1"/>
  <c r="C8" i="71" s="1"/>
  <c r="U9" i="60" s="1" a="1"/>
  <c r="S11" i="71"/>
  <c r="S4" i="71"/>
  <c r="S10" i="71"/>
  <c r="R9" i="71"/>
  <c r="T4" i="71" a="1"/>
  <c r="T4" i="71" s="1"/>
  <c r="C4" i="71" s="1"/>
  <c r="U5" i="60" s="1" a="1"/>
  <c r="S14" i="71"/>
  <c r="R13" i="71"/>
  <c r="R8" i="71"/>
  <c r="S7" i="71"/>
  <c r="R12" i="71"/>
  <c r="T13" i="71" a="1"/>
  <c r="T13" i="71" s="1"/>
  <c r="C13" i="71" s="1"/>
  <c r="U14" i="60" s="1" a="1"/>
  <c r="S12" i="71"/>
  <c r="Q5" i="71"/>
  <c r="B5" i="71" s="1"/>
  <c r="T6" i="60" s="1" a="1"/>
  <c r="Q3" i="71"/>
  <c r="B3" i="71" s="1"/>
  <c r="T4" i="60" s="1" a="1"/>
  <c r="R5" i="71"/>
  <c r="Q7" i="71"/>
  <c r="B7" i="71" s="1"/>
  <c r="T8" i="60" s="1" a="1"/>
  <c r="S13" i="71"/>
  <c r="R3" i="71"/>
  <c r="R7" i="71"/>
  <c r="Q4" i="71"/>
  <c r="B4" i="71" s="1"/>
  <c r="T5" i="60" s="1" a="1"/>
  <c r="T14" i="71" a="1"/>
  <c r="T14" i="71" s="1"/>
  <c r="C14" i="71" s="1"/>
  <c r="U15" i="60" s="1" a="1"/>
  <c r="Q9" i="71"/>
  <c r="B9" i="71" s="1"/>
  <c r="T10" i="60" s="1" a="1"/>
  <c r="Q14" i="71"/>
  <c r="B14" i="71" s="1"/>
  <c r="T15" i="60" s="1" a="1"/>
  <c r="Q10" i="71"/>
  <c r="B10" i="71" s="1"/>
  <c r="T11" i="60" s="1" a="1"/>
  <c r="T5" i="71" a="1"/>
  <c r="T5" i="71" s="1"/>
  <c r="C5" i="71" s="1"/>
  <c r="U6" i="60" s="1" a="1"/>
  <c r="S5" i="71"/>
  <c r="R10" i="71"/>
  <c r="Q8" i="71"/>
  <c r="B8" i="71" s="1"/>
  <c r="T9" i="60" s="1" a="1"/>
  <c r="R14" i="71"/>
  <c r="Q6" i="71"/>
  <c r="B6" i="71" s="1"/>
  <c r="T7" i="60" s="1" a="1"/>
  <c r="S3" i="71"/>
  <c r="Q11" i="71"/>
  <c r="B11" i="71" s="1"/>
  <c r="T12" i="60" s="1" a="1"/>
  <c r="S6" i="71"/>
  <c r="T11" i="71" a="1"/>
  <c r="T11" i="71" s="1"/>
  <c r="C11" i="71" s="1"/>
  <c r="U12" i="60" s="1" a="1"/>
  <c r="T10" i="71" a="1"/>
  <c r="T10" i="71" s="1"/>
  <c r="C10" i="71" s="1"/>
  <c r="U11" i="60" s="1" a="1"/>
  <c r="R11" i="71"/>
  <c r="T7" i="71" a="1"/>
  <c r="T7" i="71" s="1"/>
  <c r="C7" i="71" s="1"/>
  <c r="U8" i="60" s="1" a="1"/>
  <c r="R4" i="71"/>
  <c r="Q12" i="71"/>
  <c r="B12" i="71" s="1"/>
  <c r="T13" i="60" s="1" a="1"/>
  <c r="T12" i="71" a="1"/>
  <c r="T12" i="71" s="1"/>
  <c r="C12" i="71" s="1"/>
  <c r="U13" i="60" s="1" a="1"/>
  <c r="T3" i="71" a="1"/>
  <c r="T3" i="71" s="1"/>
  <c r="C3" i="71" s="1"/>
  <c r="U4" i="60" s="1" a="1"/>
  <c r="T9" i="71" a="1"/>
  <c r="T9" i="71" s="1"/>
  <c r="C9" i="71" s="1"/>
  <c r="U10" i="60" s="1" a="1"/>
  <c r="R6" i="71"/>
  <c r="Q13" i="71"/>
  <c r="B13" i="71" s="1"/>
  <c r="T14" i="60" s="1" a="1"/>
  <c r="T7" i="43"/>
  <c r="D11" i="61"/>
  <c r="D9" i="61"/>
  <c r="T11" i="43"/>
  <c r="T12" i="53"/>
  <c r="T13" i="42"/>
  <c r="C13" i="42" s="1"/>
  <c r="D8" i="61"/>
  <c r="T5" i="53"/>
  <c r="T7" i="42"/>
  <c r="C7" i="42" s="1"/>
  <c r="T10" i="43"/>
  <c r="T10" i="42"/>
  <c r="C10" i="42" s="1"/>
  <c r="E8" i="61"/>
  <c r="T8" i="42"/>
  <c r="C8" i="42" s="1"/>
  <c r="E6" i="61"/>
  <c r="T8" i="53"/>
  <c r="T11" i="42"/>
  <c r="C11" i="42" s="1"/>
  <c r="D15" i="61"/>
  <c r="E9" i="61"/>
  <c r="T10" i="53"/>
  <c r="D7" i="61"/>
  <c r="E13" i="61"/>
  <c r="T5" i="54"/>
  <c r="D14" i="61"/>
  <c r="T11" i="54"/>
  <c r="T6" i="53"/>
  <c r="T9" i="54"/>
  <c r="D13" i="61"/>
  <c r="E5" i="61"/>
  <c r="T5" i="42"/>
  <c r="C5" i="42" s="1"/>
  <c r="E7" i="61"/>
  <c r="T14" i="43"/>
  <c r="T14" i="42"/>
  <c r="C14" i="42" s="1"/>
  <c r="T6" i="43"/>
  <c r="T11" i="53"/>
  <c r="E10" i="61"/>
  <c r="T4" i="43"/>
  <c r="E15" i="61"/>
  <c r="T13" i="43"/>
  <c r="D6" i="61"/>
  <c r="T3" i="43"/>
  <c r="D10" i="61"/>
  <c r="T9" i="53"/>
  <c r="T3" i="54"/>
  <c r="T4" i="54"/>
  <c r="T7" i="53"/>
  <c r="T9" i="43"/>
  <c r="E14" i="61"/>
  <c r="T9" i="42"/>
  <c r="C9" i="42" s="1"/>
  <c r="T12" i="42"/>
  <c r="C12" i="42" s="1"/>
  <c r="T7" i="54"/>
  <c r="T3" i="53"/>
  <c r="T12" i="54"/>
  <c r="D12" i="61"/>
  <c r="E4" i="61"/>
  <c r="T4" i="42"/>
  <c r="C4" i="42" s="1"/>
  <c r="T8" i="43"/>
  <c r="D5" i="61"/>
  <c r="T13" i="54"/>
  <c r="T3" i="42"/>
  <c r="C3" i="42" s="1"/>
  <c r="D4" i="61"/>
  <c r="T6" i="54"/>
  <c r="T14" i="54"/>
  <c r="T5" i="43"/>
  <c r="T4" i="53"/>
  <c r="E12" i="61"/>
  <c r="T8" i="54"/>
  <c r="T6" i="42"/>
  <c r="C6" i="42" s="1"/>
  <c r="T10" i="54"/>
  <c r="E11" i="61"/>
  <c r="T13" i="53"/>
  <c r="T12" i="43"/>
  <c r="T14" i="53"/>
  <c r="T14" i="44"/>
  <c r="C14" i="44" s="1"/>
  <c r="T12" i="44"/>
  <c r="C12" i="44" s="1"/>
  <c r="T10" i="44"/>
  <c r="C10" i="44" s="1"/>
  <c r="T8" i="44"/>
  <c r="C8" i="44" s="1"/>
  <c r="T6" i="44"/>
  <c r="C6" i="44" s="1"/>
  <c r="T4" i="44"/>
  <c r="C4" i="44" s="1"/>
  <c r="B14" i="44"/>
  <c r="B12" i="44"/>
  <c r="B10" i="44"/>
  <c r="B8" i="44"/>
  <c r="B6" i="44"/>
  <c r="B5" i="44"/>
  <c r="B9" i="44"/>
  <c r="T13" i="44"/>
  <c r="C13" i="44" s="1"/>
  <c r="T11" i="44"/>
  <c r="C11" i="44" s="1"/>
  <c r="T9" i="44"/>
  <c r="C9" i="44" s="1"/>
  <c r="T7" i="44"/>
  <c r="C7" i="44" s="1"/>
  <c r="T5" i="44"/>
  <c r="C5" i="44" s="1"/>
  <c r="T3" i="44"/>
  <c r="C3" i="44" s="1"/>
  <c r="B13" i="44"/>
  <c r="B7" i="44"/>
  <c r="B11" i="44"/>
  <c r="B8" i="48"/>
  <c r="T11" i="48"/>
  <c r="C11" i="48" s="1"/>
  <c r="T14" i="48"/>
  <c r="C14" i="48" s="1"/>
  <c r="T6" i="48"/>
  <c r="C6" i="48" s="1"/>
  <c r="B13" i="48"/>
  <c r="B11" i="48"/>
  <c r="B3" i="48"/>
  <c r="T9" i="48"/>
  <c r="C9" i="48" s="1"/>
  <c r="B14" i="48"/>
  <c r="B6" i="48"/>
  <c r="T12" i="48"/>
  <c r="C12" i="48" s="1"/>
  <c r="T4" i="48"/>
  <c r="C4" i="48" s="1"/>
  <c r="B9" i="48"/>
  <c r="T8" i="48"/>
  <c r="C8" i="48" s="1"/>
  <c r="T7" i="48"/>
  <c r="C7" i="48" s="1"/>
  <c r="B12" i="48"/>
  <c r="B4" i="48"/>
  <c r="B5" i="48"/>
  <c r="T10" i="48"/>
  <c r="C10" i="48" s="1"/>
  <c r="B7" i="48"/>
  <c r="T13" i="48"/>
  <c r="C13" i="48" s="1"/>
  <c r="T5" i="48"/>
  <c r="C5" i="48" s="1"/>
  <c r="B10" i="48"/>
  <c r="T3" i="48"/>
  <c r="C3" i="48" s="1"/>
  <c r="B8" i="49"/>
  <c r="T14" i="49"/>
  <c r="C14" i="49" s="1"/>
  <c r="T6" i="49"/>
  <c r="C6" i="49" s="1"/>
  <c r="B11" i="49"/>
  <c r="B3" i="49"/>
  <c r="T9" i="49"/>
  <c r="C9" i="49" s="1"/>
  <c r="B14" i="49"/>
  <c r="B6" i="49"/>
  <c r="T5" i="49"/>
  <c r="C5" i="49" s="1"/>
  <c r="T11" i="49"/>
  <c r="C11" i="49" s="1"/>
  <c r="T12" i="49"/>
  <c r="C12" i="49" s="1"/>
  <c r="T4" i="49"/>
  <c r="C4" i="49" s="1"/>
  <c r="T13" i="49"/>
  <c r="C13" i="49" s="1"/>
  <c r="B9" i="49"/>
  <c r="T3" i="49"/>
  <c r="C3" i="49" s="1"/>
  <c r="T7" i="49"/>
  <c r="C7" i="49" s="1"/>
  <c r="B12" i="49"/>
  <c r="B4" i="49"/>
  <c r="T10" i="49"/>
  <c r="C10" i="49" s="1"/>
  <c r="B7" i="49"/>
  <c r="B10" i="49"/>
  <c r="T8" i="49"/>
  <c r="C8" i="49" s="1"/>
  <c r="B13" i="49"/>
  <c r="B5" i="49"/>
  <c r="B8" i="45"/>
  <c r="T14" i="45"/>
  <c r="C14" i="45" s="1"/>
  <c r="T6" i="45"/>
  <c r="C6" i="45" s="1"/>
  <c r="B11" i="45"/>
  <c r="T9" i="45"/>
  <c r="C9" i="45" s="1"/>
  <c r="B14" i="45"/>
  <c r="B6" i="45"/>
  <c r="T12" i="45"/>
  <c r="C12" i="45" s="1"/>
  <c r="T11" i="45"/>
  <c r="C11" i="45" s="1"/>
  <c r="B9" i="45"/>
  <c r="T7" i="45"/>
  <c r="C7" i="45" s="1"/>
  <c r="B12" i="45"/>
  <c r="T10" i="45"/>
  <c r="C10" i="45" s="1"/>
  <c r="B7" i="45"/>
  <c r="T8" i="45"/>
  <c r="C8" i="45" s="1"/>
  <c r="T13" i="45"/>
  <c r="C13" i="45" s="1"/>
  <c r="T5" i="45"/>
  <c r="C5" i="45" s="1"/>
  <c r="B13" i="45"/>
  <c r="B5" i="45"/>
  <c r="B10" i="45"/>
  <c r="B8" i="47"/>
  <c r="T14" i="47"/>
  <c r="C14" i="47" s="1"/>
  <c r="T6" i="47"/>
  <c r="C6" i="47" s="1"/>
  <c r="B11" i="47"/>
  <c r="B3" i="47"/>
  <c r="B13" i="47"/>
  <c r="T9" i="47"/>
  <c r="C9" i="47" s="1"/>
  <c r="B10" i="47"/>
  <c r="B14" i="47"/>
  <c r="B6" i="47"/>
  <c r="T8" i="47"/>
  <c r="C8" i="47" s="1"/>
  <c r="T12" i="47"/>
  <c r="C12" i="47" s="1"/>
  <c r="T4" i="47"/>
  <c r="C4" i="47" s="1"/>
  <c r="T11" i="47"/>
  <c r="C11" i="47" s="1"/>
  <c r="T3" i="47"/>
  <c r="C3" i="47" s="1"/>
  <c r="B9" i="47"/>
  <c r="T7" i="47"/>
  <c r="C7" i="47" s="1"/>
  <c r="B12" i="47"/>
  <c r="B4" i="47"/>
  <c r="T10" i="47"/>
  <c r="C10" i="47" s="1"/>
  <c r="B5" i="47"/>
  <c r="B7" i="47"/>
  <c r="T13" i="47"/>
  <c r="C13" i="47" s="1"/>
  <c r="T5" i="47"/>
  <c r="C5" i="47" s="1"/>
  <c r="T14" i="51"/>
  <c r="T6" i="51"/>
  <c r="T9" i="51"/>
  <c r="T3" i="51"/>
  <c r="T12" i="51"/>
  <c r="T4" i="51"/>
  <c r="T8" i="51"/>
  <c r="T7" i="51"/>
  <c r="T10" i="51"/>
  <c r="T13" i="51"/>
  <c r="T5" i="51"/>
  <c r="T11" i="51"/>
  <c r="T14" i="50"/>
  <c r="C14" i="50" s="1"/>
  <c r="T6" i="50"/>
  <c r="C6" i="50" s="1"/>
  <c r="T9" i="50"/>
  <c r="C9" i="50" s="1"/>
  <c r="T5" i="50"/>
  <c r="C5" i="50" s="1"/>
  <c r="T11" i="50"/>
  <c r="C11" i="50" s="1"/>
  <c r="T12" i="50"/>
  <c r="C12" i="50" s="1"/>
  <c r="T4" i="50"/>
  <c r="C4" i="50" s="1"/>
  <c r="T3" i="50"/>
  <c r="C3" i="50" s="1"/>
  <c r="T7" i="50"/>
  <c r="C7" i="50" s="1"/>
  <c r="T10" i="50"/>
  <c r="C10" i="50" s="1"/>
  <c r="T13" i="50"/>
  <c r="C13" i="50" s="1"/>
  <c r="T8" i="50"/>
  <c r="C8" i="50" s="1"/>
  <c r="B3" i="45"/>
  <c r="T4" i="45"/>
  <c r="C4" i="45" s="1"/>
  <c r="B4" i="45"/>
  <c r="T3" i="45"/>
  <c r="C3" i="45" s="1"/>
  <c r="T6" i="39"/>
  <c r="C6" i="39" s="1"/>
  <c r="T14" i="39"/>
  <c r="C14" i="39" s="1"/>
  <c r="B12" i="39"/>
  <c r="T9" i="39"/>
  <c r="C9" i="39" s="1"/>
  <c r="B9" i="39"/>
  <c r="B7" i="39"/>
  <c r="T4" i="39"/>
  <c r="T12" i="39"/>
  <c r="C12" i="39" s="1"/>
  <c r="T11" i="39"/>
  <c r="C11" i="39" s="1"/>
  <c r="B10" i="39"/>
  <c r="T7" i="39"/>
  <c r="C7" i="39" s="1"/>
  <c r="B5" i="39"/>
  <c r="B13" i="39"/>
  <c r="B11" i="39"/>
  <c r="T10" i="39"/>
  <c r="C10" i="39" s="1"/>
  <c r="B8" i="39"/>
  <c r="T5" i="39"/>
  <c r="C5" i="39" s="1"/>
  <c r="T13" i="39"/>
  <c r="C13" i="39" s="1"/>
  <c r="T8" i="39"/>
  <c r="C8" i="39" s="1"/>
  <c r="B6" i="39"/>
  <c r="B14" i="39"/>
  <c r="T3" i="39"/>
  <c r="H3" i="50"/>
  <c r="I3" i="50"/>
  <c r="V12" i="60" a="1"/>
  <c r="L6" i="60" a="1"/>
  <c r="X4" i="60" a="1"/>
  <c r="O11" i="60" a="1"/>
  <c r="N4" i="60" a="1"/>
  <c r="S4" i="60" a="1"/>
  <c r="Z12" i="60" a="1"/>
  <c r="Z8" i="60" a="1"/>
  <c r="Q15" i="60" a="1"/>
  <c r="Q7" i="60" a="1"/>
  <c r="S7" i="60" a="1"/>
  <c r="P6" i="60" a="1"/>
  <c r="O5" i="60" a="1"/>
  <c r="R11" i="60" a="1"/>
  <c r="I15" i="61" a="1"/>
  <c r="H9" i="61" a="1"/>
  <c r="L9" i="60" a="1"/>
  <c r="P7" i="60" a="1"/>
  <c r="S9" i="60" a="1"/>
  <c r="V6" i="60" a="1"/>
  <c r="W11" i="60" a="1"/>
  <c r="I10" i="60" a="1"/>
  <c r="J7" i="60" a="1"/>
  <c r="Z7" i="60" a="1"/>
  <c r="H13" i="60" a="1"/>
  <c r="W4" i="60" a="1"/>
  <c r="W6" i="60" a="1"/>
  <c r="I9" i="61" a="1"/>
  <c r="AA12" i="60" a="1"/>
  <c r="P8" i="60" a="1"/>
  <c r="H8" i="60" a="1"/>
  <c r="M11" i="60" a="1"/>
  <c r="H11" i="60" a="1"/>
  <c r="L13" i="60" a="1"/>
  <c r="I15" i="60" a="1"/>
  <c r="Q12" i="60" a="1"/>
  <c r="Y15" i="60" a="1"/>
  <c r="N9" i="60" a="1"/>
  <c r="I7" i="61" a="1"/>
  <c r="K8" i="60" a="1"/>
  <c r="L15" i="60" a="1"/>
  <c r="I6" i="61" a="1"/>
  <c r="K11" i="60" a="1"/>
  <c r="W14" i="60" a="1"/>
  <c r="N12" i="60" a="1"/>
  <c r="X15" i="60" a="1"/>
  <c r="X14" i="60" a="1"/>
  <c r="I12" i="60" a="1"/>
  <c r="V5" i="60" a="1"/>
  <c r="H6" i="61" a="1"/>
  <c r="R10" i="60" a="1"/>
  <c r="P11" i="60" a="1"/>
  <c r="Y7" i="60" a="1"/>
  <c r="Y12" i="60" a="1"/>
  <c r="H8" i="61" a="1"/>
  <c r="I11" i="61" a="1"/>
  <c r="Q13" i="60" a="1"/>
  <c r="H10" i="61" a="1"/>
  <c r="L8" i="60" a="1"/>
  <c r="Y5" i="60" a="1"/>
  <c r="N15" i="60" a="1"/>
  <c r="J9" i="60" a="1"/>
  <c r="AA9" i="60" a="1"/>
  <c r="Q9" i="60" a="1"/>
  <c r="H12" i="60" a="1"/>
  <c r="K6" i="60" a="1"/>
  <c r="O4" i="60" a="1"/>
  <c r="P9" i="60" a="1"/>
  <c r="N8" i="60" a="1"/>
  <c r="V8" i="60" a="1"/>
  <c r="Y6" i="60" a="1"/>
  <c r="J8" i="60" a="1"/>
  <c r="O14" i="60" a="1"/>
  <c r="R14" i="60" a="1"/>
  <c r="K13" i="60" a="1"/>
  <c r="Q6" i="60" a="1"/>
  <c r="Y11" i="60" a="1"/>
  <c r="AA10" i="60" a="1"/>
  <c r="H9" i="60" a="1"/>
  <c r="Y8" i="60" a="1"/>
  <c r="R4" i="60" a="1"/>
  <c r="I14" i="61" a="1"/>
  <c r="I6" i="60" a="1"/>
  <c r="H15" i="61" a="1"/>
  <c r="I13" i="60" a="1"/>
  <c r="R15" i="60" a="1"/>
  <c r="W7" i="60" a="1"/>
  <c r="H14" i="60" a="1"/>
  <c r="Y10" i="60" a="1"/>
  <c r="M13" i="60" a="1"/>
  <c r="I12" i="61" a="1"/>
  <c r="AA7" i="60" a="1"/>
  <c r="M14" i="60" a="1"/>
  <c r="M10" i="60" a="1"/>
  <c r="K9" i="60" a="1"/>
  <c r="W5" i="60" a="1"/>
  <c r="AA6" i="60" a="1"/>
  <c r="Q8" i="60" a="1"/>
  <c r="W12" i="60" a="1"/>
  <c r="O15" i="60" a="1"/>
  <c r="L11" i="60" a="1"/>
  <c r="X7" i="60" a="1"/>
  <c r="I14" i="60" a="1"/>
  <c r="N13" i="60" a="1"/>
  <c r="W13" i="60" a="1"/>
  <c r="Y4" i="60" a="1"/>
  <c r="Y9" i="60" a="1"/>
  <c r="L12" i="60" a="1"/>
  <c r="Z15" i="60" a="1"/>
  <c r="AA11" i="60" a="1"/>
  <c r="J13" i="60" a="1"/>
  <c r="K7" i="60" a="1"/>
  <c r="R8" i="60" a="1"/>
  <c r="P12" i="60" a="1"/>
  <c r="S12" i="60" a="1"/>
  <c r="M9" i="60" a="1"/>
  <c r="L10" i="60" a="1"/>
  <c r="P15" i="60" a="1"/>
  <c r="N6" i="60" a="1"/>
  <c r="K12" i="60" a="1"/>
  <c r="L14" i="60" a="1"/>
  <c r="X8" i="60" a="1"/>
  <c r="P14" i="60" a="1"/>
  <c r="M15" i="60" a="1"/>
  <c r="S6" i="60" a="1"/>
  <c r="O10" i="60" a="1"/>
  <c r="J12" i="60" a="1"/>
  <c r="I8" i="61" a="1"/>
  <c r="V9" i="60" a="1"/>
  <c r="Z14" i="60" a="1"/>
  <c r="V15" i="60" a="1"/>
  <c r="M7" i="60" a="1"/>
  <c r="V14" i="60" a="1"/>
  <c r="AA15" i="60" a="1"/>
  <c r="Z10" i="60" a="1"/>
  <c r="AA14" i="60" a="1"/>
  <c r="X11" i="60" a="1"/>
  <c r="AA5" i="60" a="1"/>
  <c r="H11" i="61" a="1"/>
  <c r="W10" i="60" a="1"/>
  <c r="M6" i="60" a="1"/>
  <c r="AA4" i="60" a="1"/>
  <c r="X10" i="60" a="1"/>
  <c r="AA13" i="60" a="1"/>
  <c r="AA8" i="60" a="1"/>
  <c r="I8" i="60" a="1"/>
  <c r="N11" i="60" a="1"/>
  <c r="O7" i="60" a="1"/>
  <c r="N14" i="60" a="1"/>
  <c r="I9" i="60" a="1"/>
  <c r="N7" i="60" a="1"/>
  <c r="S15" i="60" a="1"/>
  <c r="R6" i="60" a="1"/>
  <c r="Y14" i="60" a="1"/>
  <c r="H6" i="60" a="1"/>
  <c r="J11" i="60" a="1"/>
  <c r="Z6" i="60" a="1"/>
  <c r="W9" i="60" a="1"/>
  <c r="O6" i="60" a="1"/>
  <c r="N10" i="60" a="1"/>
  <c r="H7" i="60" a="1"/>
  <c r="W8" i="60" a="1"/>
  <c r="L7" i="60" a="1"/>
  <c r="Z4" i="60" a="1"/>
  <c r="J14" i="60" a="1"/>
  <c r="H7" i="61" a="1"/>
  <c r="H13" i="61" a="1"/>
  <c r="Z9" i="60" a="1"/>
  <c r="H14" i="61" a="1"/>
  <c r="X12" i="60" a="1"/>
  <c r="O8" i="60" a="1"/>
  <c r="Z13" i="60" a="1"/>
  <c r="R9" i="60" a="1"/>
  <c r="Q14" i="60" a="1"/>
  <c r="W15" i="60" a="1"/>
  <c r="S14" i="60" a="1"/>
  <c r="Z5" i="60" a="1"/>
  <c r="Q10" i="60" a="1"/>
  <c r="V4" i="60" a="1"/>
  <c r="J10" i="60" a="1"/>
  <c r="S5" i="60" a="1"/>
  <c r="K14" i="60" a="1"/>
  <c r="H12" i="61" a="1"/>
  <c r="N5" i="60" a="1"/>
  <c r="J6" i="60" a="1"/>
  <c r="O9" i="60" a="1"/>
  <c r="H15" i="60" a="1"/>
  <c r="P13" i="60" a="1"/>
  <c r="V11" i="60" a="1"/>
  <c r="V7" i="60" a="1"/>
  <c r="Y13" i="60" a="1"/>
  <c r="K10" i="60" a="1"/>
  <c r="X13" i="60" a="1"/>
  <c r="V10" i="60" a="1"/>
  <c r="S13" i="60" a="1"/>
  <c r="K15" i="60" a="1"/>
  <c r="I13" i="61" a="1"/>
  <c r="R12" i="60" a="1"/>
  <c r="O13" i="60" a="1"/>
  <c r="J15" i="60" a="1"/>
  <c r="V13" i="60" a="1"/>
  <c r="R5" i="60" a="1"/>
  <c r="P10" i="60" a="1"/>
  <c r="H10" i="60" a="1"/>
  <c r="X6" i="60" a="1"/>
  <c r="M12" i="60" a="1"/>
  <c r="R7" i="60" a="1"/>
  <c r="X9" i="60" a="1"/>
  <c r="S10" i="60" a="1"/>
  <c r="I7" i="60" a="1"/>
  <c r="X5" i="60" a="1"/>
  <c r="I11" i="60" a="1"/>
  <c r="R13" i="60" a="1"/>
  <c r="M8" i="60" a="1"/>
  <c r="Q11" i="60" a="1"/>
  <c r="S11" i="60" a="1"/>
  <c r="Z11" i="60" a="1"/>
  <c r="O12" i="60" a="1"/>
  <c r="S8" i="60" a="1"/>
  <c r="I10" i="61" a="1"/>
  <c r="T12" i="60" l="1"/>
  <c r="T5" i="60"/>
  <c r="T9" i="60"/>
  <c r="T10" i="60"/>
  <c r="U10" i="60"/>
  <c r="T8" i="60"/>
  <c r="T4" i="60"/>
  <c r="U7" i="60"/>
  <c r="T13" i="60"/>
  <c r="U5" i="60"/>
  <c r="U6" i="60"/>
  <c r="U14" i="60"/>
  <c r="T14" i="60"/>
  <c r="T6" i="60"/>
  <c r="U11" i="60"/>
  <c r="U15" i="60"/>
  <c r="U8" i="60"/>
  <c r="U4" i="60"/>
  <c r="U12" i="60"/>
  <c r="U13" i="60"/>
  <c r="T11" i="60"/>
  <c r="U9" i="60"/>
  <c r="T7" i="60"/>
  <c r="T15" i="60"/>
  <c r="I10" i="61"/>
  <c r="I12" i="61"/>
  <c r="H7" i="61"/>
  <c r="H9" i="61"/>
  <c r="H11" i="61"/>
  <c r="I14" i="61"/>
  <c r="H13" i="61"/>
  <c r="H10" i="61"/>
  <c r="H15" i="61"/>
  <c r="H12" i="61"/>
  <c r="I7" i="61"/>
  <c r="H14" i="61"/>
  <c r="I9" i="61"/>
  <c r="H6" i="61"/>
  <c r="I11" i="61"/>
  <c r="H8" i="61"/>
  <c r="I6" i="61"/>
  <c r="I13" i="61"/>
  <c r="I8" i="61"/>
  <c r="I15" i="61"/>
  <c r="Z5" i="60"/>
  <c r="AA15" i="60"/>
  <c r="AA4" i="60"/>
  <c r="Z10" i="60"/>
  <c r="AA14" i="60"/>
  <c r="AA5" i="60"/>
  <c r="AA13" i="60"/>
  <c r="Z9" i="60"/>
  <c r="AA12" i="60"/>
  <c r="AA6" i="60"/>
  <c r="Z13" i="60"/>
  <c r="Z6" i="60"/>
  <c r="Z7" i="60"/>
  <c r="AA8" i="60"/>
  <c r="AA9" i="60"/>
  <c r="Z11" i="60"/>
  <c r="Z4" i="60"/>
  <c r="Z14" i="60"/>
  <c r="Z8" i="60"/>
  <c r="Z12" i="60"/>
  <c r="Z15" i="60"/>
  <c r="AA10" i="60"/>
  <c r="AA11" i="60"/>
  <c r="AA7" i="60"/>
  <c r="X5" i="60"/>
  <c r="Y5" i="60"/>
  <c r="Y4" i="60"/>
  <c r="X4" i="60"/>
  <c r="W4" i="60"/>
  <c r="V5" i="60"/>
  <c r="V4" i="60"/>
  <c r="W5" i="60"/>
  <c r="R4" i="60"/>
  <c r="S4" i="60"/>
  <c r="R5" i="60"/>
  <c r="S5" i="60"/>
  <c r="Y8" i="60"/>
  <c r="X11" i="60"/>
  <c r="Y13" i="60"/>
  <c r="Y14" i="60"/>
  <c r="Y6" i="60"/>
  <c r="Y11" i="60"/>
  <c r="X14" i="60"/>
  <c r="Y7" i="60"/>
  <c r="X8" i="60"/>
  <c r="X15" i="60"/>
  <c r="X10" i="60"/>
  <c r="X12" i="60"/>
  <c r="X6" i="60"/>
  <c r="X7" i="60"/>
  <c r="Y10" i="60"/>
  <c r="Y15" i="60"/>
  <c r="X9" i="60"/>
  <c r="Y12" i="60"/>
  <c r="Y9" i="60"/>
  <c r="X13" i="60"/>
  <c r="W15" i="60"/>
  <c r="W14" i="60"/>
  <c r="W7" i="60"/>
  <c r="W6" i="60"/>
  <c r="V9" i="60"/>
  <c r="V6" i="60"/>
  <c r="W12" i="60"/>
  <c r="W13" i="60"/>
  <c r="W11" i="60"/>
  <c r="W8" i="60"/>
  <c r="V11" i="60"/>
  <c r="V8" i="60"/>
  <c r="V14" i="60"/>
  <c r="V15" i="60"/>
  <c r="V10" i="60"/>
  <c r="V7" i="60"/>
  <c r="W10" i="60"/>
  <c r="V12" i="60"/>
  <c r="W9" i="60"/>
  <c r="V13" i="60"/>
  <c r="S6" i="60"/>
  <c r="S7" i="60"/>
  <c r="S11" i="60"/>
  <c r="S14" i="60"/>
  <c r="R6" i="60"/>
  <c r="S8" i="60"/>
  <c r="R9" i="60"/>
  <c r="S12" i="60"/>
  <c r="R11" i="60"/>
  <c r="S13" i="60"/>
  <c r="S15" i="60"/>
  <c r="R12" i="60"/>
  <c r="R14" i="60"/>
  <c r="R8" i="60"/>
  <c r="R7" i="60"/>
  <c r="S10" i="60"/>
  <c r="R15" i="60"/>
  <c r="R10" i="60"/>
  <c r="S9" i="60"/>
  <c r="R13" i="60"/>
  <c r="N4" i="60"/>
  <c r="O4" i="60"/>
  <c r="N5" i="60"/>
  <c r="O5" i="60"/>
  <c r="Q14" i="60"/>
  <c r="P10" i="60"/>
  <c r="P6" i="60"/>
  <c r="P7" i="60"/>
  <c r="P9" i="60"/>
  <c r="P11" i="60"/>
  <c r="Q12" i="60"/>
  <c r="P13" i="60"/>
  <c r="P15" i="60"/>
  <c r="P12" i="60"/>
  <c r="P8" i="60"/>
  <c r="Q7" i="60"/>
  <c r="P14" i="60"/>
  <c r="Q9" i="60"/>
  <c r="Q11" i="60"/>
  <c r="Q6" i="60"/>
  <c r="Q13" i="60"/>
  <c r="Q10" i="60"/>
  <c r="Q8" i="60"/>
  <c r="Q15" i="60"/>
  <c r="O10" i="60"/>
  <c r="N6" i="60"/>
  <c r="N7" i="60"/>
  <c r="N9" i="60"/>
  <c r="N11" i="60"/>
  <c r="N13" i="60"/>
  <c r="N15" i="60"/>
  <c r="N12" i="60"/>
  <c r="O12" i="60"/>
  <c r="N8" i="60"/>
  <c r="O7" i="60"/>
  <c r="N10" i="60"/>
  <c r="N14" i="60"/>
  <c r="O9" i="60"/>
  <c r="O11" i="60"/>
  <c r="O14" i="60"/>
  <c r="O6" i="60"/>
  <c r="O13" i="60"/>
  <c r="O8" i="60"/>
  <c r="O15" i="60"/>
  <c r="M10" i="60"/>
  <c r="M14" i="60"/>
  <c r="L10" i="60"/>
  <c r="L6" i="60"/>
  <c r="L7" i="60"/>
  <c r="L9" i="60"/>
  <c r="L11" i="60"/>
  <c r="L13" i="60"/>
  <c r="L15" i="60"/>
  <c r="L12" i="60"/>
  <c r="L8" i="60"/>
  <c r="M7" i="60"/>
  <c r="L14" i="60"/>
  <c r="M9" i="60"/>
  <c r="M11" i="60"/>
  <c r="M12" i="60"/>
  <c r="M6" i="60"/>
  <c r="M13" i="60"/>
  <c r="M8" i="60"/>
  <c r="M15" i="60"/>
  <c r="K10" i="60"/>
  <c r="K12" i="60"/>
  <c r="K14" i="60"/>
  <c r="J10" i="60"/>
  <c r="J6" i="60"/>
  <c r="J7" i="60"/>
  <c r="J9" i="60"/>
  <c r="J11" i="60"/>
  <c r="J13" i="60"/>
  <c r="J15" i="60"/>
  <c r="J12" i="60"/>
  <c r="J8" i="60"/>
  <c r="K7" i="60"/>
  <c r="J14" i="60"/>
  <c r="K9" i="60"/>
  <c r="K11" i="60"/>
  <c r="K6" i="60"/>
  <c r="K13" i="60"/>
  <c r="K8" i="60"/>
  <c r="K15" i="60"/>
  <c r="I10" i="60"/>
  <c r="I12" i="60"/>
  <c r="I14" i="60"/>
  <c r="H6" i="60"/>
  <c r="H7" i="60"/>
  <c r="H9" i="60"/>
  <c r="H11" i="60"/>
  <c r="H10" i="60"/>
  <c r="H13" i="60"/>
  <c r="H15" i="60"/>
  <c r="H12" i="60"/>
  <c r="H14" i="60"/>
  <c r="I9" i="60"/>
  <c r="H8" i="60"/>
  <c r="I11" i="60"/>
  <c r="I6" i="60"/>
  <c r="I13" i="60"/>
  <c r="I7" i="60"/>
  <c r="I8" i="60"/>
  <c r="I15" i="6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tc={1050432F-8025-47A9-85C2-0CEF28CE0338}</author>
  </authors>
  <commentList>
    <comment ref="B1" authorId="0" shapeId="0" xr:uid="{1050432F-8025-47A9-85C2-0CEF28CE0338}">
      <text>
        <t>[Threaded comment]
Your version of Excel allows you to read this threaded comment; however, any edits to it will get removed if the file is opened in a newer version of Excel. Learn more: https://go.microsoft.com/fwlink/?linkid=870924
Comment:
    OBS! Plan22 er baseret på nytteareal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<sst xmlns="http://schemas.openxmlformats.org/spreadsheetml/2006/main" count="7367" uniqueCount="551">
  <si>
    <t>m2</t>
  </si>
  <si>
    <t>GWP_A4</t>
  </si>
  <si>
    <t>GWP_A5</t>
  </si>
  <si>
    <t>GWP_B4</t>
  </si>
  <si>
    <t>[%]</t>
  </si>
  <si>
    <t>[m]</t>
  </si>
  <si>
    <t>[m/m2]</t>
  </si>
  <si>
    <t>[-]</t>
  </si>
  <si>
    <t>#O1302</t>
  </si>
  <si>
    <t>#O1401</t>
  </si>
  <si>
    <t>#O1601</t>
  </si>
  <si>
    <t>#O1602</t>
  </si>
  <si>
    <t>#O1603</t>
  </si>
  <si>
    <t>#O1301</t>
  </si>
  <si>
    <t>#O1402</t>
  </si>
  <si>
    <t>#O1604</t>
  </si>
  <si>
    <t>#O1605</t>
  </si>
  <si>
    <t>#O1303</t>
  </si>
  <si>
    <t>Transformation</t>
  </si>
  <si>
    <t>Transport</t>
  </si>
  <si>
    <t>Hotel</t>
  </si>
  <si>
    <t>Artelia, 2025-2075</t>
  </si>
  <si>
    <t>El</t>
  </si>
  <si>
    <t>[kg CO2/kWh]</t>
  </si>
  <si>
    <t>Gulv</t>
  </si>
  <si>
    <t>Loft</t>
  </si>
  <si>
    <t>Tekniske systemer</t>
  </si>
  <si>
    <t>Trægulv</t>
  </si>
  <si>
    <t>Gipsloft</t>
  </si>
  <si>
    <t>Beton (bærende vægge)</t>
  </si>
  <si>
    <t>Linoleumsgulv</t>
  </si>
  <si>
    <t>Nedhængt loft</t>
  </si>
  <si>
    <t>Beton (søjle/bjælke)</t>
  </si>
  <si>
    <t>Andre</t>
  </si>
  <si>
    <t>year</t>
  </si>
  <si>
    <t>Opbygning ID</t>
  </si>
  <si>
    <t>Opbygning</t>
  </si>
  <si>
    <t>Opbygning version</t>
  </si>
  <si>
    <t>Tykkelse [m]</t>
  </si>
  <si>
    <t>GWP_A1-A3</t>
  </si>
  <si>
    <t>GWP_C3</t>
  </si>
  <si>
    <t>GWP_C4</t>
  </si>
  <si>
    <t>GWP_D</t>
  </si>
  <si>
    <t>#O0101</t>
  </si>
  <si>
    <t>Punktfundament</t>
  </si>
  <si>
    <t>kg</t>
  </si>
  <si>
    <t>4 år</t>
  </si>
  <si>
    <t>12 år</t>
  </si>
  <si>
    <t>50 år</t>
  </si>
  <si>
    <t>80 år</t>
  </si>
  <si>
    <t>#O0201</t>
  </si>
  <si>
    <t>Linjefundament</t>
  </si>
  <si>
    <t>Betonbyggeri</t>
  </si>
  <si>
    <t>m</t>
  </si>
  <si>
    <t>#O0202</t>
  </si>
  <si>
    <t>Træbyggeri</t>
  </si>
  <si>
    <t>#O0203</t>
  </si>
  <si>
    <t>Lav bebyggelse</t>
  </si>
  <si>
    <t>#O0301</t>
  </si>
  <si>
    <t>Terrændæk</t>
  </si>
  <si>
    <t>Høj bebyggelse ingen kælder</t>
  </si>
  <si>
    <t>#O0302</t>
  </si>
  <si>
    <t>Lav bebyggelse ingen kælder</t>
  </si>
  <si>
    <t>#O0311</t>
  </si>
  <si>
    <t>Kælder</t>
  </si>
  <si>
    <t>#O0401</t>
  </si>
  <si>
    <t>Dæk</t>
  </si>
  <si>
    <t>Huldæk</t>
  </si>
  <si>
    <t>#O0402</t>
  </si>
  <si>
    <t>Hybrid beton/CLT-dæk</t>
  </si>
  <si>
    <t>#O0403</t>
  </si>
  <si>
    <t>CLT-dæk</t>
  </si>
  <si>
    <t>#O0404</t>
  </si>
  <si>
    <t>LVL-dæk</t>
  </si>
  <si>
    <t>#O0411</t>
  </si>
  <si>
    <t>Lav bebyggelse dæk</t>
  </si>
  <si>
    <t>Lav bebyggelse huldæk</t>
  </si>
  <si>
    <t>#O0412</t>
  </si>
  <si>
    <t>Ribbedæk</t>
  </si>
  <si>
    <t>#O0501</t>
  </si>
  <si>
    <t>Vertikal</t>
  </si>
  <si>
    <t>Armeret betonvæg</t>
  </si>
  <si>
    <t>#O0502</t>
  </si>
  <si>
    <t>Armeret betonsøjle</t>
  </si>
  <si>
    <t>#O0503</t>
  </si>
  <si>
    <t>Limtræssøjle</t>
  </si>
  <si>
    <t>#O0504</t>
  </si>
  <si>
    <t>CLT-væg</t>
  </si>
  <si>
    <t>#O0601</t>
  </si>
  <si>
    <t>Bjælke</t>
  </si>
  <si>
    <t>Ingen bjælke</t>
  </si>
  <si>
    <t>#O0602</t>
  </si>
  <si>
    <t>Armeret betonbjælke</t>
  </si>
  <si>
    <t>#O0603</t>
  </si>
  <si>
    <t>Limtræsbjælke</t>
  </si>
  <si>
    <t>#O0701</t>
  </si>
  <si>
    <t>Kældervæg</t>
  </si>
  <si>
    <t>1 etage</t>
  </si>
  <si>
    <t>#O0702</t>
  </si>
  <si>
    <t>2 etager</t>
  </si>
  <si>
    <t>#O0703</t>
  </si>
  <si>
    <t>3 etager</t>
  </si>
  <si>
    <t>#O0801</t>
  </si>
  <si>
    <t>Facade</t>
  </si>
  <si>
    <t>Mursten (tung facade)</t>
  </si>
  <si>
    <t>#O0802</t>
  </si>
  <si>
    <t>Aluminium (let facade)</t>
  </si>
  <si>
    <t>#O0803</t>
  </si>
  <si>
    <t>Zink (let facade)</t>
  </si>
  <si>
    <t>#O0804</t>
  </si>
  <si>
    <t>Skærmtegl (let facade)</t>
  </si>
  <si>
    <t>#O0805</t>
  </si>
  <si>
    <t>Fibercement (let facade)</t>
  </si>
  <si>
    <t>#O0806</t>
  </si>
  <si>
    <t>Træ (let facade)</t>
  </si>
  <si>
    <t>#O0811</t>
  </si>
  <si>
    <t>Lav bebyggelse betonbyggeri mursten (tung facade)</t>
  </si>
  <si>
    <t>#O0812</t>
  </si>
  <si>
    <t>Lav bebyggelse betonbyggeri aluminium (let facade)</t>
  </si>
  <si>
    <t>#O0813</t>
  </si>
  <si>
    <t>Lav bebyggelse betonbyggeri zink (let facade)</t>
  </si>
  <si>
    <t>#O0814</t>
  </si>
  <si>
    <t>Lav bebyggelse betonbyggeri skærmtegl (let facade)</t>
  </si>
  <si>
    <t>#O0815</t>
  </si>
  <si>
    <t>Lav bebyggelse betonbyggeri fibercement (let facade)</t>
  </si>
  <si>
    <t>#O0816</t>
  </si>
  <si>
    <t>Lav bebyggelse betonbyggeri træ (let facade)</t>
  </si>
  <si>
    <t>#O0821</t>
  </si>
  <si>
    <t>Lav bebyggelse træbyggeri mursten (tung facade)</t>
  </si>
  <si>
    <t>#O0822</t>
  </si>
  <si>
    <t>Lav bebyggelse træbyggeri aluminium (let facade)</t>
  </si>
  <si>
    <t>#O0823</t>
  </si>
  <si>
    <t>Lav bebyggelse træbyggeri zink (let facade)</t>
  </si>
  <si>
    <t>#O0824</t>
  </si>
  <si>
    <t>Lav bebyggelse træbyggeri skærmtegl (let facade)</t>
  </si>
  <si>
    <t>#O0825</t>
  </si>
  <si>
    <t>Lav bebyggelse træbyggeri fibercement (let facade)</t>
  </si>
  <si>
    <t>#O0826</t>
  </si>
  <si>
    <t>Lav bebyggelse træbyggeri træ (let facade)</t>
  </si>
  <si>
    <t>#O0901</t>
  </si>
  <si>
    <t>Vindue</t>
  </si>
  <si>
    <t>#O1001</t>
  </si>
  <si>
    <t>Kernevæg</t>
  </si>
  <si>
    <t>#O1002</t>
  </si>
  <si>
    <t>#O1101</t>
  </si>
  <si>
    <t>Intern væg</t>
  </si>
  <si>
    <t>Betonvæg</t>
  </si>
  <si>
    <t>#O1102</t>
  </si>
  <si>
    <t>Stål (let indervæg)</t>
  </si>
  <si>
    <t>#O1103</t>
  </si>
  <si>
    <t>Træ (let indervæg)</t>
  </si>
  <si>
    <t>#O1201</t>
  </si>
  <si>
    <t>Tag</t>
  </si>
  <si>
    <t>Fladt tagpap</t>
  </si>
  <si>
    <t>#O1202</t>
  </si>
  <si>
    <t>Fladt teglsten</t>
  </si>
  <si>
    <t>#O1203</t>
  </si>
  <si>
    <t>Fladt stål</t>
  </si>
  <si>
    <t>#O1204</t>
  </si>
  <si>
    <t>Fladt fibercement</t>
  </si>
  <si>
    <t>#O1205</t>
  </si>
  <si>
    <t>Fladt skifer</t>
  </si>
  <si>
    <t>#O1206</t>
  </si>
  <si>
    <t>Fladt zink</t>
  </si>
  <si>
    <t>#O1211</t>
  </si>
  <si>
    <t>Skråt tagpap</t>
  </si>
  <si>
    <t>#O1212</t>
  </si>
  <si>
    <t>Skråt teglsten</t>
  </si>
  <si>
    <t>#O1213</t>
  </si>
  <si>
    <t>Skråt stål</t>
  </si>
  <si>
    <t>#O1214</t>
  </si>
  <si>
    <t>Skråt fibercement</t>
  </si>
  <si>
    <t>#O1215</t>
  </si>
  <si>
    <t>Skråt skifer</t>
  </si>
  <si>
    <t>#O1216</t>
  </si>
  <si>
    <t>Skråt zink</t>
  </si>
  <si>
    <t>#O1221</t>
  </si>
  <si>
    <t>Lav bebyggelse betonbyggeri fladt tagpap</t>
  </si>
  <si>
    <t>#O1222</t>
  </si>
  <si>
    <t>Lav bebyggelse betonbyggeri fladt teglsten</t>
  </si>
  <si>
    <t>#O1223</t>
  </si>
  <si>
    <t>Lav bebyggelse betonbyggeri fladt stål</t>
  </si>
  <si>
    <t>#O1224</t>
  </si>
  <si>
    <t>Lav bebyggelse betonbyggeri fladt fibercement</t>
  </si>
  <si>
    <t>#O1225</t>
  </si>
  <si>
    <t>Lav bebyggelse betonbyggeri fladt skifer</t>
  </si>
  <si>
    <t>#O1226</t>
  </si>
  <si>
    <t>Lav bebyggelse betonbyggeri fladt zink</t>
  </si>
  <si>
    <t>#O1231</t>
  </si>
  <si>
    <t>Lav bebyggelse betonbyggeri skråt tagpap</t>
  </si>
  <si>
    <t>#O1232</t>
  </si>
  <si>
    <t>Lav bebyggelse betonbyggeri skråt teglsten</t>
  </si>
  <si>
    <t>#O1233</t>
  </si>
  <si>
    <t>Lav bebyggelse betonbyggeri skråt stål</t>
  </si>
  <si>
    <t>#O1234</t>
  </si>
  <si>
    <t>Lav bebyggelse betonbyggeri skråt fibercement</t>
  </si>
  <si>
    <t>#O1235</t>
  </si>
  <si>
    <t>Lav bebyggelse betonbyggeri skråt skifer</t>
  </si>
  <si>
    <t>#O1236</t>
  </si>
  <si>
    <t>Lav bebyggelse betonbyggeri skråt zink</t>
  </si>
  <si>
    <t>#O1241</t>
  </si>
  <si>
    <t>Lav bebyggelse træbyggeri fladt tagpap</t>
  </si>
  <si>
    <t>#O1242</t>
  </si>
  <si>
    <t>Lav bebyggelse træbyggeri fladt teglsten</t>
  </si>
  <si>
    <t>#O1243</t>
  </si>
  <si>
    <t>Lav bebyggelse træbyggeri fladt stål</t>
  </si>
  <si>
    <t>#O1244</t>
  </si>
  <si>
    <t>Lav bebyggelse træbyggeri fladt fibercement</t>
  </si>
  <si>
    <t>#O1245</t>
  </si>
  <si>
    <t>Lav bebyggelse træbyggeri fladt skifer</t>
  </si>
  <si>
    <t>#O1246</t>
  </si>
  <si>
    <t>Lav bebyggelse træbyggeri fladt zink</t>
  </si>
  <si>
    <t>#O1251</t>
  </si>
  <si>
    <t>Lav bebyggelse træbyggeri skråt tagpap</t>
  </si>
  <si>
    <t>#O1252</t>
  </si>
  <si>
    <t>Lav bebyggelse træbyggeri skråt teglsten</t>
  </si>
  <si>
    <t>#O1253</t>
  </si>
  <si>
    <t>Lav bebyggelse træbyggeri skråt stål</t>
  </si>
  <si>
    <t>#O1254</t>
  </si>
  <si>
    <t>Lav bebyggelse træbyggeri skråt fibercement</t>
  </si>
  <si>
    <t>#O1255</t>
  </si>
  <si>
    <t>Lav bebyggelse træbyggeri skråt skifer</t>
  </si>
  <si>
    <t>#O1256</t>
  </si>
  <si>
    <t>Lav bebyggelse træbyggeri skråt zink</t>
  </si>
  <si>
    <t>#O1501</t>
  </si>
  <si>
    <t>Trappe</t>
  </si>
  <si>
    <t>#O1502</t>
  </si>
  <si>
    <t>#O1511</t>
  </si>
  <si>
    <t>stk</t>
  </si>
  <si>
    <t>GWP_Total</t>
  </si>
  <si>
    <t>Source</t>
  </si>
  <si>
    <t>Plan22-data</t>
  </si>
  <si>
    <t>Expert Estimate</t>
  </si>
  <si>
    <t>Expert Estimate:</t>
  </si>
  <si>
    <t>DataSize</t>
  </si>
  <si>
    <t>WWR_SD</t>
  </si>
  <si>
    <t>WWR_mean</t>
  </si>
  <si>
    <t>InnerWallFloorRatio_mean</t>
  </si>
  <si>
    <t>InnerWallFloorRatio_SD</t>
  </si>
  <si>
    <t>Sheet Name</t>
  </si>
  <si>
    <t>MODE</t>
  </si>
  <si>
    <t>MIN</t>
  </si>
  <si>
    <t>MAX</t>
  </si>
  <si>
    <t>MEAN</t>
  </si>
  <si>
    <t>SD</t>
  </si>
  <si>
    <t>Choose</t>
  </si>
  <si>
    <t>Data:</t>
  </si>
  <si>
    <t>[kg/m3]</t>
  </si>
  <si>
    <r>
      <t>y = a * x</t>
    </r>
    <r>
      <rPr>
        <i/>
        <vertAlign val="superscript"/>
        <sz val="11"/>
        <rFont val="Aptos Narrow"/>
        <family val="2"/>
        <scheme val="minor"/>
      </rPr>
      <t>-1</t>
    </r>
  </si>
  <si>
    <r>
      <t>y = a * x</t>
    </r>
    <r>
      <rPr>
        <i/>
        <vertAlign val="superscript"/>
        <sz val="11"/>
        <rFont val="Aptos Narrow"/>
        <family val="2"/>
        <scheme val="minor"/>
      </rPr>
      <t>2</t>
    </r>
    <r>
      <rPr>
        <i/>
        <sz val="11"/>
        <rFont val="Aptos Narrow"/>
        <family val="2"/>
        <scheme val="minor"/>
      </rPr>
      <t xml:space="preserve"> + b * x + c</t>
    </r>
  </si>
  <si>
    <t>y = a * x + b</t>
  </si>
  <si>
    <r>
      <t>y = a * x</t>
    </r>
    <r>
      <rPr>
        <i/>
        <vertAlign val="superscript"/>
        <sz val="11"/>
        <rFont val="Aptos Narrow"/>
        <family val="2"/>
        <scheme val="minor"/>
      </rPr>
      <t>b</t>
    </r>
  </si>
  <si>
    <t>Bærende system</t>
  </si>
  <si>
    <t>Hybrid (søjle/bjælke)</t>
  </si>
  <si>
    <t>Træ (bærende vægge)</t>
  </si>
  <si>
    <t>Træ (søjle/bjælke)</t>
  </si>
  <si>
    <t>Punktfundamenter</t>
  </si>
  <si>
    <t>Linjefundamenter</t>
  </si>
  <si>
    <t>Functional Unit</t>
  </si>
  <si>
    <t>Equation</t>
  </si>
  <si>
    <t>Dæk_o.jord</t>
  </si>
  <si>
    <t>Dæk_kælder</t>
  </si>
  <si>
    <t xml:space="preserve">Bjælke_o.jord </t>
  </si>
  <si>
    <t>Bjælke_kælder</t>
  </si>
  <si>
    <t>Vertikal_o.jord</t>
  </si>
  <si>
    <t>Vertikal_kælder</t>
  </si>
  <si>
    <t>Materiale</t>
  </si>
  <si>
    <t>ID</t>
  </si>
  <si>
    <t>Interne vægge</t>
  </si>
  <si>
    <t>ingen</t>
  </si>
  <si>
    <t>Andet</t>
  </si>
  <si>
    <t>CoreWallPerimeter_meam</t>
  </si>
  <si>
    <t>CoreWallPerimeter_SD</t>
  </si>
  <si>
    <t>PLAN22+ data</t>
  </si>
  <si>
    <t>Ref.</t>
  </si>
  <si>
    <t>Data</t>
  </si>
  <si>
    <t>Range ref.</t>
  </si>
  <si>
    <t>Renge data</t>
  </si>
  <si>
    <t>B3:B98</t>
  </si>
  <si>
    <t>W3:W98</t>
  </si>
  <si>
    <t>W3:W99</t>
  </si>
  <si>
    <t>[kgCO2e/m]</t>
  </si>
  <si>
    <t>GWP_meam</t>
  </si>
  <si>
    <t>GWP_SD</t>
  </si>
  <si>
    <t>Facade-lav</t>
  </si>
  <si>
    <t>tag</t>
  </si>
  <si>
    <t>Tag-lav</t>
  </si>
  <si>
    <t>tag-lav</t>
  </si>
  <si>
    <r>
      <t>[kgCO2e/m</t>
    </r>
    <r>
      <rPr>
        <vertAlign val="superscript"/>
        <sz val="11"/>
        <rFont val="Aptos Narrow"/>
        <family val="2"/>
        <scheme val="minor"/>
      </rPr>
      <t>2</t>
    </r>
    <r>
      <rPr>
        <sz val="11"/>
        <rFont val="Aptos Narrow"/>
        <family val="2"/>
        <scheme val="minor"/>
      </rPr>
      <t>]</t>
    </r>
  </si>
  <si>
    <t>GWP_total</t>
  </si>
  <si>
    <t>#O0000</t>
  </si>
  <si>
    <t>ingening</t>
  </si>
  <si>
    <t>DataSheet</t>
  </si>
  <si>
    <t>Ref Range</t>
  </si>
  <si>
    <t>GWP Range</t>
  </si>
  <si>
    <t>Unit Range</t>
  </si>
  <si>
    <t>A3:A99</t>
  </si>
  <si>
    <t>D3:D100</t>
  </si>
  <si>
    <t>NettoButto_mean</t>
  </si>
  <si>
    <t>[m2/m2]</t>
  </si>
  <si>
    <t>BruttoNetto_SD</t>
  </si>
  <si>
    <t>Demolision (C1)</t>
  </si>
  <si>
    <t>Trappe (2-3 etager)</t>
  </si>
  <si>
    <t>Trappe og elevator (4+ etager)</t>
  </si>
  <si>
    <t>Elevatorskakte fra 4 etager og op andet en lav)</t>
  </si>
  <si>
    <t>Elevator stk</t>
  </si>
  <si>
    <t>Elevator meter</t>
  </si>
  <si>
    <t>[kgCO2e/pcs]</t>
  </si>
  <si>
    <t>Building Parts</t>
  </si>
  <si>
    <t>Bounding foundation (A1-5+C3-4)
Point Foundations (A1-5+C3-4)
Ground slap (A1-5+C3-4)
Ground slap basement (A1-5+C3-4)
FacadeBasement (A1-5+C3-4)
Beams Basement (A1-5+C3-4)
Vertical basement (A1-5+C3-4)
Slap Basement (A1-5+C3-4)</t>
  </si>
  <si>
    <t>Beams (A1-5+C3-4)
Vertical (A1-5+C3-4)
Slaps (A1-5+C3-4)
Core walls (A1-5+C3-4)</t>
  </si>
  <si>
    <t>Roof (A1-5+C3-4)
Facade (A1-5+C3-4)</t>
  </si>
  <si>
    <t>Windows (A1-5+C3-4)</t>
  </si>
  <si>
    <t>Inner walls (A1-5+C3-4)
Stairs (A1-5+C3-4)
Ceilings (A1-5+C3-4)
floors (A1-5+C3-4)</t>
  </si>
  <si>
    <t>Utilities (A1-5+C3-4)
Elevator (A1-5+C3-4)</t>
  </si>
  <si>
    <t>Energy (B6)</t>
  </si>
  <si>
    <t>Construction Energy (A5)</t>
  </si>
  <si>
    <t>Unit</t>
  </si>
  <si>
    <t>Typology</t>
  </si>
  <si>
    <t>kgCO2/m2</t>
  </si>
  <si>
    <t>KE_Ceiling</t>
  </si>
  <si>
    <t>KE_Roof</t>
  </si>
  <si>
    <t>KE_Facade</t>
  </si>
  <si>
    <t>KQ_WWR</t>
  </si>
  <si>
    <t>KE_Window</t>
  </si>
  <si>
    <t>KQ_Heating</t>
  </si>
  <si>
    <t>KQ_Electricity</t>
  </si>
  <si>
    <t>KE_Utilities</t>
  </si>
  <si>
    <t>KE_ElevatorMeter</t>
  </si>
  <si>
    <t>KQ_CoreWall</t>
  </si>
  <si>
    <t>KE_FacadeBasement</t>
  </si>
  <si>
    <t>KE_GroundSlap</t>
  </si>
  <si>
    <t>B3</t>
  </si>
  <si>
    <t>B4</t>
  </si>
  <si>
    <t>B5</t>
  </si>
  <si>
    <t>B6</t>
  </si>
  <si>
    <t>B7</t>
  </si>
  <si>
    <t>B8</t>
  </si>
  <si>
    <t>B9</t>
  </si>
  <si>
    <t>B10</t>
  </si>
  <si>
    <t>B11</t>
  </si>
  <si>
    <t>B12</t>
  </si>
  <si>
    <t>B13</t>
  </si>
  <si>
    <t>B14</t>
  </si>
  <si>
    <t>C3</t>
  </si>
  <si>
    <t>C4</t>
  </si>
  <si>
    <t>C5</t>
  </si>
  <si>
    <t>C6</t>
  </si>
  <si>
    <t>C7</t>
  </si>
  <si>
    <t>C8</t>
  </si>
  <si>
    <t>C9</t>
  </si>
  <si>
    <t>C10</t>
  </si>
  <si>
    <t>C11</t>
  </si>
  <si>
    <t>C12</t>
  </si>
  <si>
    <t>C13</t>
  </si>
  <si>
    <t>C14</t>
  </si>
  <si>
    <t>GWP</t>
  </si>
  <si>
    <t>KE_BasementGroundSlap</t>
  </si>
  <si>
    <t>KE_CoreWall</t>
  </si>
  <si>
    <t>B2</t>
  </si>
  <si>
    <t>KE_InnerWall</t>
  </si>
  <si>
    <t>KE_Floor</t>
  </si>
  <si>
    <t>KE_Stairs</t>
  </si>
  <si>
    <t>KE_ElevatorCounts</t>
  </si>
  <si>
    <t>KQ_NettoBRutto</t>
  </si>
  <si>
    <t>KQ_InnerWall</t>
  </si>
  <si>
    <t>Quantity</t>
  </si>
  <si>
    <t>Emission (GWP)</t>
  </si>
  <si>
    <t>Renonvation</t>
  </si>
  <si>
    <t>Refurbished</t>
  </si>
  <si>
    <t>Preserved</t>
  </si>
  <si>
    <t>Demolished</t>
  </si>
  <si>
    <t>Foundation</t>
  </si>
  <si>
    <t>Structural</t>
  </si>
  <si>
    <t>Envelope</t>
  </si>
  <si>
    <t>Window</t>
  </si>
  <si>
    <t>Interior</t>
  </si>
  <si>
    <t>Energy</t>
  </si>
  <si>
    <t>NewBuild</t>
  </si>
  <si>
    <t>ConstructionA5</t>
  </si>
  <si>
    <t>Demolition</t>
  </si>
  <si>
    <t>Technical</t>
  </si>
  <si>
    <t>Heating_SD</t>
  </si>
  <si>
    <t>EL_SD</t>
  </si>
  <si>
    <t>Diesel</t>
  </si>
  <si>
    <t>[kg CO2/L]</t>
  </si>
  <si>
    <t>[kWh/m2]</t>
  </si>
  <si>
    <t>ElectricityA5_meam</t>
  </si>
  <si>
    <t>ElectricityA5_SD</t>
  </si>
  <si>
    <t>[l/m2]</t>
  </si>
  <si>
    <t>DielselA5_meam</t>
  </si>
  <si>
    <t>DielselA5_SD</t>
  </si>
  <si>
    <t>KQ_ElectricityA5</t>
  </si>
  <si>
    <t>KQ_DieselA5</t>
  </si>
  <si>
    <t>DemolishenC1</t>
  </si>
  <si>
    <t>kgCO2/m</t>
  </si>
  <si>
    <t>kgCO2/kg</t>
  </si>
  <si>
    <t>LineFoundation_LowTypology</t>
  </si>
  <si>
    <t>Beams</t>
  </si>
  <si>
    <t>Slaps</t>
  </si>
  <si>
    <t>BeamsBasement</t>
  </si>
  <si>
    <t>Vertical</t>
  </si>
  <si>
    <t>VerticalBasement</t>
  </si>
  <si>
    <t>LineFoundation</t>
  </si>
  <si>
    <t>PointFoundation</t>
  </si>
  <si>
    <t>PointFoundation_LowTypology</t>
  </si>
  <si>
    <t>Slaps_LowTypology</t>
  </si>
  <si>
    <t>Beams_LowTypology</t>
  </si>
  <si>
    <t>BeamsBasement_LowTypology</t>
  </si>
  <si>
    <t>Vertical_LowTypology</t>
  </si>
  <si>
    <t>VerticalBasement_LowTypology</t>
  </si>
  <si>
    <t>LoadBearingSystem</t>
  </si>
  <si>
    <t>ConcreteBearingWalls</t>
  </si>
  <si>
    <t>ConcreteBeamsColumns</t>
  </si>
  <si>
    <t>Hybrid</t>
  </si>
  <si>
    <t>WoodBearingWalls</t>
  </si>
  <si>
    <t>WoodBEamsColumns</t>
  </si>
  <si>
    <t>NumberOfFloors</t>
  </si>
  <si>
    <t>SlapsBasement</t>
  </si>
  <si>
    <t>TypologyBasement</t>
  </si>
  <si>
    <t>LoadBearingSystemBasement</t>
  </si>
  <si>
    <t>NumberOfBasementFloors</t>
  </si>
  <si>
    <t>WoodBeamsColumns</t>
  </si>
  <si>
    <t>Slaps_a</t>
  </si>
  <si>
    <t>Beams_a</t>
  </si>
  <si>
    <t>Vertical_a</t>
  </si>
  <si>
    <t>Vertical_b</t>
  </si>
  <si>
    <t>Vertical_c</t>
  </si>
  <si>
    <t>Foundation_a</t>
  </si>
  <si>
    <t>Foundation_b</t>
  </si>
  <si>
    <t>Foundation_c</t>
  </si>
  <si>
    <t>SlapsRoof_a</t>
  </si>
  <si>
    <t>SlapsRoof_b</t>
  </si>
  <si>
    <t>BeamsRoof_a</t>
  </si>
  <si>
    <t>BeamsRoof_b</t>
  </si>
  <si>
    <t>BeamsRoof_c</t>
  </si>
  <si>
    <t>VerticalRoof_a</t>
  </si>
  <si>
    <t>VerticalRoof_b</t>
  </si>
  <si>
    <t>VerticalRoof_c</t>
  </si>
  <si>
    <t>FoundationRoof_a</t>
  </si>
  <si>
    <t>FoundationRoof_b</t>
  </si>
  <si>
    <t>FoundationRoof_c</t>
  </si>
  <si>
    <t>SlapsBasement_a</t>
  </si>
  <si>
    <t>BeamsBasement_a</t>
  </si>
  <si>
    <t>VerticalBasement_a</t>
  </si>
  <si>
    <t>VerticalBasement_b</t>
  </si>
  <si>
    <t>FoundationBasement_a</t>
  </si>
  <si>
    <t>FoundationBasement_b</t>
  </si>
  <si>
    <t>PointFoundationBasement</t>
  </si>
  <si>
    <t>DemolitionC1</t>
  </si>
  <si>
    <t>SlapsBasement_LowTypology</t>
  </si>
  <si>
    <t>KE_FireWall</t>
  </si>
  <si>
    <t>ReplacementFactor</t>
  </si>
  <si>
    <t>Vægt [kg/Unit]</t>
  </si>
  <si>
    <t>SingleFamilyHouse</t>
  </si>
  <si>
    <t>TerracedHouse</t>
  </si>
  <si>
    <t>MultiStoreyResidential</t>
  </si>
  <si>
    <t>Office</t>
  </si>
  <si>
    <t>Education</t>
  </si>
  <si>
    <t>Daycare</t>
  </si>
  <si>
    <t>Shopping</t>
  </si>
  <si>
    <t>Parking</t>
  </si>
  <si>
    <t>Industrial</t>
  </si>
  <si>
    <t>Industrialgulv</t>
  </si>
  <si>
    <t>Hospital</t>
  </si>
  <si>
    <t>Gas</t>
  </si>
  <si>
    <t>DisctrictHeating</t>
  </si>
  <si>
    <t>BR18 (01-06-2025)</t>
  </si>
  <si>
    <t>Structures</t>
  </si>
  <si>
    <t>Windows</t>
  </si>
  <si>
    <t>Construction</t>
  </si>
  <si>
    <t>Demolision</t>
  </si>
  <si>
    <t>Cluster</t>
  </si>
  <si>
    <t>Developed by:</t>
  </si>
  <si>
    <t>Funded by:</t>
  </si>
  <si>
    <t>Bounding Foundation</t>
  </si>
  <si>
    <t>Point foundation</t>
  </si>
  <si>
    <t>Slap above ground</t>
  </si>
  <si>
    <t>Slap basement</t>
  </si>
  <si>
    <t>Beams avobe ground</t>
  </si>
  <si>
    <t>Beams basement</t>
  </si>
  <si>
    <t>Vertical basement</t>
  </si>
  <si>
    <t>Vercikal above ground</t>
  </si>
  <si>
    <t xml:space="preserve">EXAMPE: Key Emission (KE) of basement walls. </t>
  </si>
  <si>
    <t>How to update key numbers</t>
  </si>
  <si>
    <t>How is structural quatities estimated</t>
  </si>
  <si>
    <t>Beside single family houses and terraced houses, structural quantities are estimated by the regression model of the Plan22+ project of Henning Larsen Architects, named PlanCO2.</t>
  </si>
  <si>
    <t xml:space="preserve"> = Perimeter of ground slap [m]</t>
  </si>
  <si>
    <t>Structure</t>
  </si>
  <si>
    <t>Where:</t>
  </si>
  <si>
    <t>V_total =</t>
  </si>
  <si>
    <t>Y =</t>
  </si>
  <si>
    <t>Y_roof =</t>
  </si>
  <si>
    <t>Y_Basement =</t>
  </si>
  <si>
    <t>F =</t>
  </si>
  <si>
    <t>F_Basement =</t>
  </si>
  <si>
    <t xml:space="preserve">V_roof = </t>
  </si>
  <si>
    <t xml:space="preserve">V_basement = </t>
  </si>
  <si>
    <t xml:space="preserve">V_floors = </t>
  </si>
  <si>
    <t xml:space="preserve"> = V_floors * [F*Y+V_roof/V_floors*Y_roof ]</t>
  </si>
  <si>
    <t xml:space="preserve"> = V_total * [ (V_floors/V_total)*(F*Y+V_roof/V_floors*T_roof) + (V_basement/V_total)*(F_Basement*Y_Basement) ]</t>
  </si>
  <si>
    <t xml:space="preserve"> = V_basement * [ F_Basement*Y_Basement ]</t>
  </si>
  <si>
    <t xml:space="preserve"> = V_basement * [F_basement*Y_Basement]</t>
  </si>
  <si>
    <t xml:space="preserve"> = V_floors * [F*Y+V_roof/V_floors*Y_roof]</t>
  </si>
  <si>
    <t xml:space="preserve"> = V_basement * [F_basement*Y_basement ]</t>
  </si>
  <si>
    <t>The table below describes the regression formulas for structures, while the parameteres are found in corresponding sheets with names beginning with"KQ_StructuralRegression…"</t>
  </si>
  <si>
    <t xml:space="preserve">The table below describes the formulas for estimating the Y-factor of the regression model with factors found in the sheet named "KQ_StructuralRegressionY".. </t>
  </si>
  <si>
    <t xml:space="preserve">Table - Structural Regression formulas </t>
  </si>
  <si>
    <t xml:space="preserve">Table - Formulas for estimating the Y-factor </t>
  </si>
  <si>
    <t>Y_Basement (x = Average Floor height below ground [m])</t>
  </si>
  <si>
    <t>Y (x = Average floor height above ground [m])</t>
  </si>
  <si>
    <r>
      <t>Y_roof (x = tilt angle of roof [</t>
    </r>
    <r>
      <rPr>
        <b/>
        <sz val="11"/>
        <color theme="1"/>
        <rFont val="Aptos Narrow"/>
        <family val="2"/>
        <charset val="1"/>
      </rPr>
      <t>˚</t>
    </r>
    <r>
      <rPr>
        <b/>
        <sz val="11"/>
        <color theme="1"/>
        <rFont val="Aptos Narrow"/>
        <family val="2"/>
        <scheme val="minor"/>
      </rPr>
      <t>])</t>
    </r>
  </si>
  <si>
    <r>
      <rPr>
        <b/>
        <sz val="11"/>
        <color theme="1"/>
        <rFont val="Aptos Narrow"/>
        <family val="2"/>
        <scheme val="minor"/>
      </rPr>
      <t>KE</t>
    </r>
    <r>
      <rPr>
        <sz val="11"/>
        <color theme="1"/>
        <rFont val="Aptos Narrow"/>
        <family val="2"/>
        <scheme val="minor"/>
      </rPr>
      <t xml:space="preserve"> =</t>
    </r>
    <r>
      <rPr>
        <b/>
        <sz val="11"/>
        <color theme="1"/>
        <rFont val="Aptos Narrow"/>
        <family val="2"/>
        <scheme val="minor"/>
      </rPr>
      <t xml:space="preserve"> Key Emissions: </t>
    </r>
    <r>
      <rPr>
        <sz val="11"/>
        <color theme="1"/>
        <rFont val="Aptos Narrow"/>
        <family val="2"/>
        <scheme val="minor"/>
      </rPr>
      <t>the key numbers applied by LCA Volume to estimate the emissions of global warming potential(GWP) measured in kgCO2-equivalent pr. functional unit of the different building part quantities.</t>
    </r>
  </si>
  <si>
    <r>
      <rPr>
        <b/>
        <sz val="11"/>
        <color theme="1"/>
        <rFont val="Aptos Narrow"/>
        <family val="2"/>
        <scheme val="minor"/>
      </rPr>
      <t>KQ = Key Quantities</t>
    </r>
    <r>
      <rPr>
        <sz val="11"/>
        <color theme="1"/>
        <rFont val="Aptos Narrow"/>
        <family val="2"/>
        <scheme val="minor"/>
      </rPr>
      <t>: The key numbers applied by LCA Volume to estimate the quantities of the different building parts.</t>
    </r>
  </si>
  <si>
    <t>Heating_mean</t>
  </si>
  <si>
    <t>EL_mean</t>
  </si>
  <si>
    <t>Figure - Illustration of the principles of expert estimation by three-point-estimation. C=mode, A=min, B=max, M=mean, S=Standard deviation, and V=Varians.</t>
  </si>
  <si>
    <t xml:space="preserve">The sheet named " KE_WallBAsement" describes key numbers for mean global warming potential (GWP)and the standard deviation (SD).
Mean and SD key number can be estimated either based on Expert Assessment of Mode, Min and Max values using a three-point-estimation, or be based on data. In this example, mean and SD are based on both expert estimates and data from Plant22-data in another sheet. </t>
  </si>
  <si>
    <t xml:space="preserve">All data in this Excell workbook consist of a mean value and a standard deviation used by the grasshopper component to estimate the propability spread of global warming potential (GWP) measued in kgCO2-equivalent by a life Cycle Assessment.
</t>
  </si>
  <si>
    <t>How are key numbers used by grasshopper?</t>
  </si>
  <si>
    <r>
      <t>Total volume of the building [m</t>
    </r>
    <r>
      <rPr>
        <vertAlign val="superscript"/>
        <sz val="11"/>
        <color theme="1"/>
        <rFont val="Aptos Narrow"/>
        <family val="2"/>
        <scheme val="minor"/>
      </rPr>
      <t>3</t>
    </r>
    <r>
      <rPr>
        <sz val="11"/>
        <color theme="1"/>
        <rFont val="Aptos Narrow"/>
        <family val="2"/>
        <scheme val="minor"/>
      </rPr>
      <t>]</t>
    </r>
  </si>
  <si>
    <r>
      <t>Volume above ground [m</t>
    </r>
    <r>
      <rPr>
        <vertAlign val="superscript"/>
        <sz val="11"/>
        <color theme="1"/>
        <rFont val="Aptos Narrow"/>
        <family val="2"/>
        <scheme val="minor"/>
      </rPr>
      <t>3</t>
    </r>
    <r>
      <rPr>
        <sz val="11"/>
        <color theme="1"/>
        <rFont val="Aptos Narrow"/>
        <family val="2"/>
        <scheme val="minor"/>
      </rPr>
      <t>]</t>
    </r>
  </si>
  <si>
    <r>
      <t>Volume below ground [m</t>
    </r>
    <r>
      <rPr>
        <vertAlign val="superscript"/>
        <sz val="11"/>
        <color theme="1"/>
        <rFont val="Aptos Narrow"/>
        <family val="2"/>
        <scheme val="minor"/>
      </rPr>
      <t>3</t>
    </r>
    <r>
      <rPr>
        <sz val="11"/>
        <color theme="1"/>
        <rFont val="Aptos Narrow"/>
        <family val="2"/>
        <scheme val="minor"/>
      </rPr>
      <t>]</t>
    </r>
  </si>
  <si>
    <r>
      <t>Volume of roof floor  [m</t>
    </r>
    <r>
      <rPr>
        <vertAlign val="superscript"/>
        <sz val="11"/>
        <color theme="1"/>
        <rFont val="Aptos Narrow"/>
        <family val="2"/>
        <scheme val="minor"/>
      </rPr>
      <t>3</t>
    </r>
    <r>
      <rPr>
        <sz val="11"/>
        <color theme="1"/>
        <rFont val="Aptos Narrow"/>
        <family val="2"/>
        <scheme val="minor"/>
      </rPr>
      <t>]</t>
    </r>
  </si>
  <si>
    <t>Y-factor of regression from sheet named "KQ_StructuralRegresssionY" and dependent on average floor height above ground, structure, typology and strutural material. [-]</t>
  </si>
  <si>
    <t>Y-factor of regression from sheet named "KQ_StructuralRegresssionY" and dependent on tilt angle of the roof, structure, typology and strutural material.  [-]</t>
  </si>
  <si>
    <t>Y-factor of regression from sheet named "KQ_StructuralRegresssionY" and dependent on average floor height below ground, structure, typology and strutural material.  [-]</t>
  </si>
  <si>
    <r>
      <t>F-factor of regression from sheet named "KQ_StructuralRegresssionF" and dependent number of floors below ground, structure, typology and strutural material. [kg/m</t>
    </r>
    <r>
      <rPr>
        <vertAlign val="superscript"/>
        <sz val="11"/>
        <color theme="1"/>
        <rFont val="Aptos Narrow"/>
        <family val="2"/>
        <scheme val="minor"/>
      </rPr>
      <t>3</t>
    </r>
    <r>
      <rPr>
        <sz val="11"/>
        <color theme="1"/>
        <rFont val="Aptos Narrow"/>
        <family val="2"/>
        <scheme val="minor"/>
      </rPr>
      <t>]</t>
    </r>
  </si>
  <si>
    <r>
      <t>F-factor of regression from sheet named "KQ_StructuralRegresssionF" and dependent number of floors above ground, structure, typology and strutural material. [kg/m</t>
    </r>
    <r>
      <rPr>
        <vertAlign val="superscript"/>
        <sz val="11"/>
        <color theme="1"/>
        <rFont val="Aptos Narrow"/>
        <family val="2"/>
        <scheme val="minor"/>
      </rPr>
      <t>3</t>
    </r>
    <r>
      <rPr>
        <sz val="11"/>
        <color theme="1"/>
        <rFont val="Aptos Narrow"/>
        <family val="2"/>
        <scheme val="minor"/>
      </rPr>
      <t>]</t>
    </r>
  </si>
  <si>
    <t>The key numbers are multiplied by specific geometrical quantities that hold a dependency. These specific geometrical quantities are drawn from the 3D mass model in Rhino through a grasshopper work flow . 
Key numbers are mainly typical quantities, emissions or replacement factors with a deviation. 
However, quantity of structures are estimated with a regression model from a Plan22+ project (Municipality of Copenhagen and Middelfart, Henning Larsen architects, Rambøll, and Build, 2025). 
Key quantities (KQ) for structural regression is, therefore, parameters described by this regression model. 
Structural regression model is further described in the hiden sheet named "StructuralRegressionModel".</t>
  </si>
  <si>
    <r>
      <t>This excel workbook contains the data base for the Grasshopper plug-in LCA Volume. 
The sheets hold the data for keys of quantities (KQ), keys of emissions (KE), and keys opf replacement (KR). Data is sorted to fit specific to the Grasshopper plugin-in.</t>
    </r>
    <r>
      <rPr>
        <b/>
        <sz val="11"/>
        <color theme="1"/>
        <rFont val="Aptos Narrow"/>
        <family val="2"/>
        <scheme val="minor"/>
      </rPr>
      <t xml:space="preserve"> </t>
    </r>
    <r>
      <rPr>
        <sz val="11"/>
        <color theme="1"/>
        <rFont val="Aptos Narrow"/>
        <family val="2"/>
        <scheme val="minor"/>
      </rPr>
      <t xml:space="preserve">
</t>
    </r>
  </si>
  <si>
    <t>What is KQ, KE, and KR?</t>
  </si>
  <si>
    <r>
      <rPr>
        <b/>
        <sz val="11"/>
        <color theme="1"/>
        <rFont val="Aptos Narrow"/>
        <family val="2"/>
        <scheme val="minor"/>
      </rPr>
      <t>KR</t>
    </r>
    <r>
      <rPr>
        <sz val="11"/>
        <color theme="1"/>
        <rFont val="Aptos Narrow"/>
        <family val="2"/>
        <scheme val="minor"/>
      </rPr>
      <t xml:space="preserve"> =</t>
    </r>
    <r>
      <rPr>
        <b/>
        <sz val="11"/>
        <color theme="1"/>
        <rFont val="Aptos Narrow"/>
        <family val="2"/>
        <scheme val="minor"/>
      </rPr>
      <t xml:space="preserve"> Key Replacement: </t>
    </r>
    <r>
      <rPr>
        <sz val="11"/>
        <color theme="1"/>
        <rFont val="Aptos Narrow"/>
        <family val="2"/>
        <scheme val="minor"/>
      </rPr>
      <t xml:space="preserve">the key numbers applied by LCA Volume to estimate the replacement factor of the different building parts and energy consumption related to a chosen preservation strategy. </t>
    </r>
  </si>
  <si>
    <t>LCA modules included in the data</t>
  </si>
  <si>
    <t>Sheet with nameds beginning with "KQ…", "KE…", and "Kr…" contain the data for the grasshopper plug-in. (Do not change names of these sheets.)</t>
  </si>
  <si>
    <t>Data references</t>
  </si>
  <si>
    <t xml:space="preserve">The default data in this workbook is based on data from the Plan22+ (2025), BR18 (2025), Build reports, Data from Aarhus University, and practical expirence of CEBRA. </t>
  </si>
  <si>
    <t xml:space="preserve">This Excel workbook is a data base
</t>
  </si>
  <si>
    <t>Introduction to LCA Volume</t>
  </si>
  <si>
    <r>
      <t xml:space="preserve">The data is based on data from the Plan22+ (2025), BR18 (2025), Build reports, Data from Aarhus University, and practical expirence of CEBRA. 
Quantities and replacement factors have been qualified in one case study in Aarhus, Denmark.
</t>
    </r>
    <r>
      <rPr>
        <b/>
        <sz val="11"/>
        <color theme="1"/>
        <rFont val="Aptos Narrow"/>
        <family val="2"/>
        <scheme val="minor"/>
      </rPr>
      <t>Future work on database includes:</t>
    </r>
    <r>
      <rPr>
        <sz val="11"/>
        <color theme="1"/>
        <rFont val="Aptos Narrow"/>
        <family val="2"/>
        <scheme val="minor"/>
      </rPr>
      <t xml:space="preserve">
- Update of Key Emission (KE) data as new emission data and EPD's evolves.
- Qualify replacement factors (KR) for preservations strategies as classification of these strategies becomes further standardized.
- Qualify Key Quantities (KQ) further with additional cases.</t>
    </r>
  </si>
  <si>
    <t xml:space="preserve">Read more about the project: </t>
  </si>
  <si>
    <t>Development of the data</t>
  </si>
  <si>
    <t>https://pure.au.dk/portal/da/projects/lca-volume/</t>
  </si>
  <si>
    <t xml:space="preserve">Download the latest tool packadge from: </t>
  </si>
  <si>
    <t xml:space="preserve">www.BevarMere.dk </t>
  </si>
  <si>
    <t>½</t>
  </si>
  <si>
    <t>NOTE: You only need to work in this excel workbook, if you want to update the data applied for the LCA Volume calculation in grasshopper. Otherwise, LCA Volume runs in rhino-grasshopper. The rows and columns fit the grasshopper script, why you should NEVER CHANGE STRUCTURE OF ROWS AND COLUMNS IN SHEETS OF THIS DOCUMENT -ONLY DATA.
To protect the structure during daily use, the workbook is by default locked without any password. To unprotect a sheet, right click the sheet you want to unprotect and choose "Unprotect Sheet".</t>
  </si>
  <si>
    <t>NOTE: to update the data in sheets, the specific sheet  might needs to be unhided. To do so make sure the workbook is unprotected (Click "Review" and "Protect Workbook" under "Protect"), Unhide the sheet(s) you want to adjust. Right click the sheet and choose "Unprotect sheet".</t>
  </si>
  <si>
    <t xml:space="preserve">LCA Volume is a Rhino-Grasshopper plugin to screen carbon emission of mass models in early urban planning with the purpose of relative comparison.
The tool is open source under the Apache License, Version 2.0, January 2004 (http://www.apache.org/licenses/). The tool is free. You can reproduce and distribute copies of the Work or Derivative Works thereof in any medium, with or without modifications. Software distributed under this License is distributed on  an "AS IS" BASIS, without warrenties or conditions of any kind, either express or implied.
Users of LCA Volume are encouraged to use wise consumer and professional practices when implementing design strategies based on any inputs and outputs of this software. 
Copyright © 2026 Aarhus University Department of Civil and Architectural Engineering.
</t>
  </si>
  <si>
    <t xml:space="preserve">Version 2026-03-13
</t>
  </si>
  <si>
    <t>Realdania, Grundejernes Investeringsfond, Landsbyggefonden and DREYERS Fond is behind the initiative  Bevar Mere.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</si>
</sst>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00"/>
    <numFmt numFmtId="167" formatCode="0.00000"/>
  </numFmts>
  <fonts count="23" x14ac:knownFonts="1">
    <font>
      <sz val="11"/>
      <color theme="1"/>
      <name val="Aptos Narrow"/>
      <family val="2"/>
      <scheme val="minor"/>
    </font>
    <font>
      <b/>
      <sz val="11"/>
      <color theme="1"/>
      <name val="Aptos Narrow"/>
      <family val="2"/>
      <scheme val="minor"/>
    </font>
    <font>
      <sz val="8"/>
      <name val="Aptos Narrow"/>
      <family val="2"/>
      <scheme val="minor"/>
    </font>
    <font>
      <b/>
      <sz val="11"/>
      <name val="Aptos Narrow"/>
      <family val="2"/>
      <scheme val="minor"/>
    </font>
    <font>
      <sz val="11"/>
      <name val="Aptos Narrow"/>
      <family val="2"/>
      <scheme val="minor"/>
    </font>
    <font>
      <sz val="10"/>
      <name val="Aptos Narrow"/>
      <family val="2"/>
      <scheme val="minor"/>
    </font>
    <font>
      <sz val="10"/>
      <color theme="1"/>
      <name val="Aptos Narrow"/>
      <family val="2"/>
      <scheme val="minor"/>
    </font>
    <font>
      <b/>
      <sz val="14"/>
      <name val="Aptos Narrow"/>
      <family val="2"/>
      <scheme val="minor"/>
    </font>
    <font>
      <sz val="11"/>
      <color theme="1"/>
      <name val="Aptos Narrow"/>
      <family val="2"/>
      <scheme val="minor"/>
    </font>
    <font>
      <b/>
      <sz val="11"/>
      <color theme="0"/>
      <name val="Aptos Narrow"/>
      <family val="2"/>
      <scheme val="minor"/>
    </font>
    <font>
      <i/>
      <sz val="11"/>
      <name val="Aptos Narrow"/>
      <family val="2"/>
      <scheme val="minor"/>
    </font>
    <font>
      <i/>
      <vertAlign val="superscript"/>
      <sz val="11"/>
      <name val="Aptos Narrow"/>
      <family val="2"/>
      <scheme val="minor"/>
    </font>
    <font>
      <vertAlign val="superscript"/>
      <sz val="11"/>
      <name val="Aptos Narrow"/>
      <family val="2"/>
      <scheme val="minor"/>
    </font>
    <font>
      <sz val="11"/>
      <color theme="0"/>
      <name val="Aptos Narrow"/>
      <family val="2"/>
      <scheme val="minor"/>
    </font>
    <font>
      <b/>
      <sz val="22"/>
      <color theme="1"/>
      <name val="Aptos Narrow"/>
      <family val="2"/>
      <scheme val="minor"/>
    </font>
    <font>
      <b/>
      <sz val="24"/>
      <color theme="1"/>
      <name val="Aptos Narrow"/>
      <family val="2"/>
      <scheme val="minor"/>
    </font>
    <font>
      <b/>
      <sz val="11"/>
      <color theme="1"/>
      <name val="Aptos Narrow"/>
      <family val="2"/>
      <charset val="1"/>
    </font>
    <font>
      <i/>
      <sz val="11"/>
      <color theme="1"/>
      <name val="Aptos Narrow"/>
      <family val="2"/>
      <scheme val="minor"/>
    </font>
    <font>
      <sz val="11"/>
      <color theme="8"/>
      <name val="Aptos Narrow"/>
      <family val="2"/>
      <scheme val="minor"/>
    </font>
    <font>
      <b/>
      <sz val="11"/>
      <color theme="8"/>
      <name val="Aptos Narrow"/>
      <family val="2"/>
      <scheme val="minor"/>
    </font>
    <font>
      <vertAlign val="superscript"/>
      <sz val="11"/>
      <color theme="1"/>
      <name val="Aptos Narrow"/>
      <family val="2"/>
      <scheme val="minor"/>
    </font>
    <font>
      <u/>
      <sz val="11"/>
      <color theme="10"/>
      <name val="Aptos Narrow"/>
      <family val="2"/>
      <scheme val="minor"/>
    </font>
    <font>
      <i/>
      <sz val="14"/>
      <color theme="1"/>
      <name val="Aptos Narrow"/>
      <family val="2"/>
      <scheme val="minor"/>
    </font>
  </fonts>
  <fills count="15">
    <fill>
      <patternFill patternType="none"/>
    </fill>
    <fill>
      <patternFill patternType="gray125"/>
    </fill>
    <fill>
      <patternFill patternType="solid">
        <fgColor theme="0" tint="-0.34998626667073579"/>
        <bgColor indexed="64"/>
      </patternFill>
    </fill>
    <fill>
      <patternFill patternType="solid">
        <fgColor theme="9" tint="-9.9978637043366805E-2"/>
        <bgColor indexed="64"/>
      </patternFill>
    </fill>
    <fill>
      <patternFill patternType="solid">
        <fgColor theme="9"/>
        <bgColor indexed="64"/>
      </patternFill>
    </fill>
    <fill>
      <patternFill patternType="solid">
        <fgColor theme="0" tint="-0.14999847407452621"/>
        <bgColor indexed="64"/>
      </patternFill>
    </fill>
    <fill>
      <patternFill patternType="solid">
        <fgColor theme="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theme="0" tint="-4.9989318521683403E-2"/>
        <bgColor indexed="64"/>
      </patternFill>
    </fill>
    <fill>
      <patternFill patternType="solid">
        <fgColor rgb="FFF4F1EF"/>
        <bgColor indexed="64"/>
      </patternFill>
    </fill>
    <fill>
      <patternFill patternType="solid">
        <fgColor rgb="FF87BCA2"/>
        <bgColor indexed="64"/>
      </patternFill>
    </fill>
    <fill>
      <patternFill patternType="solid">
        <fgColor rgb="FF5E7E76"/>
        <bgColor indexed="64"/>
      </patternFill>
    </fill>
    <fill>
      <patternFill patternType="solid">
        <fgColor theme="6"/>
        <bgColor indexed="64"/>
      </patternFill>
    </fill>
  </fills>
  <borders count="96">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right style="thin">
        <color theme="0" tint="-0.249977111117893"/>
      </right>
      <top/>
      <bottom style="thin">
        <color indexed="64"/>
      </bottom>
      <diagonal/>
    </border>
    <border>
      <left style="thin">
        <color theme="0" tint="-0.249977111117893"/>
      </left>
      <right style="thin">
        <color theme="0" tint="-0.249977111117893"/>
      </right>
      <top/>
      <bottom style="thin">
        <color indexed="64"/>
      </bottom>
      <diagonal/>
    </border>
    <border>
      <left/>
      <right/>
      <top/>
      <bottom style="thin">
        <color indexed="64"/>
      </bottom>
      <diagonal/>
    </border>
    <border>
      <left style="medium">
        <color indexed="64"/>
      </left>
      <right style="thin">
        <color indexed="64"/>
      </right>
      <top/>
      <bottom style="medium">
        <color indexed="64"/>
      </bottom>
      <diagonal/>
    </border>
    <border>
      <left/>
      <right style="thin">
        <color theme="0" tint="-0.249977111117893"/>
      </right>
      <top/>
      <bottom style="medium">
        <color indexed="64"/>
      </bottom>
      <diagonal/>
    </border>
    <border>
      <left style="thin">
        <color theme="0" tint="-0.249977111117893"/>
      </left>
      <right style="thin">
        <color theme="0" tint="-0.249977111117893"/>
      </right>
      <top/>
      <bottom style="medium">
        <color indexed="64"/>
      </bottom>
      <diagonal/>
    </border>
    <border>
      <left/>
      <right/>
      <top/>
      <bottom style="medium">
        <color indexed="64"/>
      </bottom>
      <diagonal/>
    </border>
    <border>
      <left style="thin">
        <color theme="0" tint="-0.249977111117893"/>
      </left>
      <right style="medium">
        <color indexed="64"/>
      </right>
      <top/>
      <bottom style="medium">
        <color indexed="64"/>
      </bottom>
      <diagonal/>
    </border>
    <border>
      <left style="medium">
        <color indexed="64"/>
      </left>
      <right style="thin">
        <color indexed="64"/>
      </right>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medium">
        <color indexed="64"/>
      </top>
      <bottom style="thin">
        <color theme="0" tint="-0.249977111117893"/>
      </bottom>
      <diagonal/>
    </border>
    <border>
      <left style="thin">
        <color theme="0" tint="-0.249977111117893"/>
      </left>
      <right style="medium">
        <color indexed="64"/>
      </right>
      <top/>
      <bottom style="thin">
        <color theme="0" tint="-0.249977111117893"/>
      </bottom>
      <diagonal/>
    </border>
    <border>
      <left style="medium">
        <color indexed="64"/>
      </left>
      <right style="thin">
        <color indexed="64"/>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medium">
        <color indexed="64"/>
      </right>
      <top style="thin">
        <color theme="0" tint="-0.249977111117893"/>
      </top>
      <bottom style="thin">
        <color theme="0" tint="-0.249977111117893"/>
      </bottom>
      <diagonal/>
    </border>
    <border>
      <left style="medium">
        <color indexed="64"/>
      </left>
      <right style="thin">
        <color indexed="64"/>
      </right>
      <top style="thin">
        <color theme="0" tint="-0.249977111117893"/>
      </top>
      <bottom style="medium">
        <color indexed="64"/>
      </bottom>
      <diagonal/>
    </border>
    <border>
      <left/>
      <right style="thin">
        <color theme="0" tint="-0.249977111117893"/>
      </right>
      <top style="thin">
        <color theme="0" tint="-0.249977111117893"/>
      </top>
      <bottom style="medium">
        <color indexed="64"/>
      </bottom>
      <diagonal/>
    </border>
    <border>
      <left style="thin">
        <color theme="0" tint="-0.249977111117893"/>
      </left>
      <right style="thin">
        <color theme="0" tint="-0.249977111117893"/>
      </right>
      <top style="thin">
        <color theme="0" tint="-0.249977111117893"/>
      </top>
      <bottom style="medium">
        <color indexed="64"/>
      </bottom>
      <diagonal/>
    </border>
    <border>
      <left/>
      <right/>
      <top style="thin">
        <color theme="0" tint="-0.249977111117893"/>
      </top>
      <bottom style="medium">
        <color indexed="64"/>
      </bottom>
      <diagonal/>
    </border>
    <border>
      <left style="thin">
        <color theme="0" tint="-0.249977111117893"/>
      </left>
      <right/>
      <top style="thin">
        <color theme="0" tint="-0.249977111117893"/>
      </top>
      <bottom style="medium">
        <color indexed="64"/>
      </bottom>
      <diagonal/>
    </border>
    <border>
      <left style="thin">
        <color theme="0" tint="-0.249977111117893"/>
      </left>
      <right style="medium">
        <color indexed="64"/>
      </right>
      <top style="thin">
        <color theme="0" tint="-0.249977111117893"/>
      </top>
      <bottom style="medium">
        <color indexed="64"/>
      </bottom>
      <diagonal/>
    </border>
    <border>
      <left/>
      <right style="medium">
        <color indexed="64"/>
      </right>
      <top/>
      <bottom style="thin">
        <color indexed="64"/>
      </bottom>
      <diagonal/>
    </border>
    <border>
      <left/>
      <right style="medium">
        <color indexed="64"/>
      </right>
      <top/>
      <bottom style="medium">
        <color indexed="64"/>
      </bottom>
      <diagonal/>
    </border>
    <border>
      <left/>
      <right style="medium">
        <color indexed="64"/>
      </right>
      <top/>
      <bottom style="thin">
        <color theme="0" tint="-0.249977111117893"/>
      </bottom>
      <diagonal/>
    </border>
    <border>
      <left style="medium">
        <color indexed="64"/>
      </left>
      <right/>
      <top style="medium">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diagonal/>
    </border>
    <border>
      <left style="medium">
        <color indexed="64"/>
      </left>
      <right/>
      <top/>
      <bottom style="thin">
        <color indexed="64"/>
      </bottom>
      <diagonal/>
    </border>
    <border>
      <left style="thin">
        <color indexed="64"/>
      </left>
      <right style="thin">
        <color theme="0" tint="-0.249977111117893"/>
      </right>
      <top/>
      <bottom style="thin">
        <color indexed="64"/>
      </bottom>
      <diagonal/>
    </border>
    <border>
      <left style="thin">
        <color theme="0" tint="-0.249977111117893"/>
      </left>
      <right style="medium">
        <color indexed="64"/>
      </right>
      <top/>
      <bottom style="thin">
        <color indexed="64"/>
      </bottom>
      <diagonal/>
    </border>
    <border>
      <left style="medium">
        <color indexed="64"/>
      </left>
      <right/>
      <top/>
      <bottom style="medium">
        <color indexed="64"/>
      </bottom>
      <diagonal/>
    </border>
    <border>
      <left style="medium">
        <color indexed="64"/>
      </left>
      <right/>
      <top style="medium">
        <color indexed="64"/>
      </top>
      <bottom style="thin">
        <color theme="0" tint="-0.249977111117893"/>
      </bottom>
      <diagonal/>
    </border>
    <border>
      <left style="thin">
        <color indexed="64"/>
      </left>
      <right style="thin">
        <color theme="0" tint="-0.249977111117893"/>
      </right>
      <top style="medium">
        <color indexed="64"/>
      </top>
      <bottom style="thin">
        <color theme="0" tint="-0.249977111117893"/>
      </bottom>
      <diagonal/>
    </border>
    <border>
      <left style="thin">
        <color theme="0" tint="-0.249977111117893"/>
      </left>
      <right style="thin">
        <color theme="0" tint="-0.249977111117893"/>
      </right>
      <top style="medium">
        <color indexed="64"/>
      </top>
      <bottom style="thin">
        <color theme="0" tint="-0.249977111117893"/>
      </bottom>
      <diagonal/>
    </border>
    <border>
      <left style="thin">
        <color theme="0" tint="-0.249977111117893"/>
      </left>
      <right style="medium">
        <color indexed="64"/>
      </right>
      <top style="medium">
        <color indexed="64"/>
      </top>
      <bottom style="thin">
        <color theme="0" tint="-0.249977111117893"/>
      </bottom>
      <diagonal/>
    </border>
    <border>
      <left style="medium">
        <color indexed="64"/>
      </left>
      <right/>
      <top style="thin">
        <color theme="0" tint="-0.249977111117893"/>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medium">
        <color indexed="64"/>
      </left>
      <right/>
      <top style="thin">
        <color theme="0" tint="-0.249977111117893"/>
      </top>
      <bottom style="medium">
        <color indexed="64"/>
      </bottom>
      <diagonal/>
    </border>
    <border>
      <left style="thin">
        <color indexed="64"/>
      </left>
      <right style="thin">
        <color theme="0" tint="-0.249977111117893"/>
      </right>
      <top style="thin">
        <color theme="0" tint="-0.249977111117893"/>
      </top>
      <bottom style="medium">
        <color indexed="64"/>
      </bottom>
      <diagonal/>
    </border>
    <border>
      <left/>
      <right style="medium">
        <color indexed="64"/>
      </right>
      <top/>
      <bottom/>
      <diagonal/>
    </border>
    <border>
      <left style="medium">
        <color indexed="64"/>
      </left>
      <right style="thin">
        <color theme="0" tint="-0.249977111117893"/>
      </right>
      <top style="medium">
        <color indexed="64"/>
      </top>
      <bottom style="thin">
        <color indexed="64"/>
      </bottom>
      <diagonal/>
    </border>
    <border>
      <left style="medium">
        <color indexed="64"/>
      </left>
      <right style="thin">
        <color indexed="64"/>
      </right>
      <top/>
      <bottom/>
      <diagonal/>
    </border>
    <border>
      <left/>
      <right style="thin">
        <color theme="0" tint="-0.249977111117893"/>
      </right>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indexed="64"/>
      </top>
      <bottom/>
      <diagonal/>
    </border>
    <border>
      <left style="medium">
        <color indexed="64"/>
      </left>
      <right style="thin">
        <color indexed="64"/>
      </right>
      <top style="medium">
        <color indexed="64"/>
      </top>
      <bottom style="thin">
        <color theme="0" tint="-0.249977111117893"/>
      </bottom>
      <diagonal/>
    </border>
    <border>
      <left/>
      <right style="thin">
        <color theme="0" tint="-0.249977111117893"/>
      </right>
      <top style="medium">
        <color indexed="64"/>
      </top>
      <bottom style="thin">
        <color theme="0" tint="-0.249977111117893"/>
      </bottom>
      <diagonal/>
    </border>
    <border>
      <left/>
      <right/>
      <top style="medium">
        <color indexed="64"/>
      </top>
      <bottom style="thin">
        <color theme="0" tint="-0.249977111117893"/>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theme="0" tint="-0.249977111117893"/>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theme="0" tint="-0.249977111117893"/>
      </left>
      <right style="thin">
        <color indexed="64"/>
      </right>
      <top style="thin">
        <color theme="0" tint="-0.249977111117893"/>
      </top>
      <bottom style="medium">
        <color indexed="64"/>
      </bottom>
      <diagonal/>
    </border>
    <border>
      <left style="thin">
        <color indexed="64"/>
      </left>
      <right style="thin">
        <color indexed="64"/>
      </right>
      <top/>
      <bottom style="medium">
        <color indexed="64"/>
      </bottom>
      <diagonal/>
    </border>
    <border>
      <left style="thin">
        <color indexed="64"/>
      </left>
      <right/>
      <top style="thin">
        <color theme="0" tint="-0.249977111117893"/>
      </top>
      <bottom style="medium">
        <color indexed="64"/>
      </bottom>
      <diagonal/>
    </border>
    <border>
      <left style="thin">
        <color indexed="64"/>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theme="0" tint="-0.249977111117893"/>
      </right>
      <top style="medium">
        <color indexed="64"/>
      </top>
      <bottom style="thin">
        <color theme="0" tint="-0.249977111117893"/>
      </bottom>
      <diagonal/>
    </border>
    <border>
      <left style="medium">
        <color indexed="64"/>
      </left>
      <right style="thin">
        <color theme="0" tint="-0.249977111117893"/>
      </right>
      <top style="thin">
        <color theme="0" tint="-0.249977111117893"/>
      </top>
      <bottom style="thin">
        <color theme="0" tint="-0.249977111117893"/>
      </bottom>
      <diagonal/>
    </border>
    <border>
      <left style="medium">
        <color indexed="64"/>
      </left>
      <right style="thin">
        <color theme="0" tint="-0.249977111117893"/>
      </right>
      <top style="thin">
        <color theme="0" tint="-0.249977111117893"/>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style="thin">
        <color indexed="64"/>
      </right>
      <top style="thin">
        <color theme="0" tint="-0.249977111117893"/>
      </top>
      <bottom/>
      <diagonal/>
    </border>
    <border>
      <left style="thin">
        <color indexed="64"/>
      </left>
      <right style="thin">
        <color indexed="64"/>
      </right>
      <top style="thin">
        <color theme="0" tint="-0.249977111117893"/>
      </top>
      <bottom style="thin">
        <color theme="0" tint="-0.249977111117893"/>
      </bottom>
      <diagonal/>
    </border>
    <border>
      <left style="thin">
        <color indexed="64"/>
      </left>
      <right style="thin">
        <color indexed="64"/>
      </right>
      <top/>
      <bottom style="thin">
        <color theme="0" tint="-0.249977111117893"/>
      </bottom>
      <diagonal/>
    </border>
    <border>
      <left style="medium">
        <color indexed="64"/>
      </left>
      <right/>
      <top/>
      <bottom style="thin">
        <color theme="0" tint="-0.249977111117893"/>
      </bottom>
      <diagonal/>
    </border>
    <border>
      <left style="medium">
        <color indexed="64"/>
      </left>
      <right/>
      <top style="thin">
        <color theme="0" tint="-0.249977111117893"/>
      </top>
      <bottom/>
      <diagonal/>
    </border>
    <border>
      <left style="thin">
        <color indexed="64"/>
      </left>
      <right style="thin">
        <color indexed="64"/>
      </right>
      <top style="thin">
        <color theme="0" tint="-0.249977111117893"/>
      </top>
      <bottom/>
      <diagonal/>
    </border>
    <border>
      <left style="thin">
        <color indexed="64"/>
      </left>
      <right style="thin">
        <color indexed="64"/>
      </right>
      <top style="thin">
        <color theme="0" tint="-0.249977111117893"/>
      </top>
      <bottom style="medium">
        <color indexed="64"/>
      </bottom>
      <diagonal/>
    </border>
    <border>
      <left style="medium">
        <color indexed="64"/>
      </left>
      <right style="thin">
        <color theme="0" tint="-0.249977111117893"/>
      </right>
      <top/>
      <bottom style="thin">
        <color theme="0" tint="-0.249977111117893"/>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theme="0" tint="-0.249977111117893"/>
      </right>
      <top/>
      <bottom style="thin">
        <color indexed="64"/>
      </bottom>
      <diagonal/>
    </border>
    <border>
      <left style="medium">
        <color indexed="64"/>
      </left>
      <right style="thin">
        <color theme="0" tint="-0.249977111117893"/>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3">
    <xf numFmtId="0" fontId="0" fillId="0" borderId="0"/>
    <xf numFmtId="9" fontId="8" fillId="0" borderId="0" applyFont="0" applyFill="0" applyBorder="0" applyAlignment="0" applyProtection="0"/>
    <xf numFmtId="0" fontId="21" fillId="0" borderId="0" applyNumberFormat="0" applyFill="0" applyBorder="0" applyAlignment="0" applyProtection="0"/>
  </cellStyleXfs>
  <cellXfs count="291">
    <xf numFmtId="0" fontId="0" fillId="0" borderId="0" xfId="0"/>
    <xf numFmtId="0" fontId="1" fillId="0" borderId="0" xfId="0" applyFont="1"/>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1" fillId="4" borderId="8" xfId="0" applyFont="1" applyFill="1" applyBorder="1" applyAlignment="1">
      <alignment horizontal="center" vertical="center"/>
    </xf>
    <xf numFmtId="0" fontId="4" fillId="4" borderId="9" xfId="0" applyFont="1" applyFill="1" applyBorder="1" applyAlignment="1">
      <alignment horizontal="center" vertical="center" wrapText="1"/>
    </xf>
    <xf numFmtId="0" fontId="4" fillId="4" borderId="10" xfId="0" applyFont="1" applyFill="1" applyBorder="1" applyAlignment="1">
      <alignment horizontal="center" vertical="center" wrapText="1"/>
    </xf>
    <xf numFmtId="0" fontId="1" fillId="4" borderId="13" xfId="0" applyFont="1" applyFill="1" applyBorder="1" applyAlignment="1">
      <alignment horizontal="left" vertical="center"/>
    </xf>
    <xf numFmtId="164" fontId="4" fillId="0" borderId="15" xfId="0" applyNumberFormat="1" applyFont="1" applyBorder="1" applyAlignment="1">
      <alignment vertical="center" wrapText="1"/>
    </xf>
    <xf numFmtId="164" fontId="4" fillId="0" borderId="14" xfId="0" applyNumberFormat="1" applyFont="1" applyBorder="1" applyAlignment="1">
      <alignment vertical="center" wrapText="1"/>
    </xf>
    <xf numFmtId="0" fontId="1" fillId="4" borderId="19" xfId="0" applyFont="1" applyFill="1" applyBorder="1" applyAlignment="1">
      <alignment horizontal="left" vertical="center"/>
    </xf>
    <xf numFmtId="164" fontId="4" fillId="0" borderId="20" xfId="0" applyNumberFormat="1" applyFont="1" applyBorder="1" applyAlignment="1">
      <alignment vertical="center" wrapText="1"/>
    </xf>
    <xf numFmtId="0" fontId="1" fillId="4" borderId="19" xfId="0" applyFont="1" applyFill="1" applyBorder="1" applyAlignment="1">
      <alignment horizontal="left" vertical="center" wrapText="1"/>
    </xf>
    <xf numFmtId="164" fontId="4" fillId="0" borderId="20" xfId="0" applyNumberFormat="1" applyFont="1" applyBorder="1" applyAlignment="1">
      <alignment vertical="center"/>
    </xf>
    <xf numFmtId="0" fontId="1" fillId="4" borderId="25" xfId="0" applyFont="1" applyFill="1" applyBorder="1" applyAlignment="1">
      <alignment horizontal="left" vertical="center" wrapText="1"/>
    </xf>
    <xf numFmtId="164" fontId="4" fillId="0" borderId="26" xfId="0" applyNumberFormat="1" applyFont="1" applyBorder="1" applyAlignment="1">
      <alignment vertical="center"/>
    </xf>
    <xf numFmtId="0" fontId="3" fillId="3" borderId="31" xfId="0" applyFont="1" applyFill="1" applyBorder="1" applyAlignment="1">
      <alignment horizontal="center" vertical="center" wrapText="1"/>
    </xf>
    <xf numFmtId="0" fontId="4" fillId="4" borderId="32" xfId="0" applyFont="1" applyFill="1" applyBorder="1" applyAlignment="1">
      <alignment horizontal="center" vertical="center" wrapText="1"/>
    </xf>
    <xf numFmtId="164" fontId="4" fillId="0" borderId="33" xfId="0" applyNumberFormat="1" applyFont="1" applyBorder="1" applyAlignment="1">
      <alignment vertical="center" wrapText="1"/>
    </xf>
    <xf numFmtId="0" fontId="1" fillId="3" borderId="39" xfId="0" applyFont="1" applyFill="1" applyBorder="1" applyAlignment="1">
      <alignment horizontal="center" vertical="center" wrapText="1"/>
    </xf>
    <xf numFmtId="0" fontId="1" fillId="3" borderId="6" xfId="0" applyFont="1" applyFill="1" applyBorder="1" applyAlignment="1">
      <alignment horizontal="center" vertical="center" wrapText="1"/>
    </xf>
    <xf numFmtId="0" fontId="1" fillId="3" borderId="40" xfId="0" applyFont="1" applyFill="1" applyBorder="1" applyAlignment="1">
      <alignment horizontal="center" vertical="center" wrapText="1"/>
    </xf>
    <xf numFmtId="0" fontId="1" fillId="4" borderId="41" xfId="0" applyFont="1" applyFill="1" applyBorder="1" applyAlignment="1">
      <alignment horizontal="center" vertical="center"/>
    </xf>
    <xf numFmtId="0" fontId="0" fillId="4" borderId="12" xfId="0" applyFill="1" applyBorder="1" applyAlignment="1">
      <alignment horizontal="center" vertical="center"/>
    </xf>
    <xf numFmtId="0" fontId="0" fillId="4" borderId="42" xfId="0" applyFill="1" applyBorder="1" applyAlignment="1">
      <alignment vertical="center" wrapText="1"/>
    </xf>
    <xf numFmtId="0" fontId="0" fillId="4" borderId="46" xfId="0" applyFill="1" applyBorder="1" applyAlignment="1">
      <alignment vertical="center" wrapText="1"/>
    </xf>
    <xf numFmtId="0" fontId="0" fillId="4" borderId="48" xfId="0" applyFill="1" applyBorder="1" applyAlignment="1">
      <alignment vertical="center" wrapText="1"/>
    </xf>
    <xf numFmtId="0" fontId="1" fillId="3" borderId="37" xfId="0" quotePrefix="1" applyFont="1" applyFill="1" applyBorder="1" applyAlignment="1">
      <alignment horizontal="center" vertical="center"/>
    </xf>
    <xf numFmtId="0" fontId="1" fillId="3" borderId="38" xfId="0" quotePrefix="1" applyFont="1" applyFill="1" applyBorder="1" applyAlignment="1">
      <alignment horizontal="center" vertical="center"/>
    </xf>
    <xf numFmtId="0" fontId="3" fillId="3" borderId="51" xfId="0" applyFont="1" applyFill="1" applyBorder="1" applyAlignment="1">
      <alignment horizontal="center" vertical="center" wrapText="1"/>
    </xf>
    <xf numFmtId="0" fontId="3" fillId="3" borderId="36" xfId="0" applyFont="1" applyFill="1" applyBorder="1" applyAlignment="1">
      <alignment horizontal="center" vertical="center" wrapText="1"/>
    </xf>
    <xf numFmtId="164" fontId="4" fillId="0" borderId="32" xfId="0" applyNumberFormat="1" applyFont="1" applyBorder="1" applyAlignment="1">
      <alignment vertical="center" wrapText="1"/>
    </xf>
    <xf numFmtId="0" fontId="4" fillId="2" borderId="0" xfId="0" applyFont="1" applyFill="1" applyAlignment="1">
      <alignment horizontal="left" vertical="center" wrapText="1"/>
    </xf>
    <xf numFmtId="0" fontId="4" fillId="2" borderId="0" xfId="0" applyFont="1" applyFill="1" applyAlignment="1">
      <alignment vertical="center" wrapText="1"/>
    </xf>
    <xf numFmtId="0" fontId="3" fillId="3" borderId="52" xfId="0" applyFont="1" applyFill="1" applyBorder="1" applyAlignment="1">
      <alignment horizontal="center" vertical="center" wrapText="1"/>
    </xf>
    <xf numFmtId="0" fontId="3" fillId="3" borderId="53" xfId="0" applyFont="1" applyFill="1" applyBorder="1" applyAlignment="1">
      <alignment horizontal="center" vertical="center" wrapText="1"/>
    </xf>
    <xf numFmtId="0" fontId="3" fillId="3" borderId="54" xfId="0" applyFont="1" applyFill="1" applyBorder="1" applyAlignment="1">
      <alignment horizontal="center" vertical="center" wrapText="1"/>
    </xf>
    <xf numFmtId="0" fontId="3" fillId="3" borderId="55" xfId="0" applyFont="1" applyFill="1" applyBorder="1" applyAlignment="1">
      <alignment horizontal="center" vertical="center" wrapText="1"/>
    </xf>
    <xf numFmtId="0" fontId="3" fillId="3" borderId="56" xfId="0" applyFont="1" applyFill="1" applyBorder="1" applyAlignment="1">
      <alignment horizontal="center" vertical="center" wrapText="1"/>
    </xf>
    <xf numFmtId="0" fontId="3" fillId="3" borderId="0" xfId="0" applyFont="1" applyFill="1" applyAlignment="1">
      <alignment horizontal="center" vertical="center" wrapText="1"/>
    </xf>
    <xf numFmtId="0" fontId="3" fillId="3" borderId="53" xfId="0" applyFont="1" applyFill="1" applyBorder="1" applyAlignment="1">
      <alignment vertical="center" wrapText="1"/>
    </xf>
    <xf numFmtId="0" fontId="3" fillId="3" borderId="50" xfId="0" applyFont="1" applyFill="1" applyBorder="1" applyAlignment="1">
      <alignment vertical="center" wrapText="1"/>
    </xf>
    <xf numFmtId="0" fontId="4" fillId="4" borderId="57" xfId="0" applyFont="1" applyFill="1" applyBorder="1" applyAlignment="1">
      <alignment horizontal="left" vertical="center" wrapText="1"/>
    </xf>
    <xf numFmtId="0" fontId="5" fillId="5" borderId="58" xfId="0" applyFont="1" applyFill="1" applyBorder="1" applyAlignment="1">
      <alignment horizontal="left" vertical="center" wrapText="1"/>
    </xf>
    <xf numFmtId="0" fontId="5" fillId="5" borderId="44" xfId="0" applyFont="1" applyFill="1" applyBorder="1" applyAlignment="1">
      <alignment horizontal="left" vertical="top" wrapText="1"/>
    </xf>
    <xf numFmtId="0" fontId="5" fillId="5" borderId="44" xfId="0" applyFont="1" applyFill="1" applyBorder="1" applyAlignment="1">
      <alignment horizontal="left" vertical="center" wrapText="1"/>
    </xf>
    <xf numFmtId="164" fontId="5" fillId="5" borderId="17" xfId="0" applyNumberFormat="1" applyFont="1" applyFill="1" applyBorder="1" applyAlignment="1">
      <alignment horizontal="right" vertical="center" wrapText="1"/>
    </xf>
    <xf numFmtId="164" fontId="5" fillId="5" borderId="44" xfId="0" applyNumberFormat="1" applyFont="1" applyFill="1" applyBorder="1" applyAlignment="1">
      <alignment horizontal="right" vertical="center" wrapText="1"/>
    </xf>
    <xf numFmtId="164" fontId="5" fillId="5" borderId="59" xfId="0" applyNumberFormat="1" applyFont="1" applyFill="1" applyBorder="1" applyAlignment="1">
      <alignment horizontal="right" vertical="center" wrapText="1"/>
    </xf>
    <xf numFmtId="164" fontId="4" fillId="2" borderId="0" xfId="0" applyNumberFormat="1" applyFont="1" applyFill="1" applyAlignment="1">
      <alignment vertical="center" wrapText="1"/>
    </xf>
    <xf numFmtId="9" fontId="4" fillId="2" borderId="0" xfId="0" applyNumberFormat="1" applyFont="1" applyFill="1" applyAlignment="1">
      <alignment vertical="center" wrapText="1"/>
    </xf>
    <xf numFmtId="0" fontId="4" fillId="4" borderId="13" xfId="0" applyFont="1" applyFill="1" applyBorder="1" applyAlignment="1">
      <alignment horizontal="left" vertical="center" wrapText="1"/>
    </xf>
    <xf numFmtId="0" fontId="5" fillId="5" borderId="14" xfId="0" applyFont="1" applyFill="1" applyBorder="1" applyAlignment="1">
      <alignment horizontal="left" vertical="center" wrapText="1"/>
    </xf>
    <xf numFmtId="0" fontId="5" fillId="5" borderId="15" xfId="0" applyFont="1" applyFill="1" applyBorder="1" applyAlignment="1">
      <alignment horizontal="left" vertical="top" wrapText="1"/>
    </xf>
    <xf numFmtId="0" fontId="5" fillId="5" borderId="15" xfId="0" applyFont="1" applyFill="1" applyBorder="1" applyAlignment="1">
      <alignment horizontal="left" vertical="center" wrapText="1"/>
    </xf>
    <xf numFmtId="164" fontId="5" fillId="5" borderId="16" xfId="0" applyNumberFormat="1" applyFont="1" applyFill="1" applyBorder="1" applyAlignment="1">
      <alignment horizontal="right" vertical="center" wrapText="1"/>
    </xf>
    <xf numFmtId="164" fontId="5" fillId="5" borderId="15" xfId="0" applyNumberFormat="1" applyFont="1" applyFill="1" applyBorder="1" applyAlignment="1">
      <alignment horizontal="right" vertical="center" wrapText="1"/>
    </xf>
    <xf numFmtId="164" fontId="5" fillId="5" borderId="22" xfId="0" applyNumberFormat="1" applyFont="1" applyFill="1" applyBorder="1" applyAlignment="1">
      <alignment horizontal="right" vertical="center" wrapText="1"/>
    </xf>
    <xf numFmtId="164" fontId="5" fillId="5" borderId="23" xfId="0" applyNumberFormat="1" applyFont="1" applyFill="1" applyBorder="1" applyAlignment="1">
      <alignment horizontal="right" vertical="center" wrapText="1"/>
    </xf>
    <xf numFmtId="164" fontId="5" fillId="5" borderId="22" xfId="0" applyNumberFormat="1" applyFont="1" applyFill="1" applyBorder="1" applyAlignment="1">
      <alignment vertical="center" wrapText="1"/>
    </xf>
    <xf numFmtId="164" fontId="5" fillId="5" borderId="23" xfId="0" applyNumberFormat="1" applyFont="1" applyFill="1" applyBorder="1" applyAlignment="1">
      <alignment vertical="center" wrapText="1"/>
    </xf>
    <xf numFmtId="0" fontId="4" fillId="4" borderId="19" xfId="0" applyFont="1" applyFill="1" applyBorder="1" applyAlignment="1">
      <alignment horizontal="left" vertical="center" wrapText="1"/>
    </xf>
    <xf numFmtId="0" fontId="5" fillId="5" borderId="20" xfId="0" applyFont="1" applyFill="1" applyBorder="1" applyAlignment="1">
      <alignment horizontal="left" vertical="center" wrapText="1"/>
    </xf>
    <xf numFmtId="0" fontId="5" fillId="5" borderId="47" xfId="0" applyFont="1" applyFill="1" applyBorder="1" applyAlignment="1">
      <alignment horizontal="left" vertical="center" wrapText="1"/>
    </xf>
    <xf numFmtId="0" fontId="5" fillId="5" borderId="21" xfId="0" applyFont="1" applyFill="1" applyBorder="1" applyAlignment="1">
      <alignment horizontal="left" vertical="top" wrapText="1"/>
    </xf>
    <xf numFmtId="0" fontId="5" fillId="5" borderId="21" xfId="0" applyFont="1" applyFill="1" applyBorder="1" applyAlignment="1">
      <alignment horizontal="left" vertical="center" wrapText="1"/>
    </xf>
    <xf numFmtId="164" fontId="5" fillId="5" borderId="21" xfId="0" applyNumberFormat="1" applyFont="1" applyFill="1" applyBorder="1" applyAlignment="1">
      <alignment horizontal="right" vertical="center" wrapText="1"/>
    </xf>
    <xf numFmtId="164" fontId="5" fillId="5" borderId="64" xfId="0" applyNumberFormat="1" applyFont="1" applyFill="1" applyBorder="1" applyAlignment="1">
      <alignment horizontal="right" vertical="center" wrapText="1"/>
    </xf>
    <xf numFmtId="164" fontId="5" fillId="5" borderId="65" xfId="0" applyNumberFormat="1" applyFont="1" applyFill="1" applyBorder="1" applyAlignment="1">
      <alignment vertical="center" wrapText="1"/>
    </xf>
    <xf numFmtId="164" fontId="5" fillId="5" borderId="64" xfId="0" applyNumberFormat="1" applyFont="1" applyFill="1" applyBorder="1" applyAlignment="1">
      <alignment vertical="center" wrapText="1"/>
    </xf>
    <xf numFmtId="0" fontId="4" fillId="4" borderId="25" xfId="0" applyFont="1" applyFill="1" applyBorder="1" applyAlignment="1">
      <alignment horizontal="left" vertical="center" wrapText="1"/>
    </xf>
    <xf numFmtId="0" fontId="5" fillId="5" borderId="49" xfId="0" applyFont="1" applyFill="1" applyBorder="1" applyAlignment="1">
      <alignment horizontal="left" vertical="center" wrapText="1"/>
    </xf>
    <xf numFmtId="0" fontId="5" fillId="5" borderId="27" xfId="0" applyFont="1" applyFill="1" applyBorder="1" applyAlignment="1">
      <alignment horizontal="left" vertical="top" wrapText="1"/>
    </xf>
    <xf numFmtId="0" fontId="5" fillId="5" borderId="27" xfId="0" applyFont="1" applyFill="1" applyBorder="1" applyAlignment="1">
      <alignment horizontal="left" vertical="center" wrapText="1"/>
    </xf>
    <xf numFmtId="164" fontId="5" fillId="5" borderId="29" xfId="0" applyNumberFormat="1" applyFont="1" applyFill="1" applyBorder="1" applyAlignment="1">
      <alignment horizontal="right" vertical="center" wrapText="1"/>
    </xf>
    <xf numFmtId="164" fontId="5" fillId="5" borderId="27" xfId="0" applyNumberFormat="1" applyFont="1" applyFill="1" applyBorder="1" applyAlignment="1">
      <alignment horizontal="right" vertical="center" wrapText="1"/>
    </xf>
    <xf numFmtId="164" fontId="5" fillId="5" borderId="28" xfId="0" applyNumberFormat="1" applyFont="1" applyFill="1" applyBorder="1" applyAlignment="1">
      <alignment horizontal="right" vertical="center" wrapText="1"/>
    </xf>
    <xf numFmtId="164" fontId="5" fillId="5" borderId="66" xfId="0" applyNumberFormat="1" applyFont="1" applyFill="1" applyBorder="1" applyAlignment="1">
      <alignment horizontal="right" vertical="center" wrapText="1"/>
    </xf>
    <xf numFmtId="164" fontId="5" fillId="5" borderId="68" xfId="0" applyNumberFormat="1" applyFont="1" applyFill="1" applyBorder="1" applyAlignment="1">
      <alignment vertical="center" wrapText="1"/>
    </xf>
    <xf numFmtId="164" fontId="5" fillId="5" borderId="29" xfId="0" applyNumberFormat="1" applyFont="1" applyFill="1" applyBorder="1" applyAlignment="1">
      <alignment vertical="center" wrapText="1"/>
    </xf>
    <xf numFmtId="164" fontId="5" fillId="5" borderId="66" xfId="0" applyNumberFormat="1" applyFont="1" applyFill="1" applyBorder="1" applyAlignment="1">
      <alignment vertical="center" wrapText="1"/>
    </xf>
    <xf numFmtId="165" fontId="0" fillId="0" borderId="0" xfId="0" applyNumberFormat="1"/>
    <xf numFmtId="165" fontId="0" fillId="8" borderId="0" xfId="0" applyNumberFormat="1" applyFill="1"/>
    <xf numFmtId="0" fontId="0" fillId="8" borderId="0" xfId="0" applyFill="1"/>
    <xf numFmtId="0" fontId="1" fillId="3" borderId="35" xfId="0" applyFont="1" applyFill="1" applyBorder="1" applyAlignment="1">
      <alignment horizontal="center" vertical="center"/>
    </xf>
    <xf numFmtId="0" fontId="1" fillId="4" borderId="0" xfId="0" applyFont="1" applyFill="1" applyAlignment="1">
      <alignment horizontal="center"/>
    </xf>
    <xf numFmtId="0" fontId="0" fillId="8" borderId="0" xfId="0" applyFill="1" applyAlignment="1">
      <alignment horizontal="center"/>
    </xf>
    <xf numFmtId="165" fontId="0" fillId="8" borderId="0" xfId="0" applyNumberFormat="1" applyFill="1" applyAlignment="1">
      <alignment horizontal="center"/>
    </xf>
    <xf numFmtId="0" fontId="0" fillId="0" borderId="0" xfId="0" applyAlignment="1">
      <alignment horizontal="center"/>
    </xf>
    <xf numFmtId="0" fontId="1" fillId="4" borderId="0" xfId="0" applyFont="1" applyFill="1" applyAlignment="1">
      <alignment horizontal="center" vertical="center"/>
    </xf>
    <xf numFmtId="9" fontId="0" fillId="0" borderId="50" xfId="1" applyFont="1" applyBorder="1" applyAlignment="1">
      <alignment horizontal="center" vertical="center"/>
    </xf>
    <xf numFmtId="0" fontId="0" fillId="0" borderId="0" xfId="0" applyAlignment="1">
      <alignment horizontal="center" vertical="center"/>
    </xf>
    <xf numFmtId="9" fontId="4" fillId="0" borderId="72" xfId="0" applyNumberFormat="1" applyFont="1" applyBorder="1" applyAlignment="1">
      <alignment horizontal="center" vertical="center" wrapText="1"/>
    </xf>
    <xf numFmtId="9" fontId="0" fillId="0" borderId="70" xfId="1" applyFont="1" applyBorder="1" applyAlignment="1">
      <alignment horizontal="center" vertical="center"/>
    </xf>
    <xf numFmtId="9" fontId="0" fillId="0" borderId="71" xfId="1" applyFont="1" applyBorder="1" applyAlignment="1">
      <alignment horizontal="center" vertical="center"/>
    </xf>
    <xf numFmtId="9" fontId="4" fillId="0" borderId="73" xfId="0" applyNumberFormat="1" applyFont="1" applyBorder="1" applyAlignment="1">
      <alignment horizontal="center" vertical="center" wrapText="1"/>
    </xf>
    <xf numFmtId="9" fontId="0" fillId="0" borderId="0" xfId="1" applyFont="1" applyBorder="1" applyAlignment="1">
      <alignment horizontal="center" vertical="center"/>
    </xf>
    <xf numFmtId="9" fontId="4" fillId="0" borderId="74" xfId="0" applyNumberFormat="1" applyFont="1" applyBorder="1" applyAlignment="1">
      <alignment horizontal="center" vertical="center" wrapText="1"/>
    </xf>
    <xf numFmtId="9" fontId="0" fillId="0" borderId="11" xfId="1" applyFont="1" applyBorder="1" applyAlignment="1">
      <alignment horizontal="center" vertical="center"/>
    </xf>
    <xf numFmtId="9" fontId="0" fillId="0" borderId="32" xfId="1" applyFont="1" applyBorder="1" applyAlignment="1">
      <alignment horizontal="center" vertical="center"/>
    </xf>
    <xf numFmtId="9" fontId="0" fillId="8" borderId="0" xfId="1" applyFont="1" applyFill="1" applyAlignment="1">
      <alignment horizontal="center" vertical="center"/>
    </xf>
    <xf numFmtId="0" fontId="9" fillId="9" borderId="4" xfId="0" applyFont="1" applyFill="1" applyBorder="1" applyAlignment="1">
      <alignment horizontal="left" vertical="center"/>
    </xf>
    <xf numFmtId="0" fontId="4" fillId="4" borderId="9" xfId="0" applyFont="1" applyFill="1" applyBorder="1" applyAlignment="1">
      <alignment horizontal="left" vertical="center" wrapText="1"/>
    </xf>
    <xf numFmtId="0" fontId="0" fillId="0" borderId="0" xfId="0" applyAlignment="1">
      <alignment horizontal="left"/>
    </xf>
    <xf numFmtId="0" fontId="9" fillId="9" borderId="4" xfId="0" applyFont="1" applyFill="1" applyBorder="1" applyAlignment="1">
      <alignment horizontal="right" vertical="center"/>
    </xf>
    <xf numFmtId="0" fontId="1" fillId="4" borderId="8" xfId="0" applyFont="1" applyFill="1" applyBorder="1" applyAlignment="1">
      <alignment horizontal="right" vertical="center"/>
    </xf>
    <xf numFmtId="165" fontId="0" fillId="0" borderId="0" xfId="0" applyNumberFormat="1" applyAlignment="1">
      <alignment horizontal="right"/>
    </xf>
    <xf numFmtId="0" fontId="0" fillId="0" borderId="0" xfId="0" applyAlignment="1">
      <alignment horizontal="right"/>
    </xf>
    <xf numFmtId="0" fontId="1" fillId="4" borderId="0" xfId="0" applyFont="1" applyFill="1" applyAlignment="1">
      <alignment horizontal="right" vertical="center"/>
    </xf>
    <xf numFmtId="0" fontId="9" fillId="9" borderId="4" xfId="0" applyFont="1" applyFill="1" applyBorder="1" applyAlignment="1">
      <alignment horizontal="left" vertical="top"/>
    </xf>
    <xf numFmtId="0" fontId="3" fillId="3" borderId="6" xfId="0" applyFont="1" applyFill="1" applyBorder="1" applyAlignment="1">
      <alignment horizontal="center" vertical="top" wrapText="1"/>
    </xf>
    <xf numFmtId="0" fontId="1" fillId="4" borderId="0" xfId="0" applyFont="1" applyFill="1" applyAlignment="1">
      <alignment horizontal="center" vertical="top"/>
    </xf>
    <xf numFmtId="0" fontId="0" fillId="0" borderId="0" xfId="0" applyAlignment="1">
      <alignment vertical="top"/>
    </xf>
    <xf numFmtId="0" fontId="9" fillId="9" borderId="4" xfId="0" applyFont="1" applyFill="1" applyBorder="1" applyAlignment="1">
      <alignment horizontal="right" vertical="top"/>
    </xf>
    <xf numFmtId="0" fontId="1" fillId="4" borderId="8" xfId="0" applyFont="1" applyFill="1" applyBorder="1" applyAlignment="1">
      <alignment horizontal="center" vertical="top"/>
    </xf>
    <xf numFmtId="2" fontId="0" fillId="8" borderId="0" xfId="1" applyNumberFormat="1" applyFont="1" applyFill="1" applyAlignment="1">
      <alignment horizontal="center" vertical="center"/>
    </xf>
    <xf numFmtId="0" fontId="0" fillId="0" borderId="70" xfId="1" applyNumberFormat="1" applyFont="1" applyBorder="1" applyAlignment="1">
      <alignment horizontal="center" vertical="center"/>
    </xf>
    <xf numFmtId="0" fontId="0" fillId="0" borderId="71" xfId="1" applyNumberFormat="1" applyFont="1" applyBorder="1" applyAlignment="1">
      <alignment horizontal="center" vertical="center"/>
    </xf>
    <xf numFmtId="0" fontId="4" fillId="4" borderId="55" xfId="0" applyFont="1" applyFill="1" applyBorder="1" applyAlignment="1">
      <alignment horizontal="center" vertical="center" wrapText="1"/>
    </xf>
    <xf numFmtId="0" fontId="0" fillId="0" borderId="0" xfId="1" applyNumberFormat="1" applyFont="1" applyBorder="1" applyAlignment="1">
      <alignment horizontal="center" vertical="center"/>
    </xf>
    <xf numFmtId="0" fontId="0" fillId="0" borderId="50" xfId="1" applyNumberFormat="1" applyFont="1" applyBorder="1" applyAlignment="1">
      <alignment horizontal="center" vertical="center"/>
    </xf>
    <xf numFmtId="0" fontId="0" fillId="0" borderId="11" xfId="1" applyNumberFormat="1" applyFont="1" applyBorder="1" applyAlignment="1">
      <alignment horizontal="center" vertical="center"/>
    </xf>
    <xf numFmtId="0" fontId="0" fillId="0" borderId="32" xfId="1" applyNumberFormat="1" applyFont="1" applyBorder="1" applyAlignment="1">
      <alignment horizontal="center" vertical="center"/>
    </xf>
    <xf numFmtId="2" fontId="4" fillId="0" borderId="34" xfId="0" applyNumberFormat="1" applyFont="1" applyBorder="1" applyAlignment="1">
      <alignment horizontal="center" vertical="center" wrapText="1"/>
    </xf>
    <xf numFmtId="2" fontId="4" fillId="0" borderId="37" xfId="0" applyNumberFormat="1" applyFont="1" applyBorder="1" applyAlignment="1">
      <alignment horizontal="center" vertical="center" wrapText="1"/>
    </xf>
    <xf numFmtId="2" fontId="4" fillId="0" borderId="37" xfId="0" applyNumberFormat="1" applyFont="1" applyBorder="1" applyAlignment="1">
      <alignment horizontal="center" vertical="center"/>
    </xf>
    <xf numFmtId="2" fontId="4" fillId="0" borderId="41" xfId="0" applyNumberFormat="1" applyFont="1" applyBorder="1" applyAlignment="1">
      <alignment horizontal="center" vertical="center"/>
    </xf>
    <xf numFmtId="0" fontId="1" fillId="3" borderId="38" xfId="0" applyFont="1" applyFill="1" applyBorder="1" applyAlignment="1">
      <alignment horizontal="center" vertical="center"/>
    </xf>
    <xf numFmtId="0" fontId="1" fillId="3" borderId="75" xfId="0" applyFont="1" applyFill="1" applyBorder="1" applyAlignment="1">
      <alignment horizontal="center" vertical="center"/>
    </xf>
    <xf numFmtId="0" fontId="0" fillId="4" borderId="67" xfId="0" applyFill="1" applyBorder="1" applyAlignment="1">
      <alignment horizontal="center" vertical="center"/>
    </xf>
    <xf numFmtId="0" fontId="0" fillId="4" borderId="76" xfId="0" applyFill="1" applyBorder="1" applyAlignment="1">
      <alignment vertical="center"/>
    </xf>
    <xf numFmtId="0" fontId="0" fillId="4" borderId="77" xfId="0" applyFill="1" applyBorder="1" applyAlignment="1">
      <alignment horizontal="left" vertical="center"/>
    </xf>
    <xf numFmtId="164" fontId="4" fillId="0" borderId="58" xfId="0" applyNumberFormat="1" applyFont="1" applyBorder="1" applyAlignment="1">
      <alignment vertical="center" wrapText="1"/>
    </xf>
    <xf numFmtId="164" fontId="4" fillId="0" borderId="44" xfId="0" applyNumberFormat="1" applyFont="1" applyBorder="1" applyAlignment="1">
      <alignment vertical="center" wrapText="1"/>
    </xf>
    <xf numFmtId="164" fontId="4" fillId="0" borderId="78" xfId="0" applyNumberFormat="1" applyFont="1" applyBorder="1" applyAlignment="1">
      <alignment vertical="center" wrapText="1"/>
    </xf>
    <xf numFmtId="0" fontId="0" fillId="4" borderId="79" xfId="0" applyFill="1" applyBorder="1" applyAlignment="1">
      <alignment vertical="center"/>
    </xf>
    <xf numFmtId="0" fontId="0" fillId="4" borderId="80" xfId="0" applyFill="1" applyBorder="1" applyAlignment="1">
      <alignment horizontal="left" vertical="center"/>
    </xf>
    <xf numFmtId="0" fontId="0" fillId="4" borderId="81" xfId="0" applyFill="1" applyBorder="1" applyAlignment="1">
      <alignment horizontal="left" vertical="center"/>
    </xf>
    <xf numFmtId="0" fontId="0" fillId="4" borderId="19" xfId="0" applyFill="1" applyBorder="1" applyAlignment="1">
      <alignment vertical="center"/>
    </xf>
    <xf numFmtId="0" fontId="0" fillId="4" borderId="19" xfId="0" applyFill="1" applyBorder="1" applyAlignment="1">
      <alignment horizontal="left" vertical="center"/>
    </xf>
    <xf numFmtId="0" fontId="0" fillId="4" borderId="82" xfId="0" applyFill="1" applyBorder="1" applyAlignment="1">
      <alignment horizontal="left" vertical="center"/>
    </xf>
    <xf numFmtId="0" fontId="0" fillId="4" borderId="46" xfId="0" applyFill="1" applyBorder="1" applyAlignment="1">
      <alignment horizontal="left" vertical="center"/>
    </xf>
    <xf numFmtId="0" fontId="0" fillId="4" borderId="46" xfId="0" applyFill="1" applyBorder="1" applyAlignment="1">
      <alignment horizontal="left" vertical="center" wrapText="1"/>
    </xf>
    <xf numFmtId="0" fontId="0" fillId="4" borderId="80" xfId="0" applyFill="1" applyBorder="1" applyAlignment="1">
      <alignment horizontal="left" vertical="center" wrapText="1"/>
    </xf>
    <xf numFmtId="0" fontId="0" fillId="4" borderId="83" xfId="0" applyFill="1" applyBorder="1" applyAlignment="1">
      <alignment horizontal="left" vertical="center" wrapText="1"/>
    </xf>
    <xf numFmtId="0" fontId="0" fillId="4" borderId="84" xfId="0" applyFill="1" applyBorder="1" applyAlignment="1">
      <alignment horizontal="left" vertical="center" wrapText="1"/>
    </xf>
    <xf numFmtId="0" fontId="0" fillId="4" borderId="48" xfId="0" applyFill="1" applyBorder="1" applyAlignment="1">
      <alignment horizontal="left" vertical="center" wrapText="1"/>
    </xf>
    <xf numFmtId="0" fontId="0" fillId="4" borderId="85" xfId="0" applyFill="1" applyBorder="1" applyAlignment="1">
      <alignment horizontal="left" vertical="center" wrapText="1"/>
    </xf>
    <xf numFmtId="164" fontId="4" fillId="0" borderId="9" xfId="0" applyNumberFormat="1" applyFont="1" applyBorder="1" applyAlignment="1">
      <alignment vertical="center" wrapText="1"/>
    </xf>
    <xf numFmtId="164" fontId="4" fillId="0" borderId="10" xfId="0" applyNumberFormat="1" applyFont="1" applyBorder="1" applyAlignment="1">
      <alignment vertical="center" wrapText="1"/>
    </xf>
    <xf numFmtId="164" fontId="0" fillId="0" borderId="0" xfId="0" applyNumberFormat="1"/>
    <xf numFmtId="164" fontId="4" fillId="0" borderId="55" xfId="0" applyNumberFormat="1" applyFont="1" applyBorder="1" applyAlignment="1">
      <alignment vertical="center" wrapText="1"/>
    </xf>
    <xf numFmtId="164" fontId="0" fillId="0" borderId="50" xfId="0" applyNumberFormat="1" applyBorder="1"/>
    <xf numFmtId="164" fontId="0" fillId="0" borderId="11" xfId="0" applyNumberFormat="1" applyBorder="1"/>
    <xf numFmtId="164" fontId="0" fillId="0" borderId="32" xfId="0" applyNumberFormat="1" applyBorder="1"/>
    <xf numFmtId="0" fontId="1" fillId="4" borderId="37" xfId="0" applyFont="1" applyFill="1" applyBorder="1" applyAlignment="1">
      <alignment horizontal="center" vertical="center"/>
    </xf>
    <xf numFmtId="0" fontId="0" fillId="4" borderId="62" xfId="0" applyFill="1" applyBorder="1" applyAlignment="1">
      <alignment horizontal="center" vertical="center"/>
    </xf>
    <xf numFmtId="0" fontId="10" fillId="4" borderId="53" xfId="0" applyFont="1" applyFill="1" applyBorder="1" applyAlignment="1">
      <alignment horizontal="center" vertical="center" wrapText="1"/>
    </xf>
    <xf numFmtId="0" fontId="10" fillId="4" borderId="54" xfId="0" applyFont="1" applyFill="1" applyBorder="1" applyAlignment="1">
      <alignment horizontal="center" vertical="center" wrapText="1"/>
    </xf>
    <xf numFmtId="0" fontId="10" fillId="4" borderId="50" xfId="0" applyFont="1" applyFill="1" applyBorder="1" applyAlignment="1">
      <alignment horizontal="center" vertical="center" wrapText="1"/>
    </xf>
    <xf numFmtId="0" fontId="10" fillId="4" borderId="0" xfId="0" applyFont="1" applyFill="1" applyAlignment="1">
      <alignment horizontal="center" vertical="center" wrapText="1"/>
    </xf>
    <xf numFmtId="0" fontId="1" fillId="4" borderId="0" xfId="0" applyFont="1" applyFill="1" applyAlignment="1">
      <alignment horizontal="center" vertical="top" wrapText="1"/>
    </xf>
    <xf numFmtId="0" fontId="0" fillId="6" borderId="0" xfId="0" applyFill="1"/>
    <xf numFmtId="0" fontId="0" fillId="4" borderId="87" xfId="0" applyFill="1" applyBorder="1" applyAlignment="1">
      <alignment horizontal="center" vertical="center"/>
    </xf>
    <xf numFmtId="0" fontId="1" fillId="4" borderId="0" xfId="0" applyFont="1" applyFill="1" applyAlignment="1">
      <alignment vertical="top" wrapText="1"/>
    </xf>
    <xf numFmtId="0" fontId="0" fillId="4" borderId="34" xfId="0" applyFill="1" applyBorder="1" applyAlignment="1">
      <alignment vertical="center"/>
    </xf>
    <xf numFmtId="0" fontId="0" fillId="4" borderId="37" xfId="0" applyFill="1" applyBorder="1" applyAlignment="1">
      <alignment vertical="center"/>
    </xf>
    <xf numFmtId="0" fontId="0" fillId="4" borderId="41" xfId="0" applyFill="1" applyBorder="1" applyAlignment="1">
      <alignment vertical="center"/>
    </xf>
    <xf numFmtId="0" fontId="0" fillId="0" borderId="87" xfId="0" applyBorder="1"/>
    <xf numFmtId="0" fontId="0" fillId="4" borderId="88" xfId="0" applyFill="1" applyBorder="1" applyAlignment="1">
      <alignment horizontal="left" vertical="center"/>
    </xf>
    <xf numFmtId="0" fontId="0" fillId="4" borderId="87" xfId="0" applyFill="1" applyBorder="1" applyAlignment="1">
      <alignment horizontal="left" vertical="center"/>
    </xf>
    <xf numFmtId="0" fontId="0" fillId="4" borderId="89" xfId="0" applyFill="1" applyBorder="1" applyAlignment="1">
      <alignment horizontal="left" vertical="center"/>
    </xf>
    <xf numFmtId="0" fontId="1" fillId="4" borderId="87" xfId="0" applyFont="1" applyFill="1" applyBorder="1" applyAlignment="1">
      <alignment vertical="top" wrapText="1"/>
    </xf>
    <xf numFmtId="0" fontId="1" fillId="4" borderId="87" xfId="0" applyFont="1" applyFill="1" applyBorder="1" applyAlignment="1">
      <alignment horizontal="center" vertical="top" wrapText="1"/>
    </xf>
    <xf numFmtId="0" fontId="1" fillId="0" borderId="87" xfId="0" applyFont="1" applyBorder="1"/>
    <xf numFmtId="0" fontId="1" fillId="0" borderId="88" xfId="0" applyFont="1" applyBorder="1"/>
    <xf numFmtId="0" fontId="1" fillId="0" borderId="89" xfId="0" applyFont="1" applyBorder="1"/>
    <xf numFmtId="0" fontId="0" fillId="5" borderId="70" xfId="0" applyFill="1" applyBorder="1"/>
    <xf numFmtId="0" fontId="0" fillId="5" borderId="0" xfId="0" applyFill="1"/>
    <xf numFmtId="0" fontId="0" fillId="5" borderId="11" xfId="0" applyFill="1" applyBorder="1"/>
    <xf numFmtId="164" fontId="4" fillId="6" borderId="18" xfId="0" applyNumberFormat="1" applyFont="1" applyFill="1" applyBorder="1" applyAlignment="1">
      <alignment vertical="center" wrapText="1"/>
    </xf>
    <xf numFmtId="164" fontId="4" fillId="6" borderId="24" xfId="0" applyNumberFormat="1" applyFont="1" applyFill="1" applyBorder="1" applyAlignment="1">
      <alignment vertical="center" wrapText="1"/>
    </xf>
    <xf numFmtId="164" fontId="4" fillId="6" borderId="24" xfId="0" applyNumberFormat="1" applyFont="1" applyFill="1" applyBorder="1" applyAlignment="1">
      <alignment vertical="center"/>
    </xf>
    <xf numFmtId="164" fontId="4" fillId="6" borderId="30" xfId="0" applyNumberFormat="1" applyFont="1" applyFill="1" applyBorder="1" applyAlignment="1">
      <alignment vertical="center"/>
    </xf>
    <xf numFmtId="0" fontId="0" fillId="7" borderId="0" xfId="0" applyFill="1" applyAlignment="1">
      <alignment vertical="center"/>
    </xf>
    <xf numFmtId="0" fontId="0" fillId="7" borderId="0" xfId="0" quotePrefix="1" applyFill="1" applyAlignment="1">
      <alignment vertical="center"/>
    </xf>
    <xf numFmtId="164" fontId="4" fillId="0" borderId="34" xfId="0" applyNumberFormat="1" applyFont="1" applyBorder="1" applyAlignment="1">
      <alignment horizontal="center" vertical="center" wrapText="1"/>
    </xf>
    <xf numFmtId="164" fontId="4" fillId="0" borderId="37" xfId="0" applyNumberFormat="1" applyFont="1" applyBorder="1" applyAlignment="1">
      <alignment horizontal="center" vertical="center" wrapText="1"/>
    </xf>
    <xf numFmtId="164" fontId="4" fillId="0" borderId="41" xfId="0" applyNumberFormat="1" applyFont="1" applyBorder="1" applyAlignment="1">
      <alignment horizontal="center" vertical="center" wrapText="1"/>
    </xf>
    <xf numFmtId="164" fontId="4" fillId="0" borderId="72" xfId="0" applyNumberFormat="1" applyFont="1" applyBorder="1" applyAlignment="1">
      <alignment horizontal="center" vertical="center" wrapText="1"/>
    </xf>
    <xf numFmtId="164" fontId="4" fillId="0" borderId="86" xfId="0" applyNumberFormat="1" applyFont="1" applyBorder="1" applyAlignment="1">
      <alignment horizontal="center" vertical="center" wrapText="1"/>
    </xf>
    <xf numFmtId="164" fontId="4" fillId="0" borderId="73" xfId="0" applyNumberFormat="1" applyFont="1" applyBorder="1" applyAlignment="1">
      <alignment horizontal="center" vertical="center" wrapText="1"/>
    </xf>
    <xf numFmtId="164" fontId="4" fillId="0" borderId="74" xfId="0" applyNumberFormat="1" applyFont="1" applyBorder="1" applyAlignment="1">
      <alignment horizontal="center" vertical="center" wrapText="1"/>
    </xf>
    <xf numFmtId="0" fontId="0" fillId="0" borderId="70" xfId="0" applyBorder="1"/>
    <xf numFmtId="0" fontId="0" fillId="0" borderId="11" xfId="0" applyBorder="1"/>
    <xf numFmtId="0" fontId="4" fillId="2" borderId="57" xfId="0" applyFont="1" applyFill="1" applyBorder="1" applyAlignment="1">
      <alignment horizontal="left" vertical="center" wrapText="1"/>
    </xf>
    <xf numFmtId="0" fontId="5" fillId="2" borderId="58" xfId="0" applyFont="1" applyFill="1" applyBorder="1" applyAlignment="1">
      <alignment horizontal="left" vertical="center" wrapText="1"/>
    </xf>
    <xf numFmtId="0" fontId="5" fillId="2" borderId="44" xfId="0" applyFont="1" applyFill="1" applyBorder="1" applyAlignment="1">
      <alignment horizontal="left" vertical="top" wrapText="1"/>
    </xf>
    <xf numFmtId="0" fontId="5" fillId="2" borderId="44" xfId="0" applyFont="1" applyFill="1" applyBorder="1" applyAlignment="1">
      <alignment horizontal="left" vertical="center" wrapText="1"/>
    </xf>
    <xf numFmtId="164" fontId="5" fillId="2" borderId="17" xfId="0" applyNumberFormat="1" applyFont="1" applyFill="1" applyBorder="1" applyAlignment="1">
      <alignment horizontal="right" vertical="center" wrapText="1"/>
    </xf>
    <xf numFmtId="164" fontId="5" fillId="2" borderId="44" xfId="0" applyNumberFormat="1" applyFont="1" applyFill="1" applyBorder="1" applyAlignment="1">
      <alignment horizontal="right" vertical="center" wrapText="1"/>
    </xf>
    <xf numFmtId="164" fontId="5" fillId="2" borderId="59" xfId="0" applyNumberFormat="1" applyFont="1" applyFill="1" applyBorder="1" applyAlignment="1">
      <alignment horizontal="right" vertical="center" wrapText="1"/>
    </xf>
    <xf numFmtId="0" fontId="0" fillId="7" borderId="71" xfId="0" quotePrefix="1" applyFill="1" applyBorder="1" applyAlignment="1">
      <alignment vertical="center"/>
    </xf>
    <xf numFmtId="0" fontId="0" fillId="7" borderId="50" xfId="0" applyFill="1" applyBorder="1" applyAlignment="1">
      <alignment vertical="center"/>
    </xf>
    <xf numFmtId="0" fontId="0" fillId="7" borderId="32" xfId="0" applyFill="1" applyBorder="1" applyAlignment="1">
      <alignment vertical="center"/>
    </xf>
    <xf numFmtId="0" fontId="9" fillId="9" borderId="0" xfId="0" applyFont="1" applyFill="1" applyAlignment="1">
      <alignment horizontal="left" vertical="top"/>
    </xf>
    <xf numFmtId="0" fontId="9" fillId="9" borderId="7" xfId="0" applyFont="1" applyFill="1" applyBorder="1" applyAlignment="1">
      <alignment horizontal="left" vertical="top"/>
    </xf>
    <xf numFmtId="0" fontId="1" fillId="4" borderId="0" xfId="0" applyFont="1" applyFill="1" applyAlignment="1">
      <alignment horizontal="left" vertical="center"/>
    </xf>
    <xf numFmtId="0" fontId="4" fillId="4" borderId="11" xfId="0" applyFont="1" applyFill="1" applyBorder="1" applyAlignment="1">
      <alignment horizontal="left" vertical="center" wrapText="1"/>
    </xf>
    <xf numFmtId="0" fontId="3" fillId="3" borderId="91" xfId="0" applyFont="1" applyFill="1" applyBorder="1" applyAlignment="1">
      <alignment horizontal="center" vertical="center" wrapText="1"/>
    </xf>
    <xf numFmtId="0" fontId="4" fillId="4" borderId="92" xfId="0" applyFont="1" applyFill="1" applyBorder="1" applyAlignment="1">
      <alignment horizontal="center" vertical="center" wrapText="1"/>
    </xf>
    <xf numFmtId="2" fontId="0" fillId="8" borderId="37" xfId="1" applyNumberFormat="1" applyFont="1" applyFill="1" applyBorder="1" applyAlignment="1">
      <alignment horizontal="center" vertical="center"/>
    </xf>
    <xf numFmtId="2" fontId="0" fillId="8" borderId="50" xfId="1" applyNumberFormat="1" applyFont="1" applyFill="1" applyBorder="1" applyAlignment="1">
      <alignment horizontal="center" vertical="center"/>
    </xf>
    <xf numFmtId="2" fontId="0" fillId="8" borderId="41" xfId="1" applyNumberFormat="1" applyFont="1" applyFill="1" applyBorder="1" applyAlignment="1">
      <alignment horizontal="center" vertical="center"/>
    </xf>
    <xf numFmtId="2" fontId="0" fillId="8" borderId="32" xfId="1" applyNumberFormat="1" applyFont="1" applyFill="1" applyBorder="1" applyAlignment="1">
      <alignment horizontal="center" vertical="center"/>
    </xf>
    <xf numFmtId="166" fontId="4" fillId="0" borderId="0" xfId="0" applyNumberFormat="1" applyFont="1" applyAlignment="1">
      <alignment vertical="center" wrapText="1"/>
    </xf>
    <xf numFmtId="166" fontId="4" fillId="10" borderId="0" xfId="0" applyNumberFormat="1" applyFont="1" applyFill="1" applyAlignment="1">
      <alignment vertical="center" wrapText="1"/>
    </xf>
    <xf numFmtId="166" fontId="4" fillId="0" borderId="0" xfId="0" applyNumberFormat="1" applyFont="1" applyAlignment="1">
      <alignment vertical="center"/>
    </xf>
    <xf numFmtId="166" fontId="4" fillId="0" borderId="70" xfId="0" applyNumberFormat="1" applyFont="1" applyBorder="1" applyAlignment="1">
      <alignment vertical="center" wrapText="1"/>
    </xf>
    <xf numFmtId="166" fontId="4" fillId="10" borderId="70" xfId="0" applyNumberFormat="1" applyFont="1" applyFill="1" applyBorder="1" applyAlignment="1">
      <alignment vertical="center" wrapText="1"/>
    </xf>
    <xf numFmtId="166" fontId="4" fillId="10" borderId="71" xfId="0" applyNumberFormat="1" applyFont="1" applyFill="1" applyBorder="1" applyAlignment="1">
      <alignment vertical="center" wrapText="1"/>
    </xf>
    <xf numFmtId="166" fontId="4" fillId="10" borderId="50" xfId="0" applyNumberFormat="1" applyFont="1" applyFill="1" applyBorder="1" applyAlignment="1">
      <alignment vertical="center" wrapText="1"/>
    </xf>
    <xf numFmtId="166" fontId="4" fillId="0" borderId="11" xfId="0" applyNumberFormat="1" applyFont="1" applyBorder="1" applyAlignment="1">
      <alignment vertical="center" wrapText="1"/>
    </xf>
    <xf numFmtId="166" fontId="4" fillId="10" borderId="11" xfId="0" applyNumberFormat="1" applyFont="1" applyFill="1" applyBorder="1" applyAlignment="1">
      <alignment vertical="center" wrapText="1"/>
    </xf>
    <xf numFmtId="166" fontId="4" fillId="0" borderId="11" xfId="0" applyNumberFormat="1" applyFont="1" applyBorder="1" applyAlignment="1">
      <alignment vertical="center"/>
    </xf>
    <xf numFmtId="166" fontId="4" fillId="10" borderId="32" xfId="0" applyNumberFormat="1" applyFont="1" applyFill="1" applyBorder="1" applyAlignment="1">
      <alignment vertical="center" wrapText="1"/>
    </xf>
    <xf numFmtId="0" fontId="1" fillId="4" borderId="37" xfId="0" applyFont="1" applyFill="1" applyBorder="1" applyAlignment="1">
      <alignment horizontal="center" vertical="top" wrapText="1"/>
    </xf>
    <xf numFmtId="0" fontId="1" fillId="4" borderId="63" xfId="0" applyFont="1" applyFill="1" applyBorder="1" applyAlignment="1">
      <alignment horizontal="center" vertical="top" wrapText="1"/>
    </xf>
    <xf numFmtId="0" fontId="0" fillId="0" borderId="71" xfId="0" applyBorder="1"/>
    <xf numFmtId="0" fontId="0" fillId="0" borderId="50" xfId="0" applyBorder="1"/>
    <xf numFmtId="0" fontId="0" fillId="0" borderId="32" xfId="0" applyBorder="1"/>
    <xf numFmtId="2" fontId="0" fillId="0" borderId="34" xfId="0" applyNumberFormat="1" applyBorder="1"/>
    <xf numFmtId="2" fontId="0" fillId="0" borderId="70" xfId="0" applyNumberFormat="1" applyBorder="1"/>
    <xf numFmtId="2" fontId="0" fillId="0" borderId="37" xfId="0" applyNumberFormat="1" applyBorder="1"/>
    <xf numFmtId="2" fontId="0" fillId="0" borderId="0" xfId="0" applyNumberFormat="1"/>
    <xf numFmtId="2" fontId="0" fillId="0" borderId="41" xfId="0" applyNumberFormat="1" applyBorder="1"/>
    <xf numFmtId="2" fontId="0" fillId="0" borderId="11" xfId="0" applyNumberFormat="1" applyBorder="1"/>
    <xf numFmtId="2" fontId="0" fillId="0" borderId="71" xfId="0" applyNumberFormat="1" applyBorder="1"/>
    <xf numFmtId="2" fontId="0" fillId="0" borderId="50" xfId="0" applyNumberFormat="1" applyBorder="1"/>
    <xf numFmtId="2" fontId="0" fillId="0" borderId="32" xfId="0" applyNumberFormat="1" applyBorder="1"/>
    <xf numFmtId="164" fontId="13" fillId="0" borderId="0" xfId="0" applyNumberFormat="1" applyFont="1" applyAlignment="1">
      <alignment vertical="center" wrapText="1"/>
    </xf>
    <xf numFmtId="167" fontId="6" fillId="5" borderId="44" xfId="0" applyNumberFormat="1" applyFont="1" applyFill="1" applyBorder="1" applyAlignment="1">
      <alignment vertical="center"/>
    </xf>
    <xf numFmtId="167" fontId="6" fillId="5" borderId="21" xfId="0" applyNumberFormat="1" applyFont="1" applyFill="1" applyBorder="1" applyAlignment="1">
      <alignment vertical="center"/>
    </xf>
    <xf numFmtId="167" fontId="6" fillId="5" borderId="27" xfId="0" applyNumberFormat="1" applyFont="1" applyFill="1" applyBorder="1" applyAlignment="1">
      <alignment vertical="center"/>
    </xf>
    <xf numFmtId="167" fontId="6" fillId="5" borderId="43" xfId="0" applyNumberFormat="1" applyFont="1" applyFill="1" applyBorder="1" applyAlignment="1">
      <alignment vertical="center"/>
    </xf>
    <xf numFmtId="167" fontId="6" fillId="5" borderId="47" xfId="0" applyNumberFormat="1" applyFont="1" applyFill="1" applyBorder="1" applyAlignment="1">
      <alignment vertical="center"/>
    </xf>
    <xf numFmtId="167" fontId="6" fillId="5" borderId="49" xfId="0" applyNumberFormat="1" applyFont="1" applyFill="1" applyBorder="1" applyAlignment="1">
      <alignment vertical="center"/>
    </xf>
    <xf numFmtId="167" fontId="6" fillId="5" borderId="45" xfId="0" applyNumberFormat="1" applyFont="1" applyFill="1" applyBorder="1" applyAlignment="1">
      <alignment vertical="center"/>
    </xf>
    <xf numFmtId="167" fontId="6" fillId="5" borderId="24" xfId="0" applyNumberFormat="1" applyFont="1" applyFill="1" applyBorder="1" applyAlignment="1">
      <alignment vertical="center"/>
    </xf>
    <xf numFmtId="0" fontId="0" fillId="11" borderId="0" xfId="0" applyFill="1"/>
    <xf numFmtId="0" fontId="1" fillId="11" borderId="0" xfId="0" applyFont="1" applyFill="1"/>
    <xf numFmtId="0" fontId="0" fillId="11" borderId="90" xfId="0" applyFill="1" applyBorder="1" applyAlignment="1">
      <alignment vertical="top"/>
    </xf>
    <xf numFmtId="0" fontId="0" fillId="11" borderId="90" xfId="0" applyFill="1" applyBorder="1" applyAlignment="1">
      <alignment vertical="top" wrapText="1"/>
    </xf>
    <xf numFmtId="0" fontId="1" fillId="12" borderId="94" xfId="0" applyFont="1" applyFill="1" applyBorder="1" applyAlignment="1">
      <alignment horizontal="center" vertical="center"/>
    </xf>
    <xf numFmtId="0" fontId="4" fillId="12" borderId="0" xfId="0" applyFont="1" applyFill="1" applyAlignment="1">
      <alignment horizontal="center" vertical="center" wrapText="1"/>
    </xf>
    <xf numFmtId="0" fontId="9" fillId="13" borderId="93" xfId="0" applyFont="1" applyFill="1" applyBorder="1" applyAlignment="1">
      <alignment horizontal="center" vertical="center" wrapText="1"/>
    </xf>
    <xf numFmtId="0" fontId="9" fillId="13" borderId="0" xfId="0" applyFont="1" applyFill="1" applyAlignment="1">
      <alignment horizontal="center" vertical="center" wrapText="1"/>
    </xf>
    <xf numFmtId="0" fontId="9" fillId="13" borderId="94" xfId="0" applyFont="1" applyFill="1" applyBorder="1" applyAlignment="1">
      <alignment horizontal="center" vertical="center" wrapText="1"/>
    </xf>
    <xf numFmtId="0" fontId="9" fillId="13" borderId="93" xfId="0" applyFont="1" applyFill="1" applyBorder="1" applyAlignment="1">
      <alignment horizontal="left" vertical="center"/>
    </xf>
    <xf numFmtId="0" fontId="9" fillId="13" borderId="94" xfId="0" applyFont="1" applyFill="1" applyBorder="1" applyAlignment="1">
      <alignment horizontal="left" vertical="center"/>
    </xf>
    <xf numFmtId="0" fontId="9" fillId="13" borderId="94" xfId="0" applyFont="1" applyFill="1" applyBorder="1" applyAlignment="1">
      <alignment horizontal="left" vertical="center" wrapText="1"/>
    </xf>
    <xf numFmtId="0" fontId="9" fillId="13" borderId="95" xfId="0" applyFont="1" applyFill="1" applyBorder="1" applyAlignment="1">
      <alignment horizontal="left" vertical="center" wrapText="1"/>
    </xf>
    <xf numFmtId="0" fontId="15" fillId="11" borderId="0" xfId="0" applyFont="1" applyFill="1"/>
    <xf numFmtId="0" fontId="1" fillId="4" borderId="0" xfId="0" applyFont="1" applyFill="1" applyAlignment="1">
      <alignment horizontal="left" vertical="top" wrapText="1"/>
    </xf>
    <xf numFmtId="0" fontId="10" fillId="0" borderId="0" xfId="0" applyFont="1" applyAlignment="1">
      <alignment horizontal="center" vertical="center" wrapText="1"/>
    </xf>
    <xf numFmtId="0" fontId="9" fillId="14" borderId="0" xfId="0" applyFont="1" applyFill="1"/>
    <xf numFmtId="0" fontId="0" fillId="11" borderId="0" xfId="0" applyFill="1" applyAlignment="1">
      <alignment vertical="top"/>
    </xf>
    <xf numFmtId="0" fontId="0" fillId="11" borderId="0" xfId="0" applyFill="1" applyAlignment="1">
      <alignment vertical="top" wrapText="1"/>
    </xf>
    <xf numFmtId="0" fontId="14" fillId="11" borderId="0" xfId="0" applyFont="1" applyFill="1" applyAlignment="1">
      <alignment vertical="top" wrapText="1"/>
    </xf>
    <xf numFmtId="0" fontId="19" fillId="11" borderId="0" xfId="0" applyFont="1" applyFill="1" applyAlignment="1">
      <alignment vertical="top" wrapText="1"/>
    </xf>
    <xf numFmtId="0" fontId="14" fillId="11" borderId="0" xfId="0" applyFont="1" applyFill="1" applyAlignment="1">
      <alignment vertical="top"/>
    </xf>
    <xf numFmtId="0" fontId="1" fillId="11" borderId="0" xfId="0" applyFont="1" applyFill="1" applyAlignment="1">
      <alignment vertical="top" wrapText="1"/>
    </xf>
    <xf numFmtId="0" fontId="1" fillId="11" borderId="0" xfId="0" applyFont="1" applyFill="1" applyAlignment="1">
      <alignment vertical="top"/>
    </xf>
    <xf numFmtId="0" fontId="21" fillId="11" borderId="0" xfId="2" applyFill="1"/>
    <xf numFmtId="0" fontId="18" fillId="11" borderId="0" xfId="0" applyFont="1" applyFill="1" applyAlignment="1">
      <alignment vertical="top" wrapText="1"/>
    </xf>
    <xf numFmtId="0" fontId="22" fillId="11" borderId="0" xfId="0" applyFont="1" applyFill="1" applyAlignment="1">
      <alignment vertical="top" wrapText="1"/>
    </xf>
    <xf numFmtId="0" fontId="0" fillId="11" borderId="0" xfId="0" applyFill="1" applyAlignment="1">
      <alignment horizontal="left" vertical="top" wrapText="1"/>
    </xf>
    <xf numFmtId="0" fontId="17" fillId="11" borderId="0" xfId="0" applyFont="1" applyFill="1" applyAlignment="1">
      <alignment horizontal="left" wrapText="1"/>
    </xf>
    <xf numFmtId="0" fontId="18" fillId="11" borderId="0" xfId="0" applyFont="1" applyFill="1" applyAlignment="1">
      <alignment horizontal="left" vertical="top" wrapText="1"/>
    </xf>
    <xf numFmtId="0" fontId="7" fillId="3" borderId="1"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3" fillId="4" borderId="60" xfId="0" applyFont="1" applyFill="1" applyBorder="1" applyAlignment="1">
      <alignment horizontal="center" vertical="top" textRotation="90" wrapText="1"/>
    </xf>
    <xf numFmtId="0" fontId="3" fillId="4" borderId="62" xfId="0" applyFont="1" applyFill="1" applyBorder="1" applyAlignment="1">
      <alignment horizontal="center" vertical="top" textRotation="90" wrapText="1"/>
    </xf>
    <xf numFmtId="0" fontId="3" fillId="4" borderId="67" xfId="0" applyFont="1" applyFill="1" applyBorder="1" applyAlignment="1">
      <alignment horizontal="center" vertical="top" textRotation="90" wrapText="1"/>
    </xf>
    <xf numFmtId="0" fontId="3" fillId="4" borderId="61" xfId="0" applyFont="1" applyFill="1" applyBorder="1" applyAlignment="1">
      <alignment horizontal="center" vertical="top" textRotation="90" wrapText="1"/>
    </xf>
    <xf numFmtId="0" fontId="3" fillId="4" borderId="63" xfId="0" applyFont="1" applyFill="1" applyBorder="1" applyAlignment="1">
      <alignment horizontal="center" vertical="top" textRotation="90" wrapText="1"/>
    </xf>
    <xf numFmtId="0" fontId="3" fillId="4" borderId="69" xfId="0" applyFont="1" applyFill="1" applyBorder="1" applyAlignment="1">
      <alignment horizontal="center" vertical="top" textRotation="90" wrapText="1"/>
    </xf>
    <xf numFmtId="0" fontId="0" fillId="0" borderId="0" xfId="0" applyAlignment="1">
      <alignment horizontal="left"/>
    </xf>
    <xf numFmtId="0" fontId="1" fillId="11" borderId="0" xfId="0" applyFont="1" applyFill="1" applyAlignment="1">
      <alignment horizontal="left" vertical="top" wrapText="1"/>
    </xf>
    <xf numFmtId="0" fontId="1" fillId="4" borderId="0" xfId="0" applyFont="1" applyFill="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F4F1EF"/>
      <color rgb="FF646AFF"/>
      <color rgb="FF87BCA2"/>
      <color rgb="FF5E7E7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17/06/relationships/rdRichValue" Target="richData/rdrichvalue.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0" Type="http://schemas.openxmlformats.org/officeDocument/2006/relationships/worksheet" Target="worksheets/sheet20.xml"/><Relationship Id="rId41"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xdr:col>
      <xdr:colOff>47625</xdr:colOff>
      <xdr:row>18</xdr:row>
      <xdr:rowOff>66675</xdr:rowOff>
    </xdr:from>
    <xdr:to>
      <xdr:col>1</xdr:col>
      <xdr:colOff>1962150</xdr:colOff>
      <xdr:row>18</xdr:row>
      <xdr:rowOff>1066801</xdr:rowOff>
    </xdr:to>
    <xdr:pic>
      <xdr:nvPicPr>
        <xdr:cNvPr id="2" name="Picture 1" descr="CEBRA a/s, arkitekter - company profile &amp; statistics">
          <a:extLst>
            <a:ext uri="{FF2B5EF4-FFF2-40B4-BE49-F238E27FC236}">
              <a16:creationId xmlns:a16="http://schemas.microsoft.com/office/drawing/2014/main" id="{813BD07F-CB34-6F79-DD9A-E2AB9F2C7276}"/>
            </a:ext>
          </a:extLst>
        </xdr:cNvPr>
        <xdr:cNvPicPr>
          <a:picLocks noChangeAspect="1" noChangeArrowheads="1"/>
        </xdr:cNvPicPr>
      </xdr:nvPicPr>
      <xdr:blipFill rotWithShape="1">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t="23501" b="23999"/>
        <a:stretch>
          <a:fillRect/>
        </a:stretch>
      </xdr:blipFill>
      <xdr:spPr bwMode="auto">
        <a:xfrm>
          <a:off x="657225" y="2905125"/>
          <a:ext cx="1905000" cy="10001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2409825</xdr:colOff>
      <xdr:row>18</xdr:row>
      <xdr:rowOff>57506</xdr:rowOff>
    </xdr:from>
    <xdr:to>
      <xdr:col>1</xdr:col>
      <xdr:colOff>4648200</xdr:colOff>
      <xdr:row>18</xdr:row>
      <xdr:rowOff>990599</xdr:rowOff>
    </xdr:to>
    <xdr:pic>
      <xdr:nvPicPr>
        <xdr:cNvPr id="3" name="Picture 2">
          <a:extLst>
            <a:ext uri="{FF2B5EF4-FFF2-40B4-BE49-F238E27FC236}">
              <a16:creationId xmlns:a16="http://schemas.microsoft.com/office/drawing/2014/main" id="{CBFD1C0B-4A23-F435-A606-81B7224D988F}"/>
            </a:ext>
          </a:extLst>
        </xdr:cNvPr>
        <xdr:cNvPicPr>
          <a:picLocks noChangeAspect="1"/>
        </xdr:cNvPicPr>
      </xdr:nvPicPr>
      <xdr:blipFill>
        <a:blip xmlns:r="http://schemas.openxmlformats.org/officeDocument/2006/relationships" r:embed="rId2"/>
        <a:stretch>
          <a:fillRect/>
        </a:stretch>
      </xdr:blipFill>
      <xdr:spPr>
        <a:xfrm>
          <a:off x="3019425" y="4524731"/>
          <a:ext cx="2238375" cy="933093"/>
        </a:xfrm>
        <a:prstGeom prst="rect">
          <a:avLst/>
        </a:prstGeom>
      </xdr:spPr>
    </xdr:pic>
    <xdr:clientData/>
  </xdr:twoCellAnchor>
  <xdr:twoCellAnchor editAs="oneCell">
    <xdr:from>
      <xdr:col>1</xdr:col>
      <xdr:colOff>238125</xdr:colOff>
      <xdr:row>20</xdr:row>
      <xdr:rowOff>181331</xdr:rowOff>
    </xdr:from>
    <xdr:to>
      <xdr:col>1</xdr:col>
      <xdr:colOff>1272540</xdr:colOff>
      <xdr:row>20</xdr:row>
      <xdr:rowOff>1219556</xdr:rowOff>
    </xdr:to>
    <xdr:pic>
      <xdr:nvPicPr>
        <xdr:cNvPr id="4" name="Picture 3">
          <a:extLst>
            <a:ext uri="{FF2B5EF4-FFF2-40B4-BE49-F238E27FC236}">
              <a16:creationId xmlns:a16="http://schemas.microsoft.com/office/drawing/2014/main" id="{066C0096-F85B-6454-002E-9B120A1E2C2F}"/>
            </a:ext>
          </a:extLst>
        </xdr:cNvPr>
        <xdr:cNvPicPr>
          <a:picLocks noChangeAspect="1"/>
        </xdr:cNvPicPr>
      </xdr:nvPicPr>
      <xdr:blipFill>
        <a:blip xmlns:r="http://schemas.openxmlformats.org/officeDocument/2006/relationships" r:embed="rId3">
          <a:biLevel thresh="75000"/>
        </a:blip>
        <a:stretch>
          <a:fillRect/>
        </a:stretch>
      </xdr:blipFill>
      <xdr:spPr>
        <a:xfrm>
          <a:off x="847725" y="6229706"/>
          <a:ext cx="1038225" cy="1038225"/>
        </a:xfrm>
        <a:prstGeom prst="rect">
          <a:avLst/>
        </a:prstGeom>
      </xdr:spPr>
    </xdr:pic>
    <xdr:clientData/>
  </xdr:twoCellAnchor>
  <xdr:twoCellAnchor>
    <xdr:from>
      <xdr:col>1</xdr:col>
      <xdr:colOff>1495425</xdr:colOff>
      <xdr:row>20</xdr:row>
      <xdr:rowOff>323850</xdr:rowOff>
    </xdr:from>
    <xdr:to>
      <xdr:col>2</xdr:col>
      <xdr:colOff>57149</xdr:colOff>
      <xdr:row>20</xdr:row>
      <xdr:rowOff>1152525</xdr:rowOff>
    </xdr:to>
    <xdr:sp macro="" textlink="">
      <xdr:nvSpPr>
        <xdr:cNvPr id="5" name="TextBox 4">
          <a:extLst>
            <a:ext uri="{FF2B5EF4-FFF2-40B4-BE49-F238E27FC236}">
              <a16:creationId xmlns:a16="http://schemas.microsoft.com/office/drawing/2014/main" id="{A8BC301C-2EEC-3CBD-F3B6-208439675039}"/>
            </a:ext>
          </a:extLst>
        </xdr:cNvPr>
        <xdr:cNvSpPr txBox="1"/>
      </xdr:nvSpPr>
      <xdr:spPr>
        <a:xfrm>
          <a:off x="2105025" y="6372225"/>
          <a:ext cx="2914649"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a-DK" sz="4000" b="1" i="0" u="none" strike="noStrike" baseline="0">
              <a:solidFill>
                <a:sysClr val="windowText" lastClr="000000"/>
              </a:solidFill>
              <a:latin typeface="Artifakt Element"/>
            </a:rPr>
            <a:t>AU Connect</a:t>
          </a:r>
          <a:endParaRPr lang="da-DK" sz="40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561975</xdr:colOff>
      <xdr:row>29</xdr:row>
      <xdr:rowOff>171450</xdr:rowOff>
    </xdr:from>
    <xdr:to>
      <xdr:col>18</xdr:col>
      <xdr:colOff>516714</xdr:colOff>
      <xdr:row>51</xdr:row>
      <xdr:rowOff>114877</xdr:rowOff>
    </xdr:to>
    <xdr:pic>
      <xdr:nvPicPr>
        <xdr:cNvPr id="2" name="Picture 1">
          <a:extLst>
            <a:ext uri="{FF2B5EF4-FFF2-40B4-BE49-F238E27FC236}">
              <a16:creationId xmlns:a16="http://schemas.microsoft.com/office/drawing/2014/main" id="{6A808ACC-A1EC-C1FA-090C-004A10CD0075}"/>
            </a:ext>
          </a:extLst>
        </xdr:cNvPr>
        <xdr:cNvPicPr>
          <a:picLocks noChangeAspect="1"/>
        </xdr:cNvPicPr>
      </xdr:nvPicPr>
      <xdr:blipFill>
        <a:blip xmlns:r="http://schemas.openxmlformats.org/officeDocument/2006/relationships" r:embed="rId1"/>
        <a:stretch>
          <a:fillRect/>
        </a:stretch>
      </xdr:blipFill>
      <xdr:spPr>
        <a:xfrm>
          <a:off x="561975" y="2476500"/>
          <a:ext cx="16937814" cy="4134427"/>
        </a:xfrm>
        <a:prstGeom prst="rect">
          <a:avLst/>
        </a:prstGeom>
      </xdr:spPr>
    </xdr:pic>
    <xdr:clientData/>
  </xdr:twoCellAnchor>
  <xdr:twoCellAnchor editAs="oneCell">
    <xdr:from>
      <xdr:col>6</xdr:col>
      <xdr:colOff>32385</xdr:colOff>
      <xdr:row>26</xdr:row>
      <xdr:rowOff>279858</xdr:rowOff>
    </xdr:from>
    <xdr:to>
      <xdr:col>14</xdr:col>
      <xdr:colOff>41910</xdr:colOff>
      <xdr:row>28</xdr:row>
      <xdr:rowOff>104775</xdr:rowOff>
    </xdr:to>
    <xdr:pic>
      <xdr:nvPicPr>
        <xdr:cNvPr id="3" name="Picture 2">
          <a:extLst>
            <a:ext uri="{FF2B5EF4-FFF2-40B4-BE49-F238E27FC236}">
              <a16:creationId xmlns:a16="http://schemas.microsoft.com/office/drawing/2014/main" id="{D65720C1-19C4-2FF8-6254-81042A26F5F3}"/>
            </a:ext>
          </a:extLst>
        </xdr:cNvPr>
        <xdr:cNvPicPr>
          <a:picLocks noChangeAspect="1"/>
        </xdr:cNvPicPr>
      </xdr:nvPicPr>
      <xdr:blipFill rotWithShape="1">
        <a:blip xmlns:r="http://schemas.openxmlformats.org/officeDocument/2006/relationships" r:embed="rId2">
          <a:clrChange>
            <a:clrFrom>
              <a:srgbClr val="FFFFFF"/>
            </a:clrFrom>
            <a:clrTo>
              <a:srgbClr val="FFFFFF">
                <a:alpha val="0"/>
              </a:srgbClr>
            </a:clrTo>
          </a:clrChange>
        </a:blip>
        <a:srcRect b="20956"/>
        <a:stretch>
          <a:fillRect/>
        </a:stretch>
      </xdr:blipFill>
      <xdr:spPr>
        <a:xfrm>
          <a:off x="9976485" y="12883338"/>
          <a:ext cx="5008245" cy="1188897"/>
        </a:xfrm>
        <a:prstGeom prst="rect">
          <a:avLst/>
        </a:prstGeom>
        <a:ln>
          <a:noFill/>
        </a:ln>
        <a:effectLst/>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Custom 2">
      <a:dk1>
        <a:srgbClr val="000A37"/>
      </a:dk1>
      <a:lt1>
        <a:srgbClr val="F4F1EF"/>
      </a:lt1>
      <a:dk2>
        <a:srgbClr val="000A37"/>
      </a:dk2>
      <a:lt2>
        <a:srgbClr val="C7B9AE"/>
      </a:lt2>
      <a:accent1>
        <a:srgbClr val="156082"/>
      </a:accent1>
      <a:accent2>
        <a:srgbClr val="FF9276"/>
      </a:accent2>
      <a:accent3>
        <a:srgbClr val="5E7E76"/>
      </a:accent3>
      <a:accent4>
        <a:srgbClr val="646AFF"/>
      </a:accent4>
      <a:accent5>
        <a:srgbClr val="E63946"/>
      </a:accent5>
      <a:accent6>
        <a:srgbClr val="87BCA2"/>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 dT="2025-07-04T12:01:18.60" personId="{00000000-0000-0000-0000-000000000000}" id="{1050432F-8025-47A9-85C2-0CEF28CE0338}">
    <text>OBS! Plan22 er baseret på nytteareal</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pure.au.dk/portal/da/projects/lca-volume/" TargetMode="External"/><Relationship Id="rId1" Type="http://schemas.openxmlformats.org/officeDocument/2006/relationships/hyperlink" Target="http://www.bevarmere.d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8163B-CB44-4D6B-9C26-FA25E14B72CE}">
  <sheetPr>
    <tabColor theme="2"/>
  </sheetPr>
  <dimension ref="B2:D22"/>
  <sheetViews>
    <sheetView tabSelected="1" workbookViewId="0">
      <selection activeCell="E21" sqref="E21"/>
    </sheetView>
  </sheetViews>
  <sheetFormatPr defaultColWidth="9.109375" defaultRowHeight="14.4" x14ac:dyDescent="0.3"/>
  <cols>
    <col min="1" max="1" width="9.109375" style="249"/>
    <col min="2" max="2" width="95" style="266" customWidth="1"/>
    <col min="3" max="16384" width="9.109375" style="249"/>
  </cols>
  <sheetData>
    <row r="2" spans="2:4" ht="28.8" x14ac:dyDescent="0.3">
      <c r="B2" s="270" t="s">
        <v>538</v>
      </c>
    </row>
    <row r="3" spans="2:4" ht="35.4" customHeight="1" x14ac:dyDescent="0.3">
      <c r="B3" s="275" t="s">
        <v>549</v>
      </c>
    </row>
    <row r="4" spans="2:4" ht="184.8" customHeight="1" x14ac:dyDescent="0.3">
      <c r="B4" s="267" t="s">
        <v>548</v>
      </c>
    </row>
    <row r="5" spans="2:4" x14ac:dyDescent="0.3">
      <c r="B5" s="267" t="s">
        <v>540</v>
      </c>
    </row>
    <row r="6" spans="2:4" x14ac:dyDescent="0.3">
      <c r="B6" s="273" t="s">
        <v>544</v>
      </c>
    </row>
    <row r="7" spans="2:4" x14ac:dyDescent="0.3">
      <c r="B7" s="273"/>
    </row>
    <row r="8" spans="2:4" x14ac:dyDescent="0.3">
      <c r="B8" s="267" t="s">
        <v>543</v>
      </c>
    </row>
    <row r="9" spans="2:4" x14ac:dyDescent="0.3">
      <c r="B9" s="273" t="s">
        <v>542</v>
      </c>
    </row>
    <row r="10" spans="2:4" x14ac:dyDescent="0.3">
      <c r="B10" s="273"/>
    </row>
    <row r="11" spans="2:4" ht="29.25" customHeight="1" x14ac:dyDescent="0.3">
      <c r="B11" s="268" t="s">
        <v>537</v>
      </c>
    </row>
    <row r="12" spans="2:4" ht="57" customHeight="1" x14ac:dyDescent="0.3">
      <c r="B12" s="267" t="s">
        <v>530</v>
      </c>
    </row>
    <row r="13" spans="2:4" ht="103.8" customHeight="1" x14ac:dyDescent="0.3">
      <c r="B13" s="269" t="s">
        <v>546</v>
      </c>
    </row>
    <row r="14" spans="2:4" ht="28.8" x14ac:dyDescent="0.3">
      <c r="B14" s="268" t="s">
        <v>541</v>
      </c>
    </row>
    <row r="15" spans="2:4" ht="55.5" customHeight="1" x14ac:dyDescent="0.3">
      <c r="B15" s="267" t="s">
        <v>518</v>
      </c>
    </row>
    <row r="16" spans="2:4" ht="157.5" customHeight="1" x14ac:dyDescent="0.3">
      <c r="B16" s="267" t="s">
        <v>539</v>
      </c>
      <c r="C16" s="267"/>
      <c r="D16" s="267"/>
    </row>
    <row r="18" spans="2:2" x14ac:dyDescent="0.3">
      <c r="B18" s="271" t="s">
        <v>473</v>
      </c>
    </row>
    <row r="19" spans="2:2" ht="109.5" customHeight="1" x14ac:dyDescent="0.3"/>
    <row r="20" spans="2:2" x14ac:dyDescent="0.3">
      <c r="B20" s="272" t="s">
        <v>474</v>
      </c>
    </row>
    <row r="21" spans="2:2" ht="120" customHeight="1" x14ac:dyDescent="0.3"/>
    <row r="22" spans="2:2" ht="28.8" x14ac:dyDescent="0.3">
      <c r="B22" s="267" t="s">
        <v>550</v>
      </c>
    </row>
  </sheetData>
  <sheetProtection sheet="1" formatCells="0" formatColumns="0" formatRows="0" insertColumns="0" insertRows="0" insertHyperlinks="0" deleteColumns="0" deleteRows="0" sort="0" autoFilter="0" pivotTables="0"/>
  <hyperlinks>
    <hyperlink ref="B6" r:id="rId1" xr:uid="{AA6513C0-C9BB-43EB-AB6F-434763030527}"/>
    <hyperlink ref="B9" r:id="rId2" xr:uid="{5C60E306-3B43-40AA-90B4-1E251989A2B6}"/>
  </hyperlinks>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09843-D0E5-4EBB-9ACC-6BEE3B9482C8}">
  <sheetPr>
    <tabColor theme="2"/>
  </sheetPr>
  <dimension ref="B2:N29"/>
  <sheetViews>
    <sheetView topLeftCell="C23" workbookViewId="0">
      <selection activeCell="E27" sqref="E27"/>
    </sheetView>
  </sheetViews>
  <sheetFormatPr defaultColWidth="9.109375" defaultRowHeight="14.4" x14ac:dyDescent="0.3"/>
  <cols>
    <col min="1" max="1" width="9.109375" style="249"/>
    <col min="2" max="2" width="21.44140625" style="249" customWidth="1"/>
    <col min="3" max="3" width="33.5546875" style="249" customWidth="1"/>
    <col min="4" max="4" width="40.44140625" style="249" customWidth="1"/>
    <col min="5" max="5" width="31.33203125" style="249" customWidth="1"/>
    <col min="6" max="16384" width="9.109375" style="249"/>
  </cols>
  <sheetData>
    <row r="2" spans="2:4" ht="31.2" x14ac:dyDescent="0.6">
      <c r="B2" s="262" t="s">
        <v>535</v>
      </c>
    </row>
    <row r="3" spans="2:4" ht="48" customHeight="1" x14ac:dyDescent="0.3">
      <c r="B3" s="276" t="s">
        <v>536</v>
      </c>
      <c r="C3" s="276"/>
      <c r="D3" s="276"/>
    </row>
    <row r="4" spans="2:4" ht="31.2" x14ac:dyDescent="0.6">
      <c r="B4" s="262" t="s">
        <v>533</v>
      </c>
    </row>
    <row r="5" spans="2:4" x14ac:dyDescent="0.3">
      <c r="B5" s="265" t="s">
        <v>472</v>
      </c>
      <c r="C5" s="265" t="s">
        <v>308</v>
      </c>
    </row>
    <row r="6" spans="2:4" ht="115.2" x14ac:dyDescent="0.3">
      <c r="B6" s="251" t="s">
        <v>372</v>
      </c>
      <c r="C6" s="252" t="s">
        <v>309</v>
      </c>
    </row>
    <row r="7" spans="2:4" ht="57.6" x14ac:dyDescent="0.3">
      <c r="B7" s="251" t="s">
        <v>468</v>
      </c>
      <c r="C7" s="252" t="s">
        <v>310</v>
      </c>
    </row>
    <row r="8" spans="2:4" ht="28.8" x14ac:dyDescent="0.3">
      <c r="B8" s="251" t="s">
        <v>374</v>
      </c>
      <c r="C8" s="252" t="s">
        <v>311</v>
      </c>
    </row>
    <row r="9" spans="2:4" x14ac:dyDescent="0.3">
      <c r="B9" s="251" t="s">
        <v>469</v>
      </c>
      <c r="C9" s="251" t="s">
        <v>312</v>
      </c>
    </row>
    <row r="10" spans="2:4" ht="57.6" x14ac:dyDescent="0.3">
      <c r="B10" s="251" t="s">
        <v>376</v>
      </c>
      <c r="C10" s="252" t="s">
        <v>313</v>
      </c>
    </row>
    <row r="11" spans="2:4" ht="28.8" x14ac:dyDescent="0.3">
      <c r="B11" s="251" t="s">
        <v>381</v>
      </c>
      <c r="C11" s="252" t="s">
        <v>314</v>
      </c>
    </row>
    <row r="12" spans="2:4" x14ac:dyDescent="0.3">
      <c r="B12" s="251" t="s">
        <v>470</v>
      </c>
      <c r="C12" s="251" t="s">
        <v>316</v>
      </c>
    </row>
    <row r="13" spans="2:4" x14ac:dyDescent="0.3">
      <c r="B13" s="251" t="s">
        <v>377</v>
      </c>
      <c r="C13" s="251" t="s">
        <v>315</v>
      </c>
    </row>
    <row r="14" spans="2:4" x14ac:dyDescent="0.3">
      <c r="B14" s="251" t="s">
        <v>471</v>
      </c>
      <c r="C14" s="251" t="s">
        <v>301</v>
      </c>
    </row>
    <row r="15" spans="2:4" x14ac:dyDescent="0.3">
      <c r="B15" s="266"/>
      <c r="C15" s="266"/>
    </row>
    <row r="16" spans="2:4" ht="31.2" x14ac:dyDescent="0.6">
      <c r="B16" s="262" t="s">
        <v>531</v>
      </c>
    </row>
    <row r="17" spans="2:14" ht="36.75" customHeight="1" x14ac:dyDescent="0.3">
      <c r="B17" s="276" t="s">
        <v>534</v>
      </c>
      <c r="C17" s="276"/>
      <c r="D17" s="276"/>
    </row>
    <row r="18" spans="2:14" ht="47.25" customHeight="1" x14ac:dyDescent="0.3">
      <c r="B18" s="276" t="s">
        <v>513</v>
      </c>
      <c r="C18" s="276"/>
      <c r="D18" s="276"/>
    </row>
    <row r="19" spans="2:14" ht="51.75" customHeight="1" x14ac:dyDescent="0.3">
      <c r="B19" s="276" t="s">
        <v>512</v>
      </c>
      <c r="C19" s="276"/>
      <c r="D19" s="276"/>
    </row>
    <row r="20" spans="2:14" ht="51.75" customHeight="1" x14ac:dyDescent="0.3">
      <c r="B20" s="276" t="s">
        <v>532</v>
      </c>
      <c r="C20" s="276"/>
      <c r="D20" s="276"/>
    </row>
    <row r="22" spans="2:14" ht="31.2" x14ac:dyDescent="0.6">
      <c r="B22" s="262" t="s">
        <v>519</v>
      </c>
    </row>
    <row r="23" spans="2:14" ht="170.25" customHeight="1" x14ac:dyDescent="0.3">
      <c r="B23" s="276" t="s">
        <v>529</v>
      </c>
      <c r="C23" s="276"/>
      <c r="D23" s="276"/>
      <c r="E23" s="162"/>
    </row>
    <row r="25" spans="2:14" ht="31.2" x14ac:dyDescent="0.6">
      <c r="B25" s="262" t="s">
        <v>484</v>
      </c>
    </row>
    <row r="26" spans="2:14" x14ac:dyDescent="0.3">
      <c r="B26" s="250" t="s">
        <v>483</v>
      </c>
    </row>
    <row r="27" spans="2:14" ht="93" customHeight="1" x14ac:dyDescent="0.3">
      <c r="B27" s="276" t="s">
        <v>517</v>
      </c>
      <c r="C27" s="276"/>
      <c r="D27" s="276"/>
      <c r="E27" s="162"/>
    </row>
    <row r="29" spans="2:14" ht="51.6" customHeight="1" x14ac:dyDescent="0.3">
      <c r="B29" s="278" t="s">
        <v>547</v>
      </c>
      <c r="C29" s="278"/>
      <c r="D29" s="278"/>
      <c r="E29" s="274"/>
      <c r="G29" s="277" t="s">
        <v>516</v>
      </c>
      <c r="H29" s="277"/>
      <c r="I29" s="277"/>
      <c r="J29" s="277"/>
      <c r="K29" s="277"/>
      <c r="L29" s="277"/>
      <c r="M29" s="277"/>
      <c r="N29" s="277"/>
    </row>
  </sheetData>
  <sheetProtection sheet="1" formatCells="0" formatColumns="0" formatRows="0" insertColumns="0" insertRows="0" insertHyperlinks="0" deleteColumns="0" deleteRows="0" sort="0" autoFilter="0" pivotTables="0"/>
  <mergeCells count="9">
    <mergeCell ref="B27:D27"/>
    <mergeCell ref="B3:D3"/>
    <mergeCell ref="G29:N29"/>
    <mergeCell ref="B29:D29"/>
    <mergeCell ref="B23:D23"/>
    <mergeCell ref="B19:D19"/>
    <mergeCell ref="B17:D17"/>
    <mergeCell ref="B18:D18"/>
    <mergeCell ref="B20:D2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374EE-3513-4962-A4E1-BECB3436AACD}">
  <sheetPr>
    <tabColor rgb="FF5E7E76"/>
  </sheetPr>
  <dimension ref="A1:S15"/>
  <sheetViews>
    <sheetView workbookViewId="0"/>
  </sheetViews>
  <sheetFormatPr defaultRowHeight="14.4" x14ac:dyDescent="0.3"/>
  <cols>
    <col min="1" max="1" width="22.109375" style="103" bestFit="1" customWidth="1"/>
    <col min="2" max="3" width="7" style="103" hidden="1" customWidth="1"/>
    <col min="4" max="4" width="17.109375" style="91" customWidth="1"/>
    <col min="5" max="5" width="20.5546875" customWidth="1"/>
    <col min="6" max="6" width="23.33203125" style="91" customWidth="1"/>
    <col min="7" max="7" width="22.109375" customWidth="1"/>
    <col min="8" max="8" width="21.44140625" style="91" customWidth="1"/>
    <col min="9" max="9" width="21.109375" customWidth="1"/>
    <col min="10" max="10" width="21.5546875" style="91" customWidth="1"/>
    <col min="11" max="11" width="21.5546875" customWidth="1"/>
    <col min="12" max="12" width="21.5546875" style="91" customWidth="1"/>
    <col min="13" max="13" width="21.5546875" customWidth="1"/>
    <col min="14" max="14" width="21.5546875" style="91" customWidth="1"/>
    <col min="15" max="15" width="21.5546875" customWidth="1"/>
    <col min="16" max="16" width="21.5546875" style="91" customWidth="1"/>
    <col min="17" max="17" width="21.5546875" customWidth="1"/>
    <col min="18" max="18" width="21.5546875" style="91" customWidth="1"/>
    <col min="19" max="19" width="21.5546875" customWidth="1"/>
  </cols>
  <sheetData>
    <row r="1" spans="1:19" s="112" customFormat="1" ht="55.5" customHeight="1" x14ac:dyDescent="0.3">
      <c r="A1" s="109" t="s">
        <v>318</v>
      </c>
      <c r="B1" s="206"/>
      <c r="C1" s="206"/>
      <c r="D1" s="29" t="str">
        <f>D2&amp;"_MEAN"</f>
        <v>KQ_WWR_MEAN</v>
      </c>
      <c r="E1" s="30" t="str">
        <f>E2&amp;"_SD"</f>
        <v>KQ_WWR_SD</v>
      </c>
      <c r="F1" s="29" t="str">
        <f>F2&amp;"_MEAN"</f>
        <v>KQ_NettoBRutto_MEAN</v>
      </c>
      <c r="G1" s="30" t="str">
        <f>G2&amp;"_SD"</f>
        <v>KQ_NettoBRutto_SD</v>
      </c>
      <c r="H1" s="29" t="str">
        <f>H2&amp;"_MEAN"</f>
        <v>KQ_InnerWall_MEAN</v>
      </c>
      <c r="I1" s="30" t="str">
        <f>I2&amp;"_SD"</f>
        <v>KQ_InnerWall_SD</v>
      </c>
      <c r="J1" s="29" t="str">
        <f>J2&amp;"_MEAN"</f>
        <v>KQ_CoreWall_MEAN</v>
      </c>
      <c r="K1" s="30" t="str">
        <f>K2&amp;"_SD"</f>
        <v>KQ_CoreWall_SD</v>
      </c>
      <c r="L1" s="29" t="str">
        <f>L2&amp;"_MEAN"</f>
        <v>KQ_Heating_MEAN</v>
      </c>
      <c r="M1" s="30" t="str">
        <f>M2&amp;"_SD"</f>
        <v>KQ_Heating_SD</v>
      </c>
      <c r="N1" s="29" t="str">
        <f>N2&amp;"_MEAN"</f>
        <v>KQ_Electricity_MEAN</v>
      </c>
      <c r="O1" s="30" t="str">
        <f>O2&amp;"_SD"</f>
        <v>KQ_Electricity_SD</v>
      </c>
      <c r="P1" s="29" t="str">
        <f>P2&amp;"_MEAN"</f>
        <v>KQ_ElectricityA5_MEAN</v>
      </c>
      <c r="Q1" s="30" t="str">
        <f>Q2&amp;"_SD"</f>
        <v>KQ_ElectricityA5_SD</v>
      </c>
      <c r="R1" s="29" t="str">
        <f>R2&amp;"_MEAN"</f>
        <v>KQ_DieselA5_MEAN</v>
      </c>
      <c r="S1" s="30" t="str">
        <f>S2&amp;"_SD"</f>
        <v>KQ_DieselA5_SD</v>
      </c>
    </row>
    <row r="2" spans="1:19" s="112" customFormat="1" x14ac:dyDescent="0.3">
      <c r="A2" s="205" t="s">
        <v>366</v>
      </c>
      <c r="B2" s="205"/>
      <c r="C2" s="205"/>
      <c r="D2" s="209" t="s">
        <v>323</v>
      </c>
      <c r="E2" s="16" t="str">
        <f>D2</f>
        <v>KQ_WWR</v>
      </c>
      <c r="F2" s="209" t="s">
        <v>364</v>
      </c>
      <c r="G2" s="16" t="str">
        <f>F2</f>
        <v>KQ_NettoBRutto</v>
      </c>
      <c r="H2" s="209" t="s">
        <v>365</v>
      </c>
      <c r="I2" s="16" t="str">
        <f>H2</f>
        <v>KQ_InnerWall</v>
      </c>
      <c r="J2" s="209" t="s">
        <v>329</v>
      </c>
      <c r="K2" s="16" t="str">
        <f>J2</f>
        <v>KQ_CoreWall</v>
      </c>
      <c r="L2" s="209" t="s">
        <v>325</v>
      </c>
      <c r="M2" s="16" t="str">
        <f>L2</f>
        <v>KQ_Heating</v>
      </c>
      <c r="N2" s="209" t="s">
        <v>326</v>
      </c>
      <c r="O2" s="16" t="str">
        <f>N2</f>
        <v>KQ_Electricity</v>
      </c>
      <c r="P2" s="209" t="s">
        <v>392</v>
      </c>
      <c r="Q2" s="16" t="str">
        <f>P2</f>
        <v>KQ_ElectricityA5</v>
      </c>
      <c r="R2" s="209" t="s">
        <v>393</v>
      </c>
      <c r="S2" s="16" t="str">
        <f>R2</f>
        <v>KQ_DieselA5</v>
      </c>
    </row>
    <row r="3" spans="1:19" ht="15" thickBot="1" x14ac:dyDescent="0.35">
      <c r="A3" s="102" t="s">
        <v>317</v>
      </c>
      <c r="B3" s="102" t="s">
        <v>359</v>
      </c>
      <c r="C3" s="208" t="s">
        <v>344</v>
      </c>
      <c r="D3" s="210" t="str" cm="1">
        <f t="array" aca="1" ref="D3" ca="1">INDIRECT("'"&amp;D$2&amp;"'!"&amp;$B3)</f>
        <v>[%]</v>
      </c>
      <c r="E3" s="17" t="str">
        <f ca="1">D3</f>
        <v>[%]</v>
      </c>
      <c r="F3" s="210" t="str" cm="1">
        <f t="array" aca="1" ref="F3" ca="1">INDIRECT("'"&amp;F$2&amp;"'!"&amp;$B3)</f>
        <v>[m2/m2]</v>
      </c>
      <c r="G3" s="17" t="str">
        <f ca="1">F3</f>
        <v>[m2/m2]</v>
      </c>
      <c r="H3" s="210" t="str" cm="1">
        <f t="array" aca="1" ref="H3" ca="1">INDIRECT("'"&amp;H$2&amp;"'!"&amp;$B3)</f>
        <v>[m/m2]</v>
      </c>
      <c r="I3" s="17" t="str">
        <f ca="1">H3</f>
        <v>[m/m2]</v>
      </c>
      <c r="J3" s="210" t="str" cm="1">
        <f t="array" aca="1" ref="J3" ca="1">INDIRECT("'"&amp;J$2&amp;"'!"&amp;$B3)</f>
        <v>[m]</v>
      </c>
      <c r="K3" s="17" t="str">
        <f ca="1">J3</f>
        <v>[m]</v>
      </c>
      <c r="L3" s="210" t="str" cm="1">
        <f t="array" aca="1" ref="L3" ca="1">INDIRECT("'"&amp;L$2&amp;"'!"&amp;$B3)</f>
        <v>[m]</v>
      </c>
      <c r="M3" s="17" t="str">
        <f ca="1">L3</f>
        <v>[m]</v>
      </c>
      <c r="N3" s="210" t="str" cm="1">
        <f t="array" aca="1" ref="N3" ca="1">INDIRECT("'"&amp;N$2&amp;"'!"&amp;$B3)</f>
        <v>[m]</v>
      </c>
      <c r="O3" s="17" t="str">
        <f ca="1">N3</f>
        <v>[m]</v>
      </c>
      <c r="P3" s="210" t="str" cm="1">
        <f t="array" aca="1" ref="P3" ca="1">INDIRECT("'"&amp;P$2&amp;"'!"&amp;$B3)</f>
        <v>[kWh/m2]</v>
      </c>
      <c r="Q3" s="17" t="str">
        <f ca="1">P3</f>
        <v>[kWh/m2]</v>
      </c>
      <c r="R3" s="210" t="str" cm="1">
        <f t="array" aca="1" ref="R3" ca="1">INDIRECT("'"&amp;R$2&amp;"'!"&amp;$B3)</f>
        <v>[l/m2]</v>
      </c>
      <c r="S3" s="17" t="str">
        <f ca="1">R3</f>
        <v>[l/m2]</v>
      </c>
    </row>
    <row r="4" spans="1:19" ht="21.6" customHeight="1" x14ac:dyDescent="0.3">
      <c r="A4" s="7" t="s">
        <v>454</v>
      </c>
      <c r="B4" s="207" t="s">
        <v>332</v>
      </c>
      <c r="C4" s="207" t="s">
        <v>344</v>
      </c>
      <c r="D4" s="211" cm="1">
        <f t="array" aca="1" ref="D4" ca="1">INDIRECT("'"&amp;D$2&amp;"'!"&amp;$B4)</f>
        <v>0.22200000000000003</v>
      </c>
      <c r="E4" s="212" cm="1">
        <f t="array" aca="1" ref="E4" ca="1">INDIRECT("'"&amp;E$2&amp;"'!"&amp;$C4)</f>
        <v>0.03</v>
      </c>
      <c r="F4" s="211" cm="1">
        <f t="array" aca="1" ref="F4" ca="1">INDIRECT("'"&amp;F$2&amp;"'!"&amp;$B4)</f>
        <v>0.80000000000000016</v>
      </c>
      <c r="G4" s="212" cm="1">
        <f t="array" aca="1" ref="G4" ca="1">INDIRECT("'"&amp;G$2&amp;"'!"&amp;$C4)</f>
        <v>3.2000000000000008E-2</v>
      </c>
      <c r="H4" s="211" cm="1">
        <f t="array" aca="1" ref="H4" ca="1">INDIRECT("'"&amp;H$2&amp;"'!"&amp;$B4)</f>
        <v>0.20000000000000004</v>
      </c>
      <c r="I4" s="212" cm="1">
        <f t="array" aca="1" ref="I4" ca="1">INDIRECT("'"&amp;I$2&amp;"'!"&amp;$C4)</f>
        <v>8.0000000000000019E-3</v>
      </c>
      <c r="J4" s="211" cm="1">
        <f t="array" aca="1" ref="J4" ca="1">INDIRECT("'"&amp;J$2&amp;"'!"&amp;$B4)</f>
        <v>0</v>
      </c>
      <c r="K4" s="212" cm="1">
        <f t="array" aca="1" ref="K4" ca="1">INDIRECT("'"&amp;K$2&amp;"'!"&amp;$C4)</f>
        <v>0</v>
      </c>
      <c r="L4" s="211" cm="1">
        <f t="array" aca="1" ref="L4" ca="1">INDIRECT("'"&amp;L$2&amp;"'!"&amp;$B4)</f>
        <v>45.651611785872234</v>
      </c>
      <c r="M4" s="212" cm="1">
        <f t="array" aca="1" ref="M4" ca="1">INDIRECT("'"&amp;M$2&amp;"'!"&amp;$C4)</f>
        <v>1.8260644714348899</v>
      </c>
      <c r="N4" s="211" cm="1">
        <f t="array" aca="1" ref="N4" ca="1">INDIRECT("'"&amp;N$2&amp;"'!"&amp;$B4)</f>
        <v>3</v>
      </c>
      <c r="O4" s="212" cm="1">
        <f t="array" aca="1" ref="O4" ca="1">INDIRECT("'"&amp;O$2&amp;"'!"&amp;$C4)</f>
        <v>0.12000000000000002</v>
      </c>
      <c r="P4" s="211" cm="1">
        <f t="array" aca="1" ref="P4" ca="1">INDIRECT("'"&amp;P$2&amp;"'!"&amp;$B4)</f>
        <v>43</v>
      </c>
      <c r="Q4" s="212" cm="1">
        <f t="array" aca="1" ref="Q4" ca="1">INDIRECT("'"&amp;Q$2&amp;"'!"&amp;$C4)</f>
        <v>1.7200000000000002</v>
      </c>
      <c r="R4" s="211" cm="1">
        <f t="array" aca="1" ref="R4" ca="1">INDIRECT("'"&amp;R$2&amp;"'!"&amp;$B4)</f>
        <v>5.2</v>
      </c>
      <c r="S4" s="212" cm="1">
        <f t="array" aca="1" ref="S4" ca="1">INDIRECT("'"&amp;S$2&amp;"'!"&amp;$C4)</f>
        <v>0.20800000000000002</v>
      </c>
    </row>
    <row r="5" spans="1:19" ht="21.6" customHeight="1" x14ac:dyDescent="0.3">
      <c r="A5" s="10" t="s">
        <v>455</v>
      </c>
      <c r="B5" s="207" t="s">
        <v>333</v>
      </c>
      <c r="C5" s="207" t="s">
        <v>345</v>
      </c>
      <c r="D5" s="211" cm="1">
        <f t="array" aca="1" ref="D5" ca="1">INDIRECT("'"&amp;D$2&amp;"'!"&amp;$B5)</f>
        <v>0.246</v>
      </c>
      <c r="E5" s="212" cm="1">
        <f t="array" aca="1" ref="E5" ca="1">INDIRECT("'"&amp;E$2&amp;"'!"&amp;$C5)</f>
        <v>2.4E-2</v>
      </c>
      <c r="F5" s="211" cm="1">
        <f t="array" aca="1" ref="F5" ca="1">INDIRECT("'"&amp;F$2&amp;"'!"&amp;$B5)</f>
        <v>0.80000000000000016</v>
      </c>
      <c r="G5" s="212" cm="1">
        <f t="array" aca="1" ref="G5" ca="1">INDIRECT("'"&amp;G$2&amp;"'!"&amp;$C5)</f>
        <v>3.2000000000000008E-2</v>
      </c>
      <c r="H5" s="211" cm="1">
        <f t="array" aca="1" ref="H5" ca="1">INDIRECT("'"&amp;H$2&amp;"'!"&amp;$B5)</f>
        <v>0.25</v>
      </c>
      <c r="I5" s="212" cm="1">
        <f t="array" aca="1" ref="I5" ca="1">INDIRECT("'"&amp;I$2&amp;"'!"&amp;$C5)</f>
        <v>1.0000000000000004E-2</v>
      </c>
      <c r="J5" s="211" cm="1">
        <f t="array" aca="1" ref="J5" ca="1">INDIRECT("'"&amp;J$2&amp;"'!"&amp;$B5)</f>
        <v>0</v>
      </c>
      <c r="K5" s="212" cm="1">
        <f t="array" aca="1" ref="K5" ca="1">INDIRECT("'"&amp;K$2&amp;"'!"&amp;$C5)</f>
        <v>0</v>
      </c>
      <c r="L5" s="211" cm="1">
        <f t="array" aca="1" ref="L5" ca="1">INDIRECT("'"&amp;L$2&amp;"'!"&amp;$B5)</f>
        <v>46.720917289078344</v>
      </c>
      <c r="M5" s="212" cm="1">
        <f t="array" aca="1" ref="M5" ca="1">INDIRECT("'"&amp;M$2&amp;"'!"&amp;$C5)</f>
        <v>1.8688366915631334</v>
      </c>
      <c r="N5" s="211" cm="1">
        <f t="array" aca="1" ref="N5" ca="1">INDIRECT("'"&amp;N$2&amp;"'!"&amp;$B5)</f>
        <v>3</v>
      </c>
      <c r="O5" s="212" cm="1">
        <f t="array" aca="1" ref="O5" ca="1">INDIRECT("'"&amp;O$2&amp;"'!"&amp;$C5)</f>
        <v>0.12000000000000002</v>
      </c>
      <c r="P5" s="211" cm="1">
        <f t="array" aca="1" ref="P5" ca="1">INDIRECT("'"&amp;P$2&amp;"'!"&amp;$B5)</f>
        <v>43</v>
      </c>
      <c r="Q5" s="212" cm="1">
        <f t="array" aca="1" ref="Q5" ca="1">INDIRECT("'"&amp;Q$2&amp;"'!"&amp;$C5)</f>
        <v>1.7200000000000002</v>
      </c>
      <c r="R5" s="211" cm="1">
        <f t="array" aca="1" ref="R5" ca="1">INDIRECT("'"&amp;R$2&amp;"'!"&amp;$B5)</f>
        <v>5.2</v>
      </c>
      <c r="S5" s="212" cm="1">
        <f t="array" aca="1" ref="S5" ca="1">INDIRECT("'"&amp;S$2&amp;"'!"&amp;$C5)</f>
        <v>0.20800000000000002</v>
      </c>
    </row>
    <row r="6" spans="1:19" ht="21.6" customHeight="1" x14ac:dyDescent="0.3">
      <c r="A6" s="12" t="s">
        <v>456</v>
      </c>
      <c r="B6" s="207" t="s">
        <v>334</v>
      </c>
      <c r="C6" s="207" t="s">
        <v>346</v>
      </c>
      <c r="D6" s="211" cm="1">
        <f t="array" aca="1" ref="D6" ca="1">INDIRECT("'"&amp;D$2&amp;"'!"&amp;$B6)</f>
        <v>0.3</v>
      </c>
      <c r="E6" s="212" cm="1">
        <f t="array" aca="1" ref="E6" ca="1">INDIRECT("'"&amp;E$2&amp;"'!"&amp;$C6)</f>
        <v>0.04</v>
      </c>
      <c r="F6" s="211" cm="1">
        <f t="array" aca="1" ref="F6" ca="1">INDIRECT("'"&amp;F$2&amp;"'!"&amp;$B6)</f>
        <v>0.80000000000000016</v>
      </c>
      <c r="G6" s="212" cm="1">
        <f t="array" aca="1" ref="G6" ca="1">INDIRECT("'"&amp;G$2&amp;"'!"&amp;$C6)</f>
        <v>3.2000000000000008E-2</v>
      </c>
      <c r="H6" s="211" cm="1">
        <f t="array" aca="1" ref="H6" ca="1">INDIRECT("'"&amp;H$2&amp;"'!"&amp;$B6)</f>
        <v>0.15</v>
      </c>
      <c r="I6" s="212" cm="1">
        <f t="array" aca="1" ref="I6" ca="1">INDIRECT("'"&amp;I$2&amp;"'!"&amp;$C6)</f>
        <v>6.0000000000000001E-3</v>
      </c>
      <c r="J6" s="211" cm="1">
        <f t="array" aca="1" ref="J6" ca="1">INDIRECT("'"&amp;J$2&amp;"'!"&amp;$B6)</f>
        <v>20</v>
      </c>
      <c r="K6" s="212" cm="1">
        <f t="array" aca="1" ref="K6" ca="1">INDIRECT("'"&amp;K$2&amp;"'!"&amp;$C6)</f>
        <v>0.8</v>
      </c>
      <c r="L6" s="211" cm="1">
        <f t="array" aca="1" ref="L6" ca="1">INDIRECT("'"&amp;L$2&amp;"'!"&amp;$B6)</f>
        <v>65.71851332863028</v>
      </c>
      <c r="M6" s="212" cm="1">
        <f t="array" aca="1" ref="M6" ca="1">INDIRECT("'"&amp;M$2&amp;"'!"&amp;$C6)</f>
        <v>2.6287405331452121</v>
      </c>
      <c r="N6" s="211" cm="1">
        <f t="array" aca="1" ref="N6" ca="1">INDIRECT("'"&amp;N$2&amp;"'!"&amp;$B6)</f>
        <v>3</v>
      </c>
      <c r="O6" s="212" cm="1">
        <f t="array" aca="1" ref="O6" ca="1">INDIRECT("'"&amp;O$2&amp;"'!"&amp;$C6)</f>
        <v>0.12000000000000002</v>
      </c>
      <c r="P6" s="211" cm="1">
        <f t="array" aca="1" ref="P6" ca="1">INDIRECT("'"&amp;P$2&amp;"'!"&amp;$B6)</f>
        <v>43</v>
      </c>
      <c r="Q6" s="212" cm="1">
        <f t="array" aca="1" ref="Q6" ca="1">INDIRECT("'"&amp;Q$2&amp;"'!"&amp;$C6)</f>
        <v>1.7200000000000002</v>
      </c>
      <c r="R6" s="211" cm="1">
        <f t="array" aca="1" ref="R6" ca="1">INDIRECT("'"&amp;R$2&amp;"'!"&amp;$B6)</f>
        <v>5.2</v>
      </c>
      <c r="S6" s="212" cm="1">
        <f t="array" aca="1" ref="S6" ca="1">INDIRECT("'"&amp;S$2&amp;"'!"&amp;$C6)</f>
        <v>0.20800000000000002</v>
      </c>
    </row>
    <row r="7" spans="1:19" ht="21.6" customHeight="1" x14ac:dyDescent="0.3">
      <c r="A7" s="10" t="s">
        <v>457</v>
      </c>
      <c r="B7" s="207" t="s">
        <v>335</v>
      </c>
      <c r="C7" s="207" t="s">
        <v>347</v>
      </c>
      <c r="D7" s="211" cm="1">
        <f t="array" aca="1" ref="D7" ca="1">INDIRECT("'"&amp;D$2&amp;"'!"&amp;$B7)</f>
        <v>0.40000000000000008</v>
      </c>
      <c r="E7" s="212" cm="1">
        <f t="array" aca="1" ref="E7" ca="1">INDIRECT("'"&amp;E$2&amp;"'!"&amp;$C7)</f>
        <v>2.0000000000000007E-2</v>
      </c>
      <c r="F7" s="211" cm="1">
        <f t="array" aca="1" ref="F7" ca="1">INDIRECT("'"&amp;F$2&amp;"'!"&amp;$B7)</f>
        <v>0.65</v>
      </c>
      <c r="G7" s="212" cm="1">
        <f t="array" aca="1" ref="G7" ca="1">INDIRECT("'"&amp;G$2&amp;"'!"&amp;$C7)</f>
        <v>2.6000000000000002E-2</v>
      </c>
      <c r="H7" s="211" cm="1">
        <f t="array" aca="1" ref="H7" ca="1">INDIRECT("'"&amp;H$2&amp;"'!"&amp;$B7)</f>
        <v>0.25</v>
      </c>
      <c r="I7" s="212" cm="1">
        <f t="array" aca="1" ref="I7" ca="1">INDIRECT("'"&amp;I$2&amp;"'!"&amp;$C7)</f>
        <v>1.0000000000000004E-2</v>
      </c>
      <c r="J7" s="211" cm="1">
        <f t="array" aca="1" ref="J7" ca="1">INDIRECT("'"&amp;J$2&amp;"'!"&amp;$B7)</f>
        <v>20</v>
      </c>
      <c r="K7" s="212" cm="1">
        <f t="array" aca="1" ref="K7" ca="1">INDIRECT("'"&amp;K$2&amp;"'!"&amp;$C7)</f>
        <v>0.8</v>
      </c>
      <c r="L7" s="211" cm="1">
        <f t="array" aca="1" ref="L7" ca="1">INDIRECT("'"&amp;L$2&amp;"'!"&amp;$B7)</f>
        <v>48.734642922099887</v>
      </c>
      <c r="M7" s="212" cm="1">
        <f t="array" aca="1" ref="M7" ca="1">INDIRECT("'"&amp;M$2&amp;"'!"&amp;$C7)</f>
        <v>1.9493857168839965</v>
      </c>
      <c r="N7" s="211" cm="1">
        <f t="array" aca="1" ref="N7" ca="1">INDIRECT("'"&amp;N$2&amp;"'!"&amp;$B7)</f>
        <v>7</v>
      </c>
      <c r="O7" s="212" cm="1">
        <f t="array" aca="1" ref="O7" ca="1">INDIRECT("'"&amp;O$2&amp;"'!"&amp;$C7)</f>
        <v>0.28000000000000025</v>
      </c>
      <c r="P7" s="211" cm="1">
        <f t="array" aca="1" ref="P7" ca="1">INDIRECT("'"&amp;P$2&amp;"'!"&amp;$B7)</f>
        <v>43</v>
      </c>
      <c r="Q7" s="212" cm="1">
        <f t="array" aca="1" ref="Q7" ca="1">INDIRECT("'"&amp;Q$2&amp;"'!"&amp;$C7)</f>
        <v>1.7200000000000002</v>
      </c>
      <c r="R7" s="211" cm="1">
        <f t="array" aca="1" ref="R7" ca="1">INDIRECT("'"&amp;R$2&amp;"'!"&amp;$B7)</f>
        <v>5.2</v>
      </c>
      <c r="S7" s="212" cm="1">
        <f t="array" aca="1" ref="S7" ca="1">INDIRECT("'"&amp;S$2&amp;"'!"&amp;$C7)</f>
        <v>0.20800000000000002</v>
      </c>
    </row>
    <row r="8" spans="1:19" ht="21.6" customHeight="1" x14ac:dyDescent="0.3">
      <c r="A8" s="12" t="s">
        <v>458</v>
      </c>
      <c r="B8" s="207" t="s">
        <v>336</v>
      </c>
      <c r="C8" s="207" t="s">
        <v>348</v>
      </c>
      <c r="D8" s="211" cm="1">
        <f t="array" aca="1" ref="D8" ca="1">INDIRECT("'"&amp;D$2&amp;"'!"&amp;$B8)</f>
        <v>0.25</v>
      </c>
      <c r="E8" s="212" cm="1">
        <f t="array" aca="1" ref="E8" ca="1">INDIRECT("'"&amp;E$2&amp;"'!"&amp;$C8)</f>
        <v>1.9999999999999997E-2</v>
      </c>
      <c r="F8" s="211" cm="1">
        <f t="array" aca="1" ref="F8" ca="1">INDIRECT("'"&amp;F$2&amp;"'!"&amp;$B8)</f>
        <v>0.65</v>
      </c>
      <c r="G8" s="212" cm="1">
        <f t="array" aca="1" ref="G8" ca="1">INDIRECT("'"&amp;G$2&amp;"'!"&amp;$C8)</f>
        <v>2.6000000000000002E-2</v>
      </c>
      <c r="H8" s="211" cm="1">
        <f t="array" aca="1" ref="H8" ca="1">INDIRECT("'"&amp;H$2&amp;"'!"&amp;$B8)</f>
        <v>0.25</v>
      </c>
      <c r="I8" s="212" cm="1">
        <f t="array" aca="1" ref="I8" ca="1">INDIRECT("'"&amp;I$2&amp;"'!"&amp;$C8)</f>
        <v>1.0000000000000004E-2</v>
      </c>
      <c r="J8" s="211" cm="1">
        <f t="array" aca="1" ref="J8" ca="1">INDIRECT("'"&amp;J$2&amp;"'!"&amp;$B8)</f>
        <v>20</v>
      </c>
      <c r="K8" s="212" cm="1">
        <f t="array" aca="1" ref="K8" ca="1">INDIRECT("'"&amp;K$2&amp;"'!"&amp;$C8)</f>
        <v>0.8</v>
      </c>
      <c r="L8" s="211" cm="1">
        <f t="array" aca="1" ref="L8" ca="1">INDIRECT("'"&amp;L$2&amp;"'!"&amp;$B8)</f>
        <v>55.875899198018999</v>
      </c>
      <c r="M8" s="212" cm="1">
        <f t="array" aca="1" ref="M8" ca="1">INDIRECT("'"&amp;M$2&amp;"'!"&amp;$C8)</f>
        <v>2.2350359679207612</v>
      </c>
      <c r="N8" s="211" cm="1">
        <f t="array" aca="1" ref="N8" ca="1">INDIRECT("'"&amp;N$2&amp;"'!"&amp;$B8)</f>
        <v>7</v>
      </c>
      <c r="O8" s="212" cm="1">
        <f t="array" aca="1" ref="O8" ca="1">INDIRECT("'"&amp;O$2&amp;"'!"&amp;$C8)</f>
        <v>0.28000000000000025</v>
      </c>
      <c r="P8" s="211" cm="1">
        <f t="array" aca="1" ref="P8" ca="1">INDIRECT("'"&amp;P$2&amp;"'!"&amp;$B8)</f>
        <v>43</v>
      </c>
      <c r="Q8" s="212" cm="1">
        <f t="array" aca="1" ref="Q8" ca="1">INDIRECT("'"&amp;Q$2&amp;"'!"&amp;$C8)</f>
        <v>1.7200000000000002</v>
      </c>
      <c r="R8" s="211" cm="1">
        <f t="array" aca="1" ref="R8" ca="1">INDIRECT("'"&amp;R$2&amp;"'!"&amp;$B8)</f>
        <v>5.2</v>
      </c>
      <c r="S8" s="212" cm="1">
        <f t="array" aca="1" ref="S8" ca="1">INDIRECT("'"&amp;S$2&amp;"'!"&amp;$C8)</f>
        <v>0.20800000000000002</v>
      </c>
    </row>
    <row r="9" spans="1:19" ht="21.6" customHeight="1" x14ac:dyDescent="0.3">
      <c r="A9" s="12" t="s">
        <v>459</v>
      </c>
      <c r="B9" s="207" t="s">
        <v>337</v>
      </c>
      <c r="C9" s="207" t="s">
        <v>349</v>
      </c>
      <c r="D9" s="211" cm="1">
        <f t="array" aca="1" ref="D9" ca="1">INDIRECT("'"&amp;D$2&amp;"'!"&amp;$B9)</f>
        <v>0.25</v>
      </c>
      <c r="E9" s="212" cm="1">
        <f t="array" aca="1" ref="E9" ca="1">INDIRECT("'"&amp;E$2&amp;"'!"&amp;$C9)</f>
        <v>1.9999999999999997E-2</v>
      </c>
      <c r="F9" s="211" cm="1">
        <f t="array" aca="1" ref="F9" ca="1">INDIRECT("'"&amp;F$2&amp;"'!"&amp;$B9)</f>
        <v>0.65</v>
      </c>
      <c r="G9" s="212" cm="1">
        <f t="array" aca="1" ref="G9" ca="1">INDIRECT("'"&amp;G$2&amp;"'!"&amp;$C9)</f>
        <v>2.6000000000000002E-2</v>
      </c>
      <c r="H9" s="211" cm="1">
        <f t="array" aca="1" ref="H9" ca="1">INDIRECT("'"&amp;H$2&amp;"'!"&amp;$B9)</f>
        <v>0.25</v>
      </c>
      <c r="I9" s="212" cm="1">
        <f t="array" aca="1" ref="I9" ca="1">INDIRECT("'"&amp;I$2&amp;"'!"&amp;$C9)</f>
        <v>1.0000000000000004E-2</v>
      </c>
      <c r="J9" s="211" cm="1">
        <f t="array" aca="1" ref="J9" ca="1">INDIRECT("'"&amp;J$2&amp;"'!"&amp;$B9)</f>
        <v>20</v>
      </c>
      <c r="K9" s="212" cm="1">
        <f t="array" aca="1" ref="K9" ca="1">INDIRECT("'"&amp;K$2&amp;"'!"&amp;$C9)</f>
        <v>0.8</v>
      </c>
      <c r="L9" s="211" cm="1">
        <f t="array" aca="1" ref="L9" ca="1">INDIRECT("'"&amp;L$2&amp;"'!"&amp;$B9)</f>
        <v>55.875899198018999</v>
      </c>
      <c r="M9" s="212" cm="1">
        <f t="array" aca="1" ref="M9" ca="1">INDIRECT("'"&amp;M$2&amp;"'!"&amp;$C9)</f>
        <v>2.2350359679207612</v>
      </c>
      <c r="N9" s="211" cm="1">
        <f t="array" aca="1" ref="N9" ca="1">INDIRECT("'"&amp;N$2&amp;"'!"&amp;$B9)</f>
        <v>7</v>
      </c>
      <c r="O9" s="212" cm="1">
        <f t="array" aca="1" ref="O9" ca="1">INDIRECT("'"&amp;O$2&amp;"'!"&amp;$C9)</f>
        <v>0.28000000000000025</v>
      </c>
      <c r="P9" s="211" cm="1">
        <f t="array" aca="1" ref="P9" ca="1">INDIRECT("'"&amp;P$2&amp;"'!"&amp;$B9)</f>
        <v>43</v>
      </c>
      <c r="Q9" s="212" cm="1">
        <f t="array" aca="1" ref="Q9" ca="1">INDIRECT("'"&amp;Q$2&amp;"'!"&amp;$C9)</f>
        <v>1.7200000000000002</v>
      </c>
      <c r="R9" s="211" cm="1">
        <f t="array" aca="1" ref="R9" ca="1">INDIRECT("'"&amp;R$2&amp;"'!"&amp;$B9)</f>
        <v>5.2</v>
      </c>
      <c r="S9" s="212" cm="1">
        <f t="array" aca="1" ref="S9" ca="1">INDIRECT("'"&amp;S$2&amp;"'!"&amp;$C9)</f>
        <v>0.20800000000000002</v>
      </c>
    </row>
    <row r="10" spans="1:19" ht="21.6" customHeight="1" x14ac:dyDescent="0.3">
      <c r="A10" s="12" t="s">
        <v>460</v>
      </c>
      <c r="B10" s="207" t="s">
        <v>338</v>
      </c>
      <c r="C10" s="207" t="s">
        <v>350</v>
      </c>
      <c r="D10" s="211" cm="1">
        <f t="array" aca="1" ref="D10" ca="1">INDIRECT("'"&amp;D$2&amp;"'!"&amp;$B10)</f>
        <v>0.6</v>
      </c>
      <c r="E10" s="212" cm="1">
        <f t="array" aca="1" ref="E10" ca="1">INDIRECT("'"&amp;E$2&amp;"'!"&amp;$C10)</f>
        <v>3.9999999999999994E-2</v>
      </c>
      <c r="F10" s="211" cm="1">
        <f t="array" aca="1" ref="F10" ca="1">INDIRECT("'"&amp;F$2&amp;"'!"&amp;$B10)</f>
        <v>0.65</v>
      </c>
      <c r="G10" s="212" cm="1">
        <f t="array" aca="1" ref="G10" ca="1">INDIRECT("'"&amp;G$2&amp;"'!"&amp;$C10)</f>
        <v>2.6000000000000002E-2</v>
      </c>
      <c r="H10" s="211" cm="1">
        <f t="array" aca="1" ref="H10" ca="1">INDIRECT("'"&amp;H$2&amp;"'!"&amp;$B10)</f>
        <v>0.10000000000000002</v>
      </c>
      <c r="I10" s="212" cm="1">
        <f t="array" aca="1" ref="I10" ca="1">INDIRECT("'"&amp;I$2&amp;"'!"&amp;$C10)</f>
        <v>4.000000000000001E-3</v>
      </c>
      <c r="J10" s="211" cm="1">
        <f t="array" aca="1" ref="J10" ca="1">INDIRECT("'"&amp;J$2&amp;"'!"&amp;$B10)</f>
        <v>20</v>
      </c>
      <c r="K10" s="212" cm="1">
        <f t="array" aca="1" ref="K10" ca="1">INDIRECT("'"&amp;K$2&amp;"'!"&amp;$C10)</f>
        <v>0.8</v>
      </c>
      <c r="L10" s="211" cm="1">
        <f t="array" aca="1" ref="L10" ca="1">INDIRECT("'"&amp;L$2&amp;"'!"&amp;$B10)</f>
        <v>48.734642922099887</v>
      </c>
      <c r="M10" s="212" cm="1">
        <f t="array" aca="1" ref="M10" ca="1">INDIRECT("'"&amp;M$2&amp;"'!"&amp;$C10)</f>
        <v>1.9493857168839965</v>
      </c>
      <c r="N10" s="211" cm="1">
        <f t="array" aca="1" ref="N10" ca="1">INDIRECT("'"&amp;N$2&amp;"'!"&amp;$B10)</f>
        <v>7</v>
      </c>
      <c r="O10" s="212" cm="1">
        <f t="array" aca="1" ref="O10" ca="1">INDIRECT("'"&amp;O$2&amp;"'!"&amp;$C10)</f>
        <v>0.28000000000000025</v>
      </c>
      <c r="P10" s="211" cm="1">
        <f t="array" aca="1" ref="P10" ca="1">INDIRECT("'"&amp;P$2&amp;"'!"&amp;$B10)</f>
        <v>43</v>
      </c>
      <c r="Q10" s="212" cm="1">
        <f t="array" aca="1" ref="Q10" ca="1">INDIRECT("'"&amp;Q$2&amp;"'!"&amp;$C10)</f>
        <v>1.7200000000000002</v>
      </c>
      <c r="R10" s="211" cm="1">
        <f t="array" aca="1" ref="R10" ca="1">INDIRECT("'"&amp;R$2&amp;"'!"&amp;$B10)</f>
        <v>5.2</v>
      </c>
      <c r="S10" s="212" cm="1">
        <f t="array" aca="1" ref="S10" ca="1">INDIRECT("'"&amp;S$2&amp;"'!"&amp;$C10)</f>
        <v>0.20800000000000002</v>
      </c>
    </row>
    <row r="11" spans="1:19" ht="21.6" customHeight="1" x14ac:dyDescent="0.3">
      <c r="A11" s="12" t="s">
        <v>461</v>
      </c>
      <c r="B11" s="207" t="s">
        <v>339</v>
      </c>
      <c r="C11" s="207" t="s">
        <v>351</v>
      </c>
      <c r="D11" s="211" cm="1">
        <f t="array" aca="1" ref="D11" ca="1">INDIRECT("'"&amp;D$2&amp;"'!"&amp;$B11)</f>
        <v>0</v>
      </c>
      <c r="E11" s="212" cm="1">
        <f t="array" aca="1" ref="E11" ca="1">INDIRECT("'"&amp;E$2&amp;"'!"&amp;$C11)</f>
        <v>0</v>
      </c>
      <c r="F11" s="211" cm="1">
        <f t="array" aca="1" ref="F11" ca="1">INDIRECT("'"&amp;F$2&amp;"'!"&amp;$B11)</f>
        <v>0.9</v>
      </c>
      <c r="G11" s="212" cm="1">
        <f t="array" aca="1" ref="G11" ca="1">INDIRECT("'"&amp;G$2&amp;"'!"&amp;$C11)</f>
        <v>3.6000000000000011E-2</v>
      </c>
      <c r="H11" s="211" cm="1">
        <f t="array" aca="1" ref="H11" ca="1">INDIRECT("'"&amp;H$2&amp;"'!"&amp;$B11)</f>
        <v>0.01</v>
      </c>
      <c r="I11" s="212" cm="1">
        <f t="array" aca="1" ref="I11" ca="1">INDIRECT("'"&amp;I$2&amp;"'!"&amp;$C11)</f>
        <v>4.0000000000000002E-4</v>
      </c>
      <c r="J11" s="211" cm="1">
        <f t="array" aca="1" ref="J11" ca="1">INDIRECT("'"&amp;J$2&amp;"'!"&amp;$B11)</f>
        <v>20</v>
      </c>
      <c r="K11" s="212" cm="1">
        <f t="array" aca="1" ref="K11" ca="1">INDIRECT("'"&amp;K$2&amp;"'!"&amp;$C11)</f>
        <v>0.8</v>
      </c>
      <c r="L11" s="211" cm="1">
        <f t="array" aca="1" ref="L11" ca="1">INDIRECT("'"&amp;L$2&amp;"'!"&amp;$B11)</f>
        <v>48.734642922099887</v>
      </c>
      <c r="M11" s="212" cm="1">
        <f t="array" aca="1" ref="M11" ca="1">INDIRECT("'"&amp;M$2&amp;"'!"&amp;$C11)</f>
        <v>1.9493857168839965</v>
      </c>
      <c r="N11" s="211" cm="1">
        <f t="array" aca="1" ref="N11" ca="1">INDIRECT("'"&amp;N$2&amp;"'!"&amp;$B11)</f>
        <v>7</v>
      </c>
      <c r="O11" s="212" cm="1">
        <f t="array" aca="1" ref="O11" ca="1">INDIRECT("'"&amp;O$2&amp;"'!"&amp;$C11)</f>
        <v>0.28000000000000025</v>
      </c>
      <c r="P11" s="211" cm="1">
        <f t="array" aca="1" ref="P11" ca="1">INDIRECT("'"&amp;P$2&amp;"'!"&amp;$B11)</f>
        <v>43</v>
      </c>
      <c r="Q11" s="212" cm="1">
        <f t="array" aca="1" ref="Q11" ca="1">INDIRECT("'"&amp;Q$2&amp;"'!"&amp;$C11)</f>
        <v>1.7200000000000002</v>
      </c>
      <c r="R11" s="211" cm="1">
        <f t="array" aca="1" ref="R11" ca="1">INDIRECT("'"&amp;R$2&amp;"'!"&amp;$B11)</f>
        <v>5.2</v>
      </c>
      <c r="S11" s="212" cm="1">
        <f t="array" aca="1" ref="S11" ca="1">INDIRECT("'"&amp;S$2&amp;"'!"&amp;$C11)</f>
        <v>0.20800000000000002</v>
      </c>
    </row>
    <row r="12" spans="1:19" ht="21.6" customHeight="1" x14ac:dyDescent="0.3">
      <c r="A12" s="12" t="s">
        <v>462</v>
      </c>
      <c r="B12" s="207" t="s">
        <v>340</v>
      </c>
      <c r="C12" s="207" t="s">
        <v>352</v>
      </c>
      <c r="D12" s="211" cm="1">
        <f t="array" aca="1" ref="D12" ca="1">INDIRECT("'"&amp;D$2&amp;"'!"&amp;$B12)</f>
        <v>0.2</v>
      </c>
      <c r="E12" s="212" cm="1">
        <f t="array" aca="1" ref="E12" ca="1">INDIRECT("'"&amp;E$2&amp;"'!"&amp;$C12)</f>
        <v>3.9999999999999994E-2</v>
      </c>
      <c r="F12" s="211" cm="1">
        <f t="array" aca="1" ref="F12" ca="1">INDIRECT("'"&amp;F$2&amp;"'!"&amp;$B12)</f>
        <v>0.9</v>
      </c>
      <c r="G12" s="212" cm="1">
        <f t="array" aca="1" ref="G12" ca="1">INDIRECT("'"&amp;G$2&amp;"'!"&amp;$C12)</f>
        <v>3.6000000000000011E-2</v>
      </c>
      <c r="H12" s="211" cm="1">
        <f t="array" aca="1" ref="H12" ca="1">INDIRECT("'"&amp;H$2&amp;"'!"&amp;$B12)</f>
        <v>0.01</v>
      </c>
      <c r="I12" s="212" cm="1">
        <f t="array" aca="1" ref="I12" ca="1">INDIRECT("'"&amp;I$2&amp;"'!"&amp;$C12)</f>
        <v>4.0000000000000002E-4</v>
      </c>
      <c r="J12" s="211" cm="1">
        <f t="array" aca="1" ref="J12" ca="1">INDIRECT("'"&amp;J$2&amp;"'!"&amp;$B12)</f>
        <v>20</v>
      </c>
      <c r="K12" s="212" cm="1">
        <f t="array" aca="1" ref="K12" ca="1">INDIRECT("'"&amp;K$2&amp;"'!"&amp;$C12)</f>
        <v>0.8</v>
      </c>
      <c r="L12" s="211" cm="1">
        <f t="array" aca="1" ref="L12" ca="1">INDIRECT("'"&amp;L$2&amp;"'!"&amp;$B12)</f>
        <v>48.734642922099887</v>
      </c>
      <c r="M12" s="212" cm="1">
        <f t="array" aca="1" ref="M12" ca="1">INDIRECT("'"&amp;M$2&amp;"'!"&amp;$C12)</f>
        <v>1.9493857168839965</v>
      </c>
      <c r="N12" s="211" cm="1">
        <f t="array" aca="1" ref="N12" ca="1">INDIRECT("'"&amp;N$2&amp;"'!"&amp;$B12)</f>
        <v>7</v>
      </c>
      <c r="O12" s="212" cm="1">
        <f t="array" aca="1" ref="O12" ca="1">INDIRECT("'"&amp;O$2&amp;"'!"&amp;$C12)</f>
        <v>0.28000000000000025</v>
      </c>
      <c r="P12" s="211" cm="1">
        <f t="array" aca="1" ref="P12" ca="1">INDIRECT("'"&amp;P$2&amp;"'!"&amp;$B12)</f>
        <v>43</v>
      </c>
      <c r="Q12" s="212" cm="1">
        <f t="array" aca="1" ref="Q12" ca="1">INDIRECT("'"&amp;Q$2&amp;"'!"&amp;$C12)</f>
        <v>1.7200000000000002</v>
      </c>
      <c r="R12" s="211" cm="1">
        <f t="array" aca="1" ref="R12" ca="1">INDIRECT("'"&amp;R$2&amp;"'!"&amp;$B12)</f>
        <v>5.2</v>
      </c>
      <c r="S12" s="212" cm="1">
        <f t="array" aca="1" ref="S12" ca="1">INDIRECT("'"&amp;S$2&amp;"'!"&amp;$C12)</f>
        <v>0.20800000000000002</v>
      </c>
    </row>
    <row r="13" spans="1:19" ht="21.6" customHeight="1" x14ac:dyDescent="0.3">
      <c r="A13" s="12" t="s">
        <v>19</v>
      </c>
      <c r="B13" s="207" t="s">
        <v>341</v>
      </c>
      <c r="C13" s="207" t="s">
        <v>353</v>
      </c>
      <c r="D13" s="211" cm="1">
        <f t="array" aca="1" ref="D13" ca="1">INDIRECT("'"&amp;D$2&amp;"'!"&amp;$B13)</f>
        <v>0.2</v>
      </c>
      <c r="E13" s="212" cm="1">
        <f t="array" aca="1" ref="E13" ca="1">INDIRECT("'"&amp;E$2&amp;"'!"&amp;$C13)</f>
        <v>3.9999999999999994E-2</v>
      </c>
      <c r="F13" s="211" cm="1">
        <f t="array" aca="1" ref="F13" ca="1">INDIRECT("'"&amp;F$2&amp;"'!"&amp;$B13)</f>
        <v>0.80000000000000016</v>
      </c>
      <c r="G13" s="212" cm="1">
        <f t="array" aca="1" ref="G13" ca="1">INDIRECT("'"&amp;G$2&amp;"'!"&amp;$C13)</f>
        <v>3.2000000000000008E-2</v>
      </c>
      <c r="H13" s="211" cm="1">
        <f t="array" aca="1" ref="H13" ca="1">INDIRECT("'"&amp;H$2&amp;"'!"&amp;$B13)</f>
        <v>0.01</v>
      </c>
      <c r="I13" s="212" cm="1">
        <f t="array" aca="1" ref="I13" ca="1">INDIRECT("'"&amp;I$2&amp;"'!"&amp;$C13)</f>
        <v>4.0000000000000002E-4</v>
      </c>
      <c r="J13" s="211" cm="1">
        <f t="array" aca="1" ref="J13" ca="1">INDIRECT("'"&amp;J$2&amp;"'!"&amp;$B13)</f>
        <v>20</v>
      </c>
      <c r="K13" s="212" cm="1">
        <f t="array" aca="1" ref="K13" ca="1">INDIRECT("'"&amp;K$2&amp;"'!"&amp;$C13)</f>
        <v>0.8</v>
      </c>
      <c r="L13" s="211" cm="1">
        <f t="array" aca="1" ref="L13" ca="1">INDIRECT("'"&amp;L$2&amp;"'!"&amp;$B13)</f>
        <v>48.734642922099887</v>
      </c>
      <c r="M13" s="212" cm="1">
        <f t="array" aca="1" ref="M13" ca="1">INDIRECT("'"&amp;M$2&amp;"'!"&amp;$C13)</f>
        <v>1.9493857168839965</v>
      </c>
      <c r="N13" s="211" cm="1">
        <f t="array" aca="1" ref="N13" ca="1">INDIRECT("'"&amp;N$2&amp;"'!"&amp;$B13)</f>
        <v>7</v>
      </c>
      <c r="O13" s="212" cm="1">
        <f t="array" aca="1" ref="O13" ca="1">INDIRECT("'"&amp;O$2&amp;"'!"&amp;$C13)</f>
        <v>0.28000000000000025</v>
      </c>
      <c r="P13" s="211" cm="1">
        <f t="array" aca="1" ref="P13" ca="1">INDIRECT("'"&amp;P$2&amp;"'!"&amp;$B13)</f>
        <v>43</v>
      </c>
      <c r="Q13" s="212" cm="1">
        <f t="array" aca="1" ref="Q13" ca="1">INDIRECT("'"&amp;Q$2&amp;"'!"&amp;$C13)</f>
        <v>1.7200000000000002</v>
      </c>
      <c r="R13" s="211" cm="1">
        <f t="array" aca="1" ref="R13" ca="1">INDIRECT("'"&amp;R$2&amp;"'!"&amp;$B13)</f>
        <v>5.2</v>
      </c>
      <c r="S13" s="212" cm="1">
        <f t="array" aca="1" ref="S13" ca="1">INDIRECT("'"&amp;S$2&amp;"'!"&amp;$C13)</f>
        <v>0.20800000000000002</v>
      </c>
    </row>
    <row r="14" spans="1:19" ht="21.6" customHeight="1" x14ac:dyDescent="0.3">
      <c r="A14" s="12" t="s">
        <v>20</v>
      </c>
      <c r="B14" s="207" t="s">
        <v>342</v>
      </c>
      <c r="C14" s="207" t="s">
        <v>354</v>
      </c>
      <c r="D14" s="211" cm="1">
        <f t="array" aca="1" ref="D14" ca="1">INDIRECT("'"&amp;D$2&amp;"'!"&amp;$B14)</f>
        <v>0.3</v>
      </c>
      <c r="E14" s="212" cm="1">
        <f t="array" aca="1" ref="E14" ca="1">INDIRECT("'"&amp;E$2&amp;"'!"&amp;$C14)</f>
        <v>0.04</v>
      </c>
      <c r="F14" s="211" cm="1">
        <f t="array" aca="1" ref="F14" ca="1">INDIRECT("'"&amp;F$2&amp;"'!"&amp;$B14)</f>
        <v>0.80000000000000016</v>
      </c>
      <c r="G14" s="212" cm="1">
        <f t="array" aca="1" ref="G14" ca="1">INDIRECT("'"&amp;G$2&amp;"'!"&amp;$C14)</f>
        <v>3.2000000000000008E-2</v>
      </c>
      <c r="H14" s="211" cm="1">
        <f t="array" aca="1" ref="H14" ca="1">INDIRECT("'"&amp;H$2&amp;"'!"&amp;$B14)</f>
        <v>0.25</v>
      </c>
      <c r="I14" s="212" cm="1">
        <f t="array" aca="1" ref="I14" ca="1">INDIRECT("'"&amp;I$2&amp;"'!"&amp;$C14)</f>
        <v>1.0000000000000004E-2</v>
      </c>
      <c r="J14" s="211" cm="1">
        <f t="array" aca="1" ref="J14" ca="1">INDIRECT("'"&amp;J$2&amp;"'!"&amp;$B14)</f>
        <v>20</v>
      </c>
      <c r="K14" s="212" cm="1">
        <f t="array" aca="1" ref="K14" ca="1">INDIRECT("'"&amp;K$2&amp;"'!"&amp;$C14)</f>
        <v>0.8</v>
      </c>
      <c r="L14" s="211" cm="1">
        <f t="array" aca="1" ref="L14" ca="1">INDIRECT("'"&amp;L$2&amp;"'!"&amp;$B14)</f>
        <v>48.734642922099887</v>
      </c>
      <c r="M14" s="212" cm="1">
        <f t="array" aca="1" ref="M14" ca="1">INDIRECT("'"&amp;M$2&amp;"'!"&amp;$C14)</f>
        <v>1.9493857168839965</v>
      </c>
      <c r="N14" s="211" cm="1">
        <f t="array" aca="1" ref="N14" ca="1">INDIRECT("'"&amp;N$2&amp;"'!"&amp;$B14)</f>
        <v>7</v>
      </c>
      <c r="O14" s="212" cm="1">
        <f t="array" aca="1" ref="O14" ca="1">INDIRECT("'"&amp;O$2&amp;"'!"&amp;$C14)</f>
        <v>0.28000000000000025</v>
      </c>
      <c r="P14" s="211" cm="1">
        <f t="array" aca="1" ref="P14" ca="1">INDIRECT("'"&amp;P$2&amp;"'!"&amp;$B14)</f>
        <v>43</v>
      </c>
      <c r="Q14" s="212" cm="1">
        <f t="array" aca="1" ref="Q14" ca="1">INDIRECT("'"&amp;Q$2&amp;"'!"&amp;$C14)</f>
        <v>1.7200000000000002</v>
      </c>
      <c r="R14" s="211" cm="1">
        <f t="array" aca="1" ref="R14" ca="1">INDIRECT("'"&amp;R$2&amp;"'!"&amp;$B14)</f>
        <v>5.2</v>
      </c>
      <c r="S14" s="212" cm="1">
        <f t="array" aca="1" ref="S14" ca="1">INDIRECT("'"&amp;S$2&amp;"'!"&amp;$C14)</f>
        <v>0.20800000000000002</v>
      </c>
    </row>
    <row r="15" spans="1:19" ht="21.6" customHeight="1" thickBot="1" x14ac:dyDescent="0.35">
      <c r="A15" s="14" t="s">
        <v>464</v>
      </c>
      <c r="B15" s="207" t="s">
        <v>343</v>
      </c>
      <c r="C15" s="207" t="s">
        <v>355</v>
      </c>
      <c r="D15" s="213" cm="1">
        <f t="array" aca="1" ref="D15" ca="1">INDIRECT("'"&amp;D$2&amp;"'!"&amp;$B15)</f>
        <v>0.3</v>
      </c>
      <c r="E15" s="214" cm="1">
        <f t="array" aca="1" ref="E15" ca="1">INDIRECT("'"&amp;E$2&amp;"'!"&amp;$C15)</f>
        <v>1.9999999999999997E-2</v>
      </c>
      <c r="F15" s="213" cm="1">
        <f t="array" aca="1" ref="F15" ca="1">INDIRECT("'"&amp;F$2&amp;"'!"&amp;$B15)</f>
        <v>0.7</v>
      </c>
      <c r="G15" s="214" cm="1">
        <f t="array" aca="1" ref="G15" ca="1">INDIRECT("'"&amp;G$2&amp;"'!"&amp;$C15)</f>
        <v>2.8000000000000004E-2</v>
      </c>
      <c r="H15" s="213" cm="1">
        <f t="array" aca="1" ref="H15" ca="1">INDIRECT("'"&amp;H$2&amp;"'!"&amp;$B15)</f>
        <v>0.25</v>
      </c>
      <c r="I15" s="214" cm="1">
        <f t="array" aca="1" ref="I15" ca="1">INDIRECT("'"&amp;I$2&amp;"'!"&amp;$C15)</f>
        <v>1.0000000000000004E-2</v>
      </c>
      <c r="J15" s="213" cm="1">
        <f t="array" aca="1" ref="J15" ca="1">INDIRECT("'"&amp;J$2&amp;"'!"&amp;$B15)</f>
        <v>20</v>
      </c>
      <c r="K15" s="214" cm="1">
        <f t="array" aca="1" ref="K15" ca="1">INDIRECT("'"&amp;K$2&amp;"'!"&amp;$C15)</f>
        <v>0.8</v>
      </c>
      <c r="L15" s="213" cm="1">
        <f t="array" aca="1" ref="L15" ca="1">INDIRECT("'"&amp;L$2&amp;"'!"&amp;$B15)</f>
        <v>48.734642922099887</v>
      </c>
      <c r="M15" s="214" cm="1">
        <f t="array" aca="1" ref="M15" ca="1">INDIRECT("'"&amp;M$2&amp;"'!"&amp;$C15)</f>
        <v>1.9493857168839965</v>
      </c>
      <c r="N15" s="213" cm="1">
        <f t="array" aca="1" ref="N15" ca="1">INDIRECT("'"&amp;N$2&amp;"'!"&amp;$B15)</f>
        <v>7</v>
      </c>
      <c r="O15" s="214" cm="1">
        <f t="array" aca="1" ref="O15" ca="1">INDIRECT("'"&amp;O$2&amp;"'!"&amp;$C15)</f>
        <v>0.28000000000000025</v>
      </c>
      <c r="P15" s="213" cm="1">
        <f t="array" aca="1" ref="P15" ca="1">INDIRECT("'"&amp;P$2&amp;"'!"&amp;$B15)</f>
        <v>43</v>
      </c>
      <c r="Q15" s="214" cm="1">
        <f t="array" aca="1" ref="Q15" ca="1">INDIRECT("'"&amp;Q$2&amp;"'!"&amp;$C15)</f>
        <v>1.7200000000000002</v>
      </c>
      <c r="R15" s="213" cm="1">
        <f t="array" aca="1" ref="R15" ca="1">INDIRECT("'"&amp;R$2&amp;"'!"&amp;$B15)</f>
        <v>5.2</v>
      </c>
      <c r="S15" s="214" cm="1">
        <f t="array" aca="1" ref="S15" ca="1">INDIRECT("'"&amp;S$2&amp;"'!"&amp;$C15)</f>
        <v>0.20800000000000002</v>
      </c>
    </row>
  </sheetData>
  <sheetProtection sheet="1" objects="1" scenarios="1" formatCells="0" formatColumns="0" formatRows="0" insertColumns="0" insertRows="0" insertHyperlinks="0" deleteColumns="0" deleteRows="0" sort="0"/>
  <pageMargins left="0.7" right="0.7" top="0.75" bottom="0.75" header="0.3" footer="0.3"/>
  <ignoredErrors>
    <ignoredError sqref="E3:E4 E5:E15 G3:G15"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015B-6F4A-4630-85FC-A8C065CE6F0A}">
  <sheetPr>
    <tabColor rgb="FF5E7E76"/>
  </sheetPr>
  <dimension ref="A1:AA61"/>
  <sheetViews>
    <sheetView workbookViewId="0">
      <selection activeCell="G21" sqref="G21"/>
    </sheetView>
  </sheetViews>
  <sheetFormatPr defaultRowHeight="14.4" x14ac:dyDescent="0.3"/>
  <cols>
    <col min="1" max="27" width="25.44140625" customWidth="1"/>
  </cols>
  <sheetData>
    <row r="1" spans="1:27" ht="15" thickBot="1" x14ac:dyDescent="0.35">
      <c r="A1" s="155" t="s">
        <v>318</v>
      </c>
      <c r="B1" s="156" t="s">
        <v>411</v>
      </c>
      <c r="C1" s="158" t="s">
        <v>423</v>
      </c>
      <c r="D1" s="158" t="s">
        <v>424</v>
      </c>
      <c r="E1" s="158" t="s">
        <v>425</v>
      </c>
      <c r="F1" s="160" t="s">
        <v>426</v>
      </c>
      <c r="G1" s="157" t="s">
        <v>427</v>
      </c>
      <c r="H1" s="158" t="s">
        <v>428</v>
      </c>
      <c r="I1" s="160" t="s">
        <v>429</v>
      </c>
      <c r="J1" s="159" t="s">
        <v>430</v>
      </c>
      <c r="K1" s="160" t="s">
        <v>431</v>
      </c>
      <c r="L1" s="157" t="s">
        <v>432</v>
      </c>
      <c r="M1" s="158" t="s">
        <v>433</v>
      </c>
      <c r="N1" s="160" t="s">
        <v>434</v>
      </c>
      <c r="O1" s="157" t="s">
        <v>435</v>
      </c>
      <c r="P1" s="158" t="s">
        <v>436</v>
      </c>
      <c r="Q1" s="160" t="s">
        <v>437</v>
      </c>
      <c r="R1" s="157" t="s">
        <v>438</v>
      </c>
      <c r="S1" s="158" t="s">
        <v>439</v>
      </c>
      <c r="T1" s="160" t="s">
        <v>440</v>
      </c>
      <c r="U1" s="159" t="s">
        <v>441</v>
      </c>
      <c r="V1" s="157" t="s">
        <v>442</v>
      </c>
      <c r="W1" s="157" t="s">
        <v>443</v>
      </c>
      <c r="X1" s="158" t="s">
        <v>444</v>
      </c>
      <c r="Y1" s="157" t="s">
        <v>445</v>
      </c>
      <c r="Z1" s="158" t="s">
        <v>446</v>
      </c>
      <c r="AA1" s="159" t="s">
        <v>447</v>
      </c>
    </row>
    <row r="2" spans="1:27" x14ac:dyDescent="0.3">
      <c r="A2" s="130" t="s">
        <v>454</v>
      </c>
      <c r="B2" s="131" t="s">
        <v>412</v>
      </c>
      <c r="C2" s="132">
        <v>0</v>
      </c>
      <c r="D2" s="133">
        <v>0</v>
      </c>
      <c r="E2" s="133">
        <v>0</v>
      </c>
      <c r="F2" s="133">
        <v>0</v>
      </c>
      <c r="G2" s="133">
        <v>0</v>
      </c>
      <c r="H2" s="133">
        <v>0</v>
      </c>
      <c r="I2" s="133">
        <v>0</v>
      </c>
      <c r="J2" s="134">
        <v>0</v>
      </c>
      <c r="K2" s="132">
        <v>0</v>
      </c>
      <c r="L2" s="133">
        <v>0</v>
      </c>
      <c r="M2" s="133">
        <v>0</v>
      </c>
      <c r="N2" s="133">
        <v>0</v>
      </c>
      <c r="O2" s="133">
        <v>0</v>
      </c>
      <c r="P2" s="133">
        <v>0</v>
      </c>
      <c r="Q2" s="133">
        <v>0</v>
      </c>
      <c r="R2" s="133">
        <v>0</v>
      </c>
      <c r="S2" s="133">
        <v>0</v>
      </c>
      <c r="T2" s="133">
        <v>0</v>
      </c>
      <c r="U2" s="134">
        <v>0</v>
      </c>
      <c r="V2" s="132">
        <v>0</v>
      </c>
      <c r="W2" s="133">
        <v>0</v>
      </c>
      <c r="X2" s="133">
        <v>0</v>
      </c>
      <c r="Y2" s="133">
        <v>0</v>
      </c>
      <c r="Z2" s="133">
        <v>0</v>
      </c>
      <c r="AA2" s="134">
        <v>0</v>
      </c>
    </row>
    <row r="3" spans="1:27" x14ac:dyDescent="0.3">
      <c r="A3" s="139" t="s">
        <v>454</v>
      </c>
      <c r="B3" s="136" t="s">
        <v>413</v>
      </c>
      <c r="C3" s="9">
        <v>0</v>
      </c>
      <c r="D3" s="8">
        <v>0</v>
      </c>
      <c r="E3" s="8">
        <v>0</v>
      </c>
      <c r="F3" s="8">
        <v>0</v>
      </c>
      <c r="G3" s="8">
        <v>0</v>
      </c>
      <c r="H3" s="8">
        <v>0</v>
      </c>
      <c r="I3" s="8">
        <v>0</v>
      </c>
      <c r="J3" s="18">
        <v>0</v>
      </c>
      <c r="K3" s="9">
        <v>0</v>
      </c>
      <c r="L3" s="8">
        <v>0</v>
      </c>
      <c r="M3" s="8">
        <v>0</v>
      </c>
      <c r="N3" s="8">
        <v>0</v>
      </c>
      <c r="O3" s="8">
        <v>0</v>
      </c>
      <c r="P3" s="8">
        <v>0</v>
      </c>
      <c r="Q3" s="8">
        <v>0</v>
      </c>
      <c r="R3" s="8">
        <v>0</v>
      </c>
      <c r="S3" s="8">
        <v>0</v>
      </c>
      <c r="T3" s="8">
        <v>0</v>
      </c>
      <c r="U3" s="18">
        <v>0</v>
      </c>
      <c r="V3" s="9">
        <v>0</v>
      </c>
      <c r="W3" s="8">
        <v>0</v>
      </c>
      <c r="X3" s="8">
        <v>0</v>
      </c>
      <c r="Y3" s="8">
        <v>0</v>
      </c>
      <c r="Z3" s="8">
        <v>0</v>
      </c>
      <c r="AA3" s="18">
        <v>0</v>
      </c>
    </row>
    <row r="4" spans="1:27" x14ac:dyDescent="0.3">
      <c r="A4" s="140" t="s">
        <v>454</v>
      </c>
      <c r="B4" s="136" t="s">
        <v>253</v>
      </c>
      <c r="C4" s="9">
        <v>0</v>
      </c>
      <c r="D4" s="8">
        <v>0</v>
      </c>
      <c r="E4" s="8">
        <v>0</v>
      </c>
      <c r="F4" s="8">
        <v>0</v>
      </c>
      <c r="G4" s="8">
        <v>0</v>
      </c>
      <c r="H4" s="8">
        <v>0</v>
      </c>
      <c r="I4" s="8">
        <v>0</v>
      </c>
      <c r="J4" s="18">
        <v>0</v>
      </c>
      <c r="K4" s="9">
        <v>0</v>
      </c>
      <c r="L4" s="8">
        <v>0</v>
      </c>
      <c r="M4" s="8">
        <v>0</v>
      </c>
      <c r="N4" s="8">
        <v>0</v>
      </c>
      <c r="O4" s="8">
        <v>0</v>
      </c>
      <c r="P4" s="8">
        <v>0</v>
      </c>
      <c r="Q4" s="8">
        <v>0</v>
      </c>
      <c r="R4" s="8">
        <v>0</v>
      </c>
      <c r="S4" s="8">
        <v>0</v>
      </c>
      <c r="T4" s="8">
        <v>0</v>
      </c>
      <c r="U4" s="18">
        <v>0</v>
      </c>
      <c r="V4" s="9">
        <v>0</v>
      </c>
      <c r="W4" s="8">
        <v>0</v>
      </c>
      <c r="X4" s="8">
        <v>0</v>
      </c>
      <c r="Y4" s="8">
        <v>0</v>
      </c>
      <c r="Z4" s="8">
        <v>0</v>
      </c>
      <c r="AA4" s="18">
        <v>0</v>
      </c>
    </row>
    <row r="5" spans="1:27" x14ac:dyDescent="0.3">
      <c r="A5" s="140" t="s">
        <v>454</v>
      </c>
      <c r="B5" s="136" t="s">
        <v>415</v>
      </c>
      <c r="C5" s="9">
        <v>0</v>
      </c>
      <c r="D5" s="8">
        <v>0</v>
      </c>
      <c r="E5" s="8">
        <v>0</v>
      </c>
      <c r="F5" s="8">
        <v>0</v>
      </c>
      <c r="G5" s="8">
        <v>0</v>
      </c>
      <c r="H5" s="8">
        <v>0</v>
      </c>
      <c r="I5" s="8">
        <v>0</v>
      </c>
      <c r="J5" s="18">
        <v>0</v>
      </c>
      <c r="K5" s="9">
        <v>0</v>
      </c>
      <c r="L5" s="8">
        <v>0</v>
      </c>
      <c r="M5" s="8">
        <v>0</v>
      </c>
      <c r="N5" s="8">
        <v>0</v>
      </c>
      <c r="O5" s="8">
        <v>0</v>
      </c>
      <c r="P5" s="8">
        <v>0</v>
      </c>
      <c r="Q5" s="8">
        <v>0</v>
      </c>
      <c r="R5" s="8">
        <v>0</v>
      </c>
      <c r="S5" s="8">
        <v>0</v>
      </c>
      <c r="T5" s="8">
        <v>0</v>
      </c>
      <c r="U5" s="18">
        <v>0</v>
      </c>
      <c r="V5" s="9">
        <v>0</v>
      </c>
      <c r="W5" s="8">
        <v>0</v>
      </c>
      <c r="X5" s="8">
        <v>0</v>
      </c>
      <c r="Y5" s="8">
        <v>0</v>
      </c>
      <c r="Z5" s="8">
        <v>0</v>
      </c>
      <c r="AA5" s="18">
        <v>0</v>
      </c>
    </row>
    <row r="6" spans="1:27" x14ac:dyDescent="0.3">
      <c r="A6" s="140" t="s">
        <v>454</v>
      </c>
      <c r="B6" s="136" t="s">
        <v>422</v>
      </c>
      <c r="C6" s="9">
        <v>0</v>
      </c>
      <c r="D6" s="8">
        <v>0</v>
      </c>
      <c r="E6" s="8">
        <v>0</v>
      </c>
      <c r="F6" s="8">
        <v>0</v>
      </c>
      <c r="G6" s="8">
        <v>0</v>
      </c>
      <c r="H6" s="8">
        <v>0</v>
      </c>
      <c r="I6" s="8">
        <v>0</v>
      </c>
      <c r="J6" s="18">
        <v>0</v>
      </c>
      <c r="K6" s="9">
        <v>0</v>
      </c>
      <c r="L6" s="8">
        <v>0</v>
      </c>
      <c r="M6" s="8">
        <v>0</v>
      </c>
      <c r="N6" s="8">
        <v>0</v>
      </c>
      <c r="O6" s="8">
        <v>0</v>
      </c>
      <c r="P6" s="8">
        <v>0</v>
      </c>
      <c r="Q6" s="8">
        <v>0</v>
      </c>
      <c r="R6" s="8">
        <v>0</v>
      </c>
      <c r="S6" s="8">
        <v>0</v>
      </c>
      <c r="T6" s="8">
        <v>0</v>
      </c>
      <c r="U6" s="18">
        <v>0</v>
      </c>
      <c r="V6" s="9">
        <v>0</v>
      </c>
      <c r="W6" s="8">
        <v>0</v>
      </c>
      <c r="X6" s="8">
        <v>0</v>
      </c>
      <c r="Y6" s="8">
        <v>0</v>
      </c>
      <c r="Z6" s="8">
        <v>0</v>
      </c>
      <c r="AA6" s="18">
        <v>0</v>
      </c>
    </row>
    <row r="7" spans="1:27" x14ac:dyDescent="0.3">
      <c r="A7" s="141" t="s">
        <v>455</v>
      </c>
      <c r="B7" s="136" t="s">
        <v>412</v>
      </c>
      <c r="C7" s="9">
        <v>0</v>
      </c>
      <c r="D7" s="8">
        <v>0</v>
      </c>
      <c r="E7" s="8">
        <v>0</v>
      </c>
      <c r="F7" s="8">
        <v>0</v>
      </c>
      <c r="G7" s="8">
        <v>0</v>
      </c>
      <c r="H7" s="8">
        <v>0</v>
      </c>
      <c r="I7" s="8">
        <v>0</v>
      </c>
      <c r="J7" s="18">
        <v>0</v>
      </c>
      <c r="K7" s="9">
        <v>0</v>
      </c>
      <c r="L7" s="8">
        <v>0</v>
      </c>
      <c r="M7" s="8">
        <v>0</v>
      </c>
      <c r="N7" s="8">
        <v>0</v>
      </c>
      <c r="O7" s="8">
        <v>0</v>
      </c>
      <c r="P7" s="8">
        <v>0</v>
      </c>
      <c r="Q7" s="8">
        <v>0</v>
      </c>
      <c r="R7" s="8">
        <v>0</v>
      </c>
      <c r="S7" s="8">
        <v>0</v>
      </c>
      <c r="T7" s="8">
        <v>0</v>
      </c>
      <c r="U7" s="18">
        <v>0</v>
      </c>
      <c r="V7" s="9">
        <v>0</v>
      </c>
      <c r="W7" s="8">
        <v>0</v>
      </c>
      <c r="X7" s="8">
        <v>0</v>
      </c>
      <c r="Y7" s="8">
        <v>0</v>
      </c>
      <c r="Z7" s="8">
        <v>0</v>
      </c>
      <c r="AA7" s="18">
        <v>0</v>
      </c>
    </row>
    <row r="8" spans="1:27" x14ac:dyDescent="0.3">
      <c r="A8" s="135" t="s">
        <v>455</v>
      </c>
      <c r="B8" s="136" t="s">
        <v>413</v>
      </c>
      <c r="C8" s="9">
        <v>0</v>
      </c>
      <c r="D8" s="8">
        <v>0</v>
      </c>
      <c r="E8" s="8">
        <v>0</v>
      </c>
      <c r="F8" s="8">
        <v>0</v>
      </c>
      <c r="G8" s="8">
        <v>0</v>
      </c>
      <c r="H8" s="8">
        <v>0</v>
      </c>
      <c r="I8" s="8">
        <v>0</v>
      </c>
      <c r="J8" s="18">
        <v>0</v>
      </c>
      <c r="K8" s="9">
        <v>0</v>
      </c>
      <c r="L8" s="8">
        <v>0</v>
      </c>
      <c r="M8" s="8">
        <v>0</v>
      </c>
      <c r="N8" s="8">
        <v>0</v>
      </c>
      <c r="O8" s="8">
        <v>0</v>
      </c>
      <c r="P8" s="8">
        <v>0</v>
      </c>
      <c r="Q8" s="8">
        <v>0</v>
      </c>
      <c r="R8" s="8">
        <v>0</v>
      </c>
      <c r="S8" s="8">
        <v>0</v>
      </c>
      <c r="T8" s="8">
        <v>0</v>
      </c>
      <c r="U8" s="18">
        <v>0</v>
      </c>
      <c r="V8" s="9">
        <v>0</v>
      </c>
      <c r="W8" s="8">
        <v>0</v>
      </c>
      <c r="X8" s="8">
        <v>0</v>
      </c>
      <c r="Y8" s="8">
        <v>0</v>
      </c>
      <c r="Z8" s="8">
        <v>0</v>
      </c>
      <c r="AA8" s="18">
        <v>0</v>
      </c>
    </row>
    <row r="9" spans="1:27" x14ac:dyDescent="0.3">
      <c r="A9" s="135" t="s">
        <v>455</v>
      </c>
      <c r="B9" s="136" t="s">
        <v>253</v>
      </c>
      <c r="C9" s="9">
        <v>0</v>
      </c>
      <c r="D9" s="8">
        <v>0</v>
      </c>
      <c r="E9" s="8">
        <v>0</v>
      </c>
      <c r="F9" s="8">
        <v>0</v>
      </c>
      <c r="G9" s="8">
        <v>0</v>
      </c>
      <c r="H9" s="8">
        <v>0</v>
      </c>
      <c r="I9" s="8">
        <v>0</v>
      </c>
      <c r="J9" s="18">
        <v>0</v>
      </c>
      <c r="K9" s="9">
        <v>0</v>
      </c>
      <c r="L9" s="8">
        <v>0</v>
      </c>
      <c r="M9" s="8">
        <v>0</v>
      </c>
      <c r="N9" s="8">
        <v>0</v>
      </c>
      <c r="O9" s="8">
        <v>0</v>
      </c>
      <c r="P9" s="8">
        <v>0</v>
      </c>
      <c r="Q9" s="8">
        <v>0</v>
      </c>
      <c r="R9" s="8">
        <v>0</v>
      </c>
      <c r="S9" s="8">
        <v>0</v>
      </c>
      <c r="T9" s="8">
        <v>0</v>
      </c>
      <c r="U9" s="18">
        <v>0</v>
      </c>
      <c r="V9" s="9">
        <v>0</v>
      </c>
      <c r="W9" s="8">
        <v>0</v>
      </c>
      <c r="X9" s="8">
        <v>0</v>
      </c>
      <c r="Y9" s="8">
        <v>0</v>
      </c>
      <c r="Z9" s="8">
        <v>0</v>
      </c>
      <c r="AA9" s="18">
        <v>0</v>
      </c>
    </row>
    <row r="10" spans="1:27" x14ac:dyDescent="0.3">
      <c r="A10" s="135" t="s">
        <v>455</v>
      </c>
      <c r="B10" s="136" t="s">
        <v>415</v>
      </c>
      <c r="C10" s="9">
        <v>0</v>
      </c>
      <c r="D10" s="8">
        <v>0</v>
      </c>
      <c r="E10" s="8">
        <v>0</v>
      </c>
      <c r="F10" s="8">
        <v>0</v>
      </c>
      <c r="G10" s="8">
        <v>0</v>
      </c>
      <c r="H10" s="8">
        <v>0</v>
      </c>
      <c r="I10" s="8">
        <v>0</v>
      </c>
      <c r="J10" s="18">
        <v>0</v>
      </c>
      <c r="K10" s="9">
        <v>0</v>
      </c>
      <c r="L10" s="8">
        <v>0</v>
      </c>
      <c r="M10" s="8">
        <v>0</v>
      </c>
      <c r="N10" s="8">
        <v>0</v>
      </c>
      <c r="O10" s="8">
        <v>0</v>
      </c>
      <c r="P10" s="8">
        <v>0</v>
      </c>
      <c r="Q10" s="8">
        <v>0</v>
      </c>
      <c r="R10" s="8">
        <v>0</v>
      </c>
      <c r="S10" s="8">
        <v>0</v>
      </c>
      <c r="T10" s="8">
        <v>0</v>
      </c>
      <c r="U10" s="18">
        <v>0</v>
      </c>
      <c r="V10" s="9">
        <v>0</v>
      </c>
      <c r="W10" s="8">
        <v>0</v>
      </c>
      <c r="X10" s="8">
        <v>0</v>
      </c>
      <c r="Y10" s="8">
        <v>0</v>
      </c>
      <c r="Z10" s="8">
        <v>0</v>
      </c>
      <c r="AA10" s="18">
        <v>0</v>
      </c>
    </row>
    <row r="11" spans="1:27" x14ac:dyDescent="0.3">
      <c r="A11" s="135" t="s">
        <v>455</v>
      </c>
      <c r="B11" s="136" t="s">
        <v>422</v>
      </c>
      <c r="C11" s="9">
        <v>0</v>
      </c>
      <c r="D11" s="8">
        <v>0</v>
      </c>
      <c r="E11" s="8">
        <v>0</v>
      </c>
      <c r="F11" s="8">
        <v>0</v>
      </c>
      <c r="G11" s="8">
        <v>0</v>
      </c>
      <c r="H11" s="8">
        <v>0</v>
      </c>
      <c r="I11" s="8">
        <v>0</v>
      </c>
      <c r="J11" s="18">
        <v>0</v>
      </c>
      <c r="K11" s="9">
        <v>0</v>
      </c>
      <c r="L11" s="8">
        <v>0</v>
      </c>
      <c r="M11" s="8">
        <v>0</v>
      </c>
      <c r="N11" s="8">
        <v>0</v>
      </c>
      <c r="O11" s="8">
        <v>0</v>
      </c>
      <c r="P11" s="8">
        <v>0</v>
      </c>
      <c r="Q11" s="8">
        <v>0</v>
      </c>
      <c r="R11" s="8">
        <v>0</v>
      </c>
      <c r="S11" s="8">
        <v>0</v>
      </c>
      <c r="T11" s="8">
        <v>0</v>
      </c>
      <c r="U11" s="18">
        <v>0</v>
      </c>
      <c r="V11" s="9">
        <v>0</v>
      </c>
      <c r="W11" s="8">
        <v>0</v>
      </c>
      <c r="X11" s="8">
        <v>0</v>
      </c>
      <c r="Y11" s="8">
        <v>0</v>
      </c>
      <c r="Z11" s="8">
        <v>0</v>
      </c>
      <c r="AA11" s="18">
        <v>0</v>
      </c>
    </row>
    <row r="12" spans="1:27" x14ac:dyDescent="0.3">
      <c r="A12" s="142" t="s">
        <v>456</v>
      </c>
      <c r="B12" s="136" t="s">
        <v>412</v>
      </c>
      <c r="C12" s="9">
        <v>4</v>
      </c>
      <c r="D12" s="8">
        <v>4</v>
      </c>
      <c r="E12" s="8">
        <v>1.52E-2</v>
      </c>
      <c r="F12" s="8">
        <v>-7.5399999999999995E-2</v>
      </c>
      <c r="G12" s="8">
        <v>1.0611999999999999</v>
      </c>
      <c r="H12" s="8">
        <v>5.4000000000000003E-3</v>
      </c>
      <c r="I12" s="8">
        <v>-9.5799999999999996E-2</v>
      </c>
      <c r="J12" s="18">
        <v>1.3250999999999999</v>
      </c>
      <c r="K12" s="9">
        <v>3.73E-2</v>
      </c>
      <c r="L12" s="150">
        <v>-3.4380000000000002</v>
      </c>
      <c r="M12" s="8">
        <v>0</v>
      </c>
      <c r="N12" s="8">
        <v>0</v>
      </c>
      <c r="O12" s="8">
        <v>0</v>
      </c>
      <c r="P12" s="8">
        <v>8.0699999999999994E-2</v>
      </c>
      <c r="Q12" s="8">
        <v>-1.7647999999999999</v>
      </c>
      <c r="R12" s="150">
        <v>50.161999999999999</v>
      </c>
      <c r="S12" s="8">
        <v>6.3E-3</v>
      </c>
      <c r="T12" s="8">
        <v>-0.21129999999999999</v>
      </c>
      <c r="U12" s="18">
        <v>3.6385999999999998</v>
      </c>
      <c r="V12" s="9">
        <v>4</v>
      </c>
      <c r="W12" s="8">
        <v>4</v>
      </c>
      <c r="X12" s="8">
        <v>0.12959999999999999</v>
      </c>
      <c r="Y12" s="8">
        <v>0.49259999999999998</v>
      </c>
      <c r="Z12" s="8">
        <v>3.3189000000000002</v>
      </c>
      <c r="AA12" s="18">
        <v>-0.86</v>
      </c>
    </row>
    <row r="13" spans="1:27" x14ac:dyDescent="0.3">
      <c r="A13" s="135" t="s">
        <v>456</v>
      </c>
      <c r="B13" s="136" t="s">
        <v>413</v>
      </c>
      <c r="C13" s="9">
        <v>4</v>
      </c>
      <c r="D13" s="8">
        <v>4</v>
      </c>
      <c r="E13" s="8">
        <v>1.7000000000000001E-2</v>
      </c>
      <c r="F13" s="151">
        <v>1.89E-2</v>
      </c>
      <c r="G13" s="8">
        <v>0.78359999999999996</v>
      </c>
      <c r="H13" s="8">
        <v>2.1000000000000001E-2</v>
      </c>
      <c r="I13" s="8">
        <v>-0.36009999999999998</v>
      </c>
      <c r="J13" s="18">
        <v>2.1619000000000002</v>
      </c>
      <c r="K13" s="9">
        <v>3.73E-2</v>
      </c>
      <c r="L13" s="8">
        <v>-3.4380000000000002</v>
      </c>
      <c r="M13" s="8">
        <v>-2.0999999999999999E-3</v>
      </c>
      <c r="N13" s="8">
        <v>0.17649999999999999</v>
      </c>
      <c r="O13" s="8">
        <v>-1.4389000000000001</v>
      </c>
      <c r="P13" s="8">
        <v>1.0999999999999999E-2</v>
      </c>
      <c r="Q13" s="8">
        <v>-0.25740000000000002</v>
      </c>
      <c r="R13" s="8">
        <v>6.3864000000000001</v>
      </c>
      <c r="S13" s="8">
        <v>-4.0000000000000002E-4</v>
      </c>
      <c r="T13" s="8">
        <v>9.4299999999999995E-2</v>
      </c>
      <c r="U13" s="18">
        <v>-0.77910000000000001</v>
      </c>
      <c r="V13" s="9">
        <v>4</v>
      </c>
      <c r="W13" s="8">
        <v>4</v>
      </c>
      <c r="X13" s="8">
        <v>0.13589999999999999</v>
      </c>
      <c r="Y13" s="8">
        <v>0.375</v>
      </c>
      <c r="Z13" s="8">
        <v>3.2502</v>
      </c>
      <c r="AA13" s="18">
        <v>-0.84499999999999997</v>
      </c>
    </row>
    <row r="14" spans="1:27" x14ac:dyDescent="0.3">
      <c r="A14" s="135" t="s">
        <v>456</v>
      </c>
      <c r="B14" s="136" t="s">
        <v>253</v>
      </c>
      <c r="C14" s="9">
        <v>4</v>
      </c>
      <c r="D14" s="8">
        <v>4</v>
      </c>
      <c r="E14" s="8">
        <v>-9.2999999999999992E-3</v>
      </c>
      <c r="F14" s="8">
        <v>0.41689999999999999</v>
      </c>
      <c r="G14" s="8">
        <v>-0.39800000000000002</v>
      </c>
      <c r="H14" s="8">
        <v>1.95E-2</v>
      </c>
      <c r="I14" s="8">
        <v>-0.3483</v>
      </c>
      <c r="J14" s="18">
        <v>2.1252</v>
      </c>
      <c r="K14" s="9">
        <v>0.11609999999999999</v>
      </c>
      <c r="L14" s="8">
        <v>-10.691000000000001</v>
      </c>
      <c r="M14" s="8">
        <v>-6.9999999999999999E-4</v>
      </c>
      <c r="N14" s="8">
        <v>3.6900000000000002E-2</v>
      </c>
      <c r="O14" s="8">
        <v>-0.24529999999999999</v>
      </c>
      <c r="P14" s="8">
        <v>-1.1999999999999999E-3</v>
      </c>
      <c r="Q14" s="8">
        <v>0.1363</v>
      </c>
      <c r="R14" s="8">
        <v>-1.2638</v>
      </c>
      <c r="S14" s="8">
        <v>-5.0000000000000001E-4</v>
      </c>
      <c r="T14" s="8">
        <v>4.3299999999999998E-2</v>
      </c>
      <c r="U14" s="18">
        <v>-0.3382</v>
      </c>
      <c r="V14" s="9">
        <v>4</v>
      </c>
      <c r="W14" s="8">
        <v>4</v>
      </c>
      <c r="X14" s="8">
        <v>0.14630000000000001</v>
      </c>
      <c r="Y14" s="8">
        <v>0.50790000000000002</v>
      </c>
      <c r="Z14" s="8">
        <v>3.1551</v>
      </c>
      <c r="AA14" s="18">
        <v>-0.81899999999999995</v>
      </c>
    </row>
    <row r="15" spans="1:27" x14ac:dyDescent="0.3">
      <c r="A15" s="135" t="s">
        <v>456</v>
      </c>
      <c r="B15" s="136" t="s">
        <v>415</v>
      </c>
      <c r="C15" s="9">
        <v>4</v>
      </c>
      <c r="D15" s="8">
        <v>4</v>
      </c>
      <c r="E15" s="8">
        <v>8.8000000000000005E-3</v>
      </c>
      <c r="F15" s="8">
        <v>9.2200000000000004E-2</v>
      </c>
      <c r="G15" s="8">
        <v>0.49209999999999998</v>
      </c>
      <c r="H15" s="8">
        <v>1.9800000000000002E-2</v>
      </c>
      <c r="I15" s="8">
        <v>-0.33600000000000002</v>
      </c>
      <c r="J15" s="18">
        <v>2.0684999999999998</v>
      </c>
      <c r="K15" s="9">
        <v>0.11609999999999999</v>
      </c>
      <c r="L15" s="8">
        <v>-10.691000000000001</v>
      </c>
      <c r="M15" s="8">
        <v>0</v>
      </c>
      <c r="N15" s="8">
        <v>0</v>
      </c>
      <c r="O15" s="8">
        <v>0</v>
      </c>
      <c r="P15" s="8">
        <v>3.3E-3</v>
      </c>
      <c r="Q15" s="8">
        <v>0.20219999999999999</v>
      </c>
      <c r="R15" s="8">
        <v>0.25779999999999997</v>
      </c>
      <c r="S15" s="8">
        <v>-6.9999999999999999E-6</v>
      </c>
      <c r="T15" s="8">
        <v>1.3599999999999999E-2</v>
      </c>
      <c r="U15" s="18">
        <v>-1.9E-3</v>
      </c>
      <c r="V15" s="9">
        <v>4</v>
      </c>
      <c r="W15" s="8">
        <v>4</v>
      </c>
      <c r="X15" s="8">
        <v>0.14630000000000001</v>
      </c>
      <c r="Y15" s="8">
        <v>0.50790000000000002</v>
      </c>
      <c r="Z15" s="8">
        <v>3.1480000000000001</v>
      </c>
      <c r="AA15" s="18">
        <v>-0.82099999999999995</v>
      </c>
    </row>
    <row r="16" spans="1:27" x14ac:dyDescent="0.3">
      <c r="A16" s="135" t="s">
        <v>456</v>
      </c>
      <c r="B16" s="136" t="s">
        <v>422</v>
      </c>
      <c r="C16" s="9">
        <v>4</v>
      </c>
      <c r="D16" s="8">
        <v>4</v>
      </c>
      <c r="E16" s="8">
        <v>-5.1000000000000004E-3</v>
      </c>
      <c r="F16" s="8">
        <v>0.3765</v>
      </c>
      <c r="G16" s="8">
        <v>-0.33710000000000001</v>
      </c>
      <c r="H16" s="150">
        <v>1.9300000000000001E-2</v>
      </c>
      <c r="I16" s="8">
        <v>-0.34449999999999997</v>
      </c>
      <c r="J16" s="18">
        <v>2.1183999999999998</v>
      </c>
      <c r="K16" s="9">
        <v>7.9000000000000008E-3</v>
      </c>
      <c r="L16" s="8">
        <v>-0.72829999999999995</v>
      </c>
      <c r="M16" s="8">
        <v>-5.0000000000000001E-4</v>
      </c>
      <c r="N16" s="8">
        <v>2.7300000000000001E-2</v>
      </c>
      <c r="O16" s="8">
        <v>-0.18690000000000001</v>
      </c>
      <c r="P16" s="8">
        <v>-8.0000000000000004E-4</v>
      </c>
      <c r="Q16" s="8">
        <v>0.10780000000000001</v>
      </c>
      <c r="R16" s="8">
        <v>-0.98560000000000003</v>
      </c>
      <c r="S16" s="151">
        <v>-4.0000000000000002E-4</v>
      </c>
      <c r="T16" s="8">
        <v>4.24E-2</v>
      </c>
      <c r="U16" s="18">
        <v>-0.33579999999999999</v>
      </c>
      <c r="V16" s="9">
        <v>4</v>
      </c>
      <c r="W16" s="8">
        <v>4</v>
      </c>
      <c r="X16" s="8">
        <v>0.1454</v>
      </c>
      <c r="Y16" s="8">
        <v>0.49480000000000002</v>
      </c>
      <c r="Z16" s="150">
        <v>3.1131000000000002</v>
      </c>
      <c r="AA16" s="18">
        <v>-0.81100000000000005</v>
      </c>
    </row>
    <row r="17" spans="1:27" x14ac:dyDescent="0.3">
      <c r="A17" s="141" t="s">
        <v>457</v>
      </c>
      <c r="B17" s="136" t="s">
        <v>412</v>
      </c>
      <c r="C17" s="9">
        <v>4</v>
      </c>
      <c r="D17" s="8">
        <v>4</v>
      </c>
      <c r="E17" s="8">
        <v>1.1299999999999999E-2</v>
      </c>
      <c r="F17" s="150">
        <v>-1.8499999999999999E-2</v>
      </c>
      <c r="G17" s="8">
        <v>0.92300000000000004</v>
      </c>
      <c r="H17" s="8">
        <v>2.0199999999999999E-2</v>
      </c>
      <c r="I17" s="8">
        <v>-0.28739999999999999</v>
      </c>
      <c r="J17" s="18">
        <v>1.8664000000000001</v>
      </c>
      <c r="K17" s="9">
        <v>3.73E-2</v>
      </c>
      <c r="L17" s="8">
        <v>-3.4380000000000002</v>
      </c>
      <c r="M17" s="8">
        <v>0</v>
      </c>
      <c r="N17" s="8">
        <v>0</v>
      </c>
      <c r="O17" s="8">
        <v>0</v>
      </c>
      <c r="P17" s="8">
        <v>6.9199999999999998E-2</v>
      </c>
      <c r="Q17" s="8">
        <v>-1.7403</v>
      </c>
      <c r="R17" s="8">
        <v>43.369</v>
      </c>
      <c r="S17" s="8">
        <v>5.4999999999999997E-3</v>
      </c>
      <c r="T17" s="8">
        <v>-0.1792</v>
      </c>
      <c r="U17" s="18">
        <v>3.1631999999999998</v>
      </c>
      <c r="V17" s="9">
        <v>4</v>
      </c>
      <c r="W17" s="8">
        <v>4</v>
      </c>
      <c r="X17" s="8">
        <v>0.1222</v>
      </c>
      <c r="Y17" s="8">
        <v>0.58489999999999998</v>
      </c>
      <c r="Z17" s="8">
        <v>3.3403</v>
      </c>
      <c r="AA17" s="18">
        <v>-0.86499999999999999</v>
      </c>
    </row>
    <row r="18" spans="1:27" x14ac:dyDescent="0.3">
      <c r="A18" s="135" t="s">
        <v>457</v>
      </c>
      <c r="B18" s="136" t="s">
        <v>413</v>
      </c>
      <c r="C18" s="9">
        <v>4</v>
      </c>
      <c r="D18" s="8">
        <v>4</v>
      </c>
      <c r="E18" s="8">
        <v>9.7999999999999997E-3</v>
      </c>
      <c r="F18" s="8">
        <v>4.9500000000000002E-2</v>
      </c>
      <c r="G18" s="8">
        <v>0.61660000000000004</v>
      </c>
      <c r="H18" s="8">
        <v>2.0799999999999999E-2</v>
      </c>
      <c r="I18" s="8">
        <v>-0.36309999999999998</v>
      </c>
      <c r="J18" s="18">
        <v>2.1655000000000002</v>
      </c>
      <c r="K18" s="9">
        <v>3.73E-2</v>
      </c>
      <c r="L18" s="8">
        <v>-3.4380000000000002</v>
      </c>
      <c r="M18" s="8">
        <v>-1.6000000000000001E-3</v>
      </c>
      <c r="N18" s="8">
        <v>0.13639999999999999</v>
      </c>
      <c r="O18" s="8">
        <v>-1.1066</v>
      </c>
      <c r="P18" s="8">
        <v>5.0000000000000001E-3</v>
      </c>
      <c r="Q18" s="8">
        <v>-0.12659999999999999</v>
      </c>
      <c r="R18" s="8">
        <v>0.98850000000000005</v>
      </c>
      <c r="S18" s="8">
        <v>-2.9999999999999997E-4</v>
      </c>
      <c r="T18" s="8">
        <v>8.14E-2</v>
      </c>
      <c r="U18" s="18">
        <v>-0.80289999999999995</v>
      </c>
      <c r="V18" s="9">
        <v>4</v>
      </c>
      <c r="W18" s="8">
        <v>4</v>
      </c>
      <c r="X18" s="8">
        <v>0.12540000000000001</v>
      </c>
      <c r="Y18" s="8">
        <v>0.50090000000000001</v>
      </c>
      <c r="Z18" s="8">
        <v>3.3010999999999999</v>
      </c>
      <c r="AA18" s="18">
        <v>-0.85699999999999998</v>
      </c>
    </row>
    <row r="19" spans="1:27" x14ac:dyDescent="0.3">
      <c r="A19" s="135" t="s">
        <v>457</v>
      </c>
      <c r="B19" s="136" t="s">
        <v>253</v>
      </c>
      <c r="C19" s="9">
        <v>4</v>
      </c>
      <c r="D19" s="8">
        <v>4</v>
      </c>
      <c r="E19" s="8">
        <v>-4.8999999999999998E-3</v>
      </c>
      <c r="F19" s="8">
        <v>0.249</v>
      </c>
      <c r="G19" s="8">
        <v>0.1797</v>
      </c>
      <c r="H19" s="8">
        <v>2.0400000000000001E-2</v>
      </c>
      <c r="I19" s="8">
        <v>-0.3649</v>
      </c>
      <c r="J19" s="18">
        <v>2.1863999999999999</v>
      </c>
      <c r="K19" s="9">
        <v>0.12659999999999999</v>
      </c>
      <c r="L19" s="8">
        <v>-11.663</v>
      </c>
      <c r="M19" s="8">
        <v>-2.0000000000000001E-4</v>
      </c>
      <c r="N19" s="8">
        <v>8.0999999999999996E-3</v>
      </c>
      <c r="O19" s="8">
        <v>6.1899999999999997E-2</v>
      </c>
      <c r="P19" s="8">
        <v>-5.9999999999999995E-4</v>
      </c>
      <c r="Q19" s="8">
        <v>6.2600000000000003E-2</v>
      </c>
      <c r="R19" s="8">
        <v>-0.51329999999999998</v>
      </c>
      <c r="S19" s="8">
        <v>-5.0000000000000001E-4</v>
      </c>
      <c r="T19" s="150">
        <v>4.1500000000000002E-2</v>
      </c>
      <c r="U19" s="18">
        <v>-0.13450000000000001</v>
      </c>
      <c r="V19" s="9">
        <v>4</v>
      </c>
      <c r="W19" s="8">
        <v>4</v>
      </c>
      <c r="X19" s="8">
        <v>0.16520000000000001</v>
      </c>
      <c r="Y19" s="8">
        <v>0.47289999999999999</v>
      </c>
      <c r="Z19" s="8">
        <v>3.2201</v>
      </c>
      <c r="AA19" s="18">
        <v>-0.83499999999999996</v>
      </c>
    </row>
    <row r="20" spans="1:27" x14ac:dyDescent="0.3">
      <c r="A20" s="135" t="s">
        <v>457</v>
      </c>
      <c r="B20" s="136" t="s">
        <v>415</v>
      </c>
      <c r="C20" s="9">
        <v>4</v>
      </c>
      <c r="D20" s="8">
        <v>4</v>
      </c>
      <c r="E20" s="8">
        <v>6.7000000000000002E-3</v>
      </c>
      <c r="F20" s="8">
        <v>0.1217</v>
      </c>
      <c r="G20" s="8">
        <v>0.42480000000000001</v>
      </c>
      <c r="H20" s="8">
        <v>0.02</v>
      </c>
      <c r="I20" s="8">
        <v>-0.34839999999999999</v>
      </c>
      <c r="J20" s="18">
        <v>2.1242999999999999</v>
      </c>
      <c r="K20" s="9">
        <v>0.12659999999999999</v>
      </c>
      <c r="L20" s="8">
        <v>-11.663</v>
      </c>
      <c r="M20" s="8">
        <v>0</v>
      </c>
      <c r="N20" s="8">
        <v>0</v>
      </c>
      <c r="O20" s="8">
        <v>0</v>
      </c>
      <c r="P20" s="8">
        <v>3.0000000000000001E-3</v>
      </c>
      <c r="Q20" s="8">
        <v>0.1237</v>
      </c>
      <c r="R20" s="8">
        <v>0.59109999999999996</v>
      </c>
      <c r="S20" s="8">
        <v>2.9999999999999997E-4</v>
      </c>
      <c r="T20" s="8">
        <v>-4.5999999999999999E-3</v>
      </c>
      <c r="U20" s="18">
        <v>0.23619999999999999</v>
      </c>
      <c r="V20" s="9">
        <v>4</v>
      </c>
      <c r="W20" s="8">
        <v>4</v>
      </c>
      <c r="X20" s="8">
        <v>0.16520000000000001</v>
      </c>
      <c r="Y20" s="8">
        <v>0.47289999999999999</v>
      </c>
      <c r="Z20" s="8">
        <v>3.2235</v>
      </c>
      <c r="AA20" s="18">
        <v>-0.83499999999999996</v>
      </c>
    </row>
    <row r="21" spans="1:27" x14ac:dyDescent="0.3">
      <c r="A21" s="135" t="s">
        <v>457</v>
      </c>
      <c r="B21" s="136" t="s">
        <v>422</v>
      </c>
      <c r="C21" s="9">
        <v>4</v>
      </c>
      <c r="D21" s="8">
        <v>4</v>
      </c>
      <c r="E21" s="8">
        <v>-7.4000000000000003E-3</v>
      </c>
      <c r="F21" s="8">
        <v>0.29809999999999998</v>
      </c>
      <c r="G21" s="8">
        <v>1.3100000000000001E-2</v>
      </c>
      <c r="H21" s="8">
        <v>2.01E-2</v>
      </c>
      <c r="I21" s="8">
        <v>-0.35920000000000002</v>
      </c>
      <c r="J21" s="18">
        <v>2.1644000000000001</v>
      </c>
      <c r="K21" s="9">
        <v>7.9000000000000008E-3</v>
      </c>
      <c r="L21" s="8">
        <v>-0.72829999999999995</v>
      </c>
      <c r="M21" s="8">
        <v>-5.0000000000000001E-4</v>
      </c>
      <c r="N21" s="8">
        <v>2.8199999999999999E-2</v>
      </c>
      <c r="O21" s="8">
        <v>0.1893</v>
      </c>
      <c r="P21" s="8">
        <v>-4.0000000000000002E-4</v>
      </c>
      <c r="Q21" s="8">
        <v>5.0299999999999997E-2</v>
      </c>
      <c r="R21" s="8">
        <v>-0.50719999999999998</v>
      </c>
      <c r="S21" s="8">
        <v>-4.0000000000000002E-4</v>
      </c>
      <c r="T21" s="8">
        <v>4.24E-2</v>
      </c>
      <c r="U21" s="18">
        <v>-0.33579999999999999</v>
      </c>
      <c r="V21" s="9">
        <v>4</v>
      </c>
      <c r="W21" s="8">
        <v>4</v>
      </c>
      <c r="X21" s="8">
        <v>0.16520000000000001</v>
      </c>
      <c r="Y21" s="150">
        <v>0.47289999999999999</v>
      </c>
      <c r="Z21" s="8">
        <v>3.1745000000000001</v>
      </c>
      <c r="AA21" s="18">
        <v>-0.82499999999999996</v>
      </c>
    </row>
    <row r="22" spans="1:27" x14ac:dyDescent="0.3">
      <c r="A22" s="142" t="s">
        <v>458</v>
      </c>
      <c r="B22" s="136" t="s">
        <v>412</v>
      </c>
      <c r="C22" s="9">
        <v>4</v>
      </c>
      <c r="D22" s="8">
        <v>4</v>
      </c>
      <c r="E22" s="8">
        <v>1.1299999999999999E-2</v>
      </c>
      <c r="F22" s="150">
        <v>-1.8499999999999999E-2</v>
      </c>
      <c r="G22" s="8">
        <v>0.92300000000000004</v>
      </c>
      <c r="H22" s="8">
        <v>2.0199999999999999E-2</v>
      </c>
      <c r="I22" s="8">
        <v>-0.28739999999999999</v>
      </c>
      <c r="J22" s="18">
        <v>1.8664000000000001</v>
      </c>
      <c r="K22" s="9">
        <v>3.73E-2</v>
      </c>
      <c r="L22" s="8">
        <v>-3.4380000000000002</v>
      </c>
      <c r="M22" s="8">
        <v>0</v>
      </c>
      <c r="N22" s="8">
        <v>0</v>
      </c>
      <c r="O22" s="8">
        <v>0</v>
      </c>
      <c r="P22" s="8">
        <v>6.9199999999999998E-2</v>
      </c>
      <c r="Q22" s="8">
        <v>-1.7403</v>
      </c>
      <c r="R22" s="8">
        <v>43.369</v>
      </c>
      <c r="S22" s="8">
        <v>5.4999999999999997E-3</v>
      </c>
      <c r="T22" s="8">
        <v>-0.1792</v>
      </c>
      <c r="U22" s="18">
        <v>3.1631999999999998</v>
      </c>
      <c r="V22" s="9">
        <v>4</v>
      </c>
      <c r="W22" s="8">
        <v>4</v>
      </c>
      <c r="X22" s="8">
        <v>0.1222</v>
      </c>
      <c r="Y22" s="8">
        <v>0.58489999999999998</v>
      </c>
      <c r="Z22" s="8">
        <v>3.3403</v>
      </c>
      <c r="AA22" s="18">
        <v>-0.86499999999999999</v>
      </c>
    </row>
    <row r="23" spans="1:27" x14ac:dyDescent="0.3">
      <c r="A23" s="135" t="s">
        <v>458</v>
      </c>
      <c r="B23" s="136" t="s">
        <v>413</v>
      </c>
      <c r="C23" s="9">
        <v>4</v>
      </c>
      <c r="D23" s="8">
        <v>4</v>
      </c>
      <c r="E23" s="8">
        <v>9.7999999999999997E-3</v>
      </c>
      <c r="F23" s="8">
        <v>4.9500000000000002E-2</v>
      </c>
      <c r="G23" s="8">
        <v>0.61660000000000004</v>
      </c>
      <c r="H23" s="8">
        <v>2.0799999999999999E-2</v>
      </c>
      <c r="I23" s="8">
        <v>-0.36309999999999998</v>
      </c>
      <c r="J23" s="18">
        <v>2.1655000000000002</v>
      </c>
      <c r="K23" s="9">
        <v>3.73E-2</v>
      </c>
      <c r="L23" s="8">
        <v>-3.4380000000000002</v>
      </c>
      <c r="M23" s="8">
        <v>-1.6000000000000001E-3</v>
      </c>
      <c r="N23" s="8">
        <v>0.13639999999999999</v>
      </c>
      <c r="O23" s="8">
        <v>-1.1066</v>
      </c>
      <c r="P23" s="8">
        <v>5.0000000000000001E-3</v>
      </c>
      <c r="Q23" s="8">
        <v>-0.12659999999999999</v>
      </c>
      <c r="R23" s="8">
        <v>0.98850000000000005</v>
      </c>
      <c r="S23" s="8">
        <v>-2.9999999999999997E-4</v>
      </c>
      <c r="T23" s="8">
        <v>8.14E-2</v>
      </c>
      <c r="U23" s="18">
        <v>-0.80289999999999995</v>
      </c>
      <c r="V23" s="9">
        <v>4</v>
      </c>
      <c r="W23" s="8">
        <v>4</v>
      </c>
      <c r="X23" s="8">
        <v>0.12540000000000001</v>
      </c>
      <c r="Y23" s="8">
        <v>0.50090000000000001</v>
      </c>
      <c r="Z23" s="8">
        <v>3.3010999999999999</v>
      </c>
      <c r="AA23" s="18">
        <v>-0.85699999999999998</v>
      </c>
    </row>
    <row r="24" spans="1:27" x14ac:dyDescent="0.3">
      <c r="A24" s="135" t="s">
        <v>458</v>
      </c>
      <c r="B24" s="136" t="s">
        <v>253</v>
      </c>
      <c r="C24" s="9">
        <v>4</v>
      </c>
      <c r="D24" s="8">
        <v>4</v>
      </c>
      <c r="E24" s="8">
        <v>-4.8999999999999998E-3</v>
      </c>
      <c r="F24" s="8">
        <v>0.249</v>
      </c>
      <c r="G24" s="8">
        <v>0.1797</v>
      </c>
      <c r="H24" s="8">
        <v>2.0400000000000001E-2</v>
      </c>
      <c r="I24" s="8">
        <v>-0.3649</v>
      </c>
      <c r="J24" s="18">
        <v>2.1863999999999999</v>
      </c>
      <c r="K24" s="9">
        <v>0.12659999999999999</v>
      </c>
      <c r="L24" s="8">
        <v>-11.663</v>
      </c>
      <c r="M24" s="8">
        <v>-2.0000000000000001E-4</v>
      </c>
      <c r="N24" s="8">
        <v>8.0999999999999996E-3</v>
      </c>
      <c r="O24" s="8">
        <v>6.1899999999999997E-2</v>
      </c>
      <c r="P24" s="8">
        <v>-5.9999999999999995E-4</v>
      </c>
      <c r="Q24" s="8">
        <v>6.2600000000000003E-2</v>
      </c>
      <c r="R24" s="8">
        <v>-0.51329999999999998</v>
      </c>
      <c r="S24" s="8">
        <v>-5.0000000000000001E-4</v>
      </c>
      <c r="T24" s="150">
        <v>4.1500000000000002E-2</v>
      </c>
      <c r="U24" s="18">
        <v>-0.13450000000000001</v>
      </c>
      <c r="V24" s="9">
        <v>4</v>
      </c>
      <c r="W24" s="8">
        <v>4</v>
      </c>
      <c r="X24" s="8">
        <v>0.16520000000000001</v>
      </c>
      <c r="Y24" s="8">
        <v>0.47289999999999999</v>
      </c>
      <c r="Z24" s="8">
        <v>3.2201</v>
      </c>
      <c r="AA24" s="18">
        <v>-0.83499999999999996</v>
      </c>
    </row>
    <row r="25" spans="1:27" x14ac:dyDescent="0.3">
      <c r="A25" s="135" t="s">
        <v>458</v>
      </c>
      <c r="B25" s="136" t="s">
        <v>415</v>
      </c>
      <c r="C25" s="9">
        <v>4</v>
      </c>
      <c r="D25" s="8">
        <v>4</v>
      </c>
      <c r="E25" s="8">
        <v>6.7000000000000002E-3</v>
      </c>
      <c r="F25" s="8">
        <v>0.1217</v>
      </c>
      <c r="G25" s="8">
        <v>0.42480000000000001</v>
      </c>
      <c r="H25" s="8">
        <v>0.02</v>
      </c>
      <c r="I25" s="8">
        <v>-0.34839999999999999</v>
      </c>
      <c r="J25" s="18">
        <v>2.1242999999999999</v>
      </c>
      <c r="K25" s="9">
        <v>0.12659999999999999</v>
      </c>
      <c r="L25" s="8">
        <v>-11.663</v>
      </c>
      <c r="M25" s="8">
        <v>0</v>
      </c>
      <c r="N25" s="8">
        <v>0</v>
      </c>
      <c r="O25" s="8">
        <v>0</v>
      </c>
      <c r="P25" s="8">
        <v>3.0000000000000001E-3</v>
      </c>
      <c r="Q25" s="8">
        <v>0.1237</v>
      </c>
      <c r="R25" s="8">
        <v>0.59109999999999996</v>
      </c>
      <c r="S25" s="8">
        <v>2.9999999999999997E-4</v>
      </c>
      <c r="T25" s="8">
        <v>-4.5999999999999999E-3</v>
      </c>
      <c r="U25" s="18">
        <v>0.23619999999999999</v>
      </c>
      <c r="V25" s="9">
        <v>4</v>
      </c>
      <c r="W25" s="8">
        <v>4</v>
      </c>
      <c r="X25" s="8">
        <v>0.16520000000000001</v>
      </c>
      <c r="Y25" s="8">
        <v>0.47289999999999999</v>
      </c>
      <c r="Z25" s="8">
        <v>3.2235</v>
      </c>
      <c r="AA25" s="18">
        <v>-0.83499999999999996</v>
      </c>
    </row>
    <row r="26" spans="1:27" x14ac:dyDescent="0.3">
      <c r="A26" s="135" t="s">
        <v>458</v>
      </c>
      <c r="B26" s="136" t="s">
        <v>422</v>
      </c>
      <c r="C26" s="9">
        <v>4</v>
      </c>
      <c r="D26" s="8">
        <v>4</v>
      </c>
      <c r="E26" s="8">
        <v>-7.4000000000000003E-3</v>
      </c>
      <c r="F26" s="8">
        <v>0.29809999999999998</v>
      </c>
      <c r="G26" s="8">
        <v>1.3100000000000001E-2</v>
      </c>
      <c r="H26" s="8">
        <v>2.01E-2</v>
      </c>
      <c r="I26" s="8">
        <v>-0.35920000000000002</v>
      </c>
      <c r="J26" s="18">
        <v>2.1644000000000001</v>
      </c>
      <c r="K26" s="9">
        <v>7.9000000000000008E-3</v>
      </c>
      <c r="L26" s="8">
        <v>-0.72829999999999995</v>
      </c>
      <c r="M26" s="8">
        <v>-5.0000000000000001E-4</v>
      </c>
      <c r="N26" s="8">
        <v>2.8199999999999999E-2</v>
      </c>
      <c r="O26" s="8">
        <v>0.1893</v>
      </c>
      <c r="P26" s="8">
        <v>-4.0000000000000002E-4</v>
      </c>
      <c r="Q26" s="8">
        <v>5.0299999999999997E-2</v>
      </c>
      <c r="R26" s="8">
        <v>-0.50719999999999998</v>
      </c>
      <c r="S26" s="8">
        <v>-4.0000000000000002E-4</v>
      </c>
      <c r="T26" s="8">
        <v>4.24E-2</v>
      </c>
      <c r="U26" s="18">
        <v>-0.33579999999999999</v>
      </c>
      <c r="V26" s="9">
        <v>4</v>
      </c>
      <c r="W26" s="8">
        <v>4</v>
      </c>
      <c r="X26" s="8">
        <v>0.16520000000000001</v>
      </c>
      <c r="Y26" s="150">
        <v>0.47289999999999999</v>
      </c>
      <c r="Z26" s="8">
        <v>3.1745000000000001</v>
      </c>
      <c r="AA26" s="18">
        <v>-0.82499999999999996</v>
      </c>
    </row>
    <row r="27" spans="1:27" x14ac:dyDescent="0.3">
      <c r="A27" s="142" t="s">
        <v>459</v>
      </c>
      <c r="B27" s="136" t="s">
        <v>412</v>
      </c>
      <c r="C27" s="9">
        <v>4</v>
      </c>
      <c r="D27" s="8">
        <v>4</v>
      </c>
      <c r="E27" s="8">
        <v>1.1299999999999999E-2</v>
      </c>
      <c r="F27" s="150">
        <v>-1.8499999999999999E-2</v>
      </c>
      <c r="G27" s="8">
        <v>0.92300000000000004</v>
      </c>
      <c r="H27" s="8">
        <v>2.0199999999999999E-2</v>
      </c>
      <c r="I27" s="8">
        <v>-0.28739999999999999</v>
      </c>
      <c r="J27" s="18">
        <v>1.8664000000000001</v>
      </c>
      <c r="K27" s="9">
        <v>3.73E-2</v>
      </c>
      <c r="L27" s="8">
        <v>-3.4380000000000002</v>
      </c>
      <c r="M27" s="8">
        <v>0</v>
      </c>
      <c r="N27" s="8">
        <v>0</v>
      </c>
      <c r="O27" s="8">
        <v>0</v>
      </c>
      <c r="P27" s="8">
        <v>6.9199999999999998E-2</v>
      </c>
      <c r="Q27" s="8">
        <v>-1.7403</v>
      </c>
      <c r="R27" s="8">
        <v>43.369</v>
      </c>
      <c r="S27" s="8">
        <v>5.4999999999999997E-3</v>
      </c>
      <c r="T27" s="8">
        <v>-0.1792</v>
      </c>
      <c r="U27" s="18">
        <v>3.1631999999999998</v>
      </c>
      <c r="V27" s="9">
        <v>4</v>
      </c>
      <c r="W27" s="8">
        <v>4</v>
      </c>
      <c r="X27" s="8">
        <v>0.1222</v>
      </c>
      <c r="Y27" s="8">
        <v>0.58489999999999998</v>
      </c>
      <c r="Z27" s="8">
        <v>3.3403</v>
      </c>
      <c r="AA27" s="18">
        <v>-0.86499999999999999</v>
      </c>
    </row>
    <row r="28" spans="1:27" x14ac:dyDescent="0.3">
      <c r="A28" s="135" t="s">
        <v>459</v>
      </c>
      <c r="B28" s="136" t="s">
        <v>413</v>
      </c>
      <c r="C28" s="9">
        <v>4</v>
      </c>
      <c r="D28" s="8">
        <v>4</v>
      </c>
      <c r="E28" s="8">
        <v>9.7999999999999997E-3</v>
      </c>
      <c r="F28" s="8">
        <v>4.9500000000000002E-2</v>
      </c>
      <c r="G28" s="8">
        <v>0.61660000000000004</v>
      </c>
      <c r="H28" s="8">
        <v>2.0799999999999999E-2</v>
      </c>
      <c r="I28" s="8">
        <v>-0.36309999999999998</v>
      </c>
      <c r="J28" s="18">
        <v>2.1655000000000002</v>
      </c>
      <c r="K28" s="9">
        <v>3.73E-2</v>
      </c>
      <c r="L28" s="8">
        <v>-3.4380000000000002</v>
      </c>
      <c r="M28" s="8">
        <v>-1.6000000000000001E-3</v>
      </c>
      <c r="N28" s="8">
        <v>0.13639999999999999</v>
      </c>
      <c r="O28" s="8">
        <v>-1.1066</v>
      </c>
      <c r="P28" s="8">
        <v>5.0000000000000001E-3</v>
      </c>
      <c r="Q28" s="8">
        <v>-0.12659999999999999</v>
      </c>
      <c r="R28" s="8">
        <v>0.98850000000000005</v>
      </c>
      <c r="S28" s="8">
        <v>-2.9999999999999997E-4</v>
      </c>
      <c r="T28" s="8">
        <v>8.14E-2</v>
      </c>
      <c r="U28" s="18">
        <v>-0.80289999999999995</v>
      </c>
      <c r="V28" s="9">
        <v>4</v>
      </c>
      <c r="W28" s="8">
        <v>4</v>
      </c>
      <c r="X28" s="8">
        <v>0.12540000000000001</v>
      </c>
      <c r="Y28" s="8">
        <v>0.50090000000000001</v>
      </c>
      <c r="Z28" s="8">
        <v>3.3010999999999999</v>
      </c>
      <c r="AA28" s="18">
        <v>-0.85699999999999998</v>
      </c>
    </row>
    <row r="29" spans="1:27" x14ac:dyDescent="0.3">
      <c r="A29" s="135" t="s">
        <v>459</v>
      </c>
      <c r="B29" s="136" t="s">
        <v>253</v>
      </c>
      <c r="C29" s="9">
        <v>4</v>
      </c>
      <c r="D29" s="8">
        <v>4</v>
      </c>
      <c r="E29" s="8">
        <v>-4.8999999999999998E-3</v>
      </c>
      <c r="F29" s="8">
        <v>0.249</v>
      </c>
      <c r="G29" s="8">
        <v>0.1797</v>
      </c>
      <c r="H29" s="8">
        <v>2.0400000000000001E-2</v>
      </c>
      <c r="I29" s="8">
        <v>-0.3649</v>
      </c>
      <c r="J29" s="18">
        <v>2.1863999999999999</v>
      </c>
      <c r="K29" s="9">
        <v>0.12659999999999999</v>
      </c>
      <c r="L29" s="8">
        <v>-11.663</v>
      </c>
      <c r="M29" s="8">
        <v>-2.0000000000000001E-4</v>
      </c>
      <c r="N29" s="8">
        <v>8.0999999999999996E-3</v>
      </c>
      <c r="O29" s="8">
        <v>6.1899999999999997E-2</v>
      </c>
      <c r="P29" s="8">
        <v>-5.9999999999999995E-4</v>
      </c>
      <c r="Q29" s="8">
        <v>6.2600000000000003E-2</v>
      </c>
      <c r="R29" s="8">
        <v>-0.51329999999999998</v>
      </c>
      <c r="S29" s="8">
        <v>-5.0000000000000001E-4</v>
      </c>
      <c r="T29" s="150">
        <v>4.1500000000000002E-2</v>
      </c>
      <c r="U29" s="18">
        <v>-0.13450000000000001</v>
      </c>
      <c r="V29" s="9">
        <v>4</v>
      </c>
      <c r="W29" s="8">
        <v>4</v>
      </c>
      <c r="X29" s="8">
        <v>0.16520000000000001</v>
      </c>
      <c r="Y29" s="8">
        <v>0.47289999999999999</v>
      </c>
      <c r="Z29" s="8">
        <v>3.2201</v>
      </c>
      <c r="AA29" s="18">
        <v>-0.83499999999999996</v>
      </c>
    </row>
    <row r="30" spans="1:27" x14ac:dyDescent="0.3">
      <c r="A30" s="135" t="s">
        <v>459</v>
      </c>
      <c r="B30" s="136" t="s">
        <v>415</v>
      </c>
      <c r="C30" s="9">
        <v>4</v>
      </c>
      <c r="D30" s="8">
        <v>4</v>
      </c>
      <c r="E30" s="8">
        <v>6.7000000000000002E-3</v>
      </c>
      <c r="F30" s="8">
        <v>0.1217</v>
      </c>
      <c r="G30" s="8">
        <v>0.42480000000000001</v>
      </c>
      <c r="H30" s="8">
        <v>0.02</v>
      </c>
      <c r="I30" s="8">
        <v>-0.34839999999999999</v>
      </c>
      <c r="J30" s="18">
        <v>2.1242999999999999</v>
      </c>
      <c r="K30" s="9">
        <v>0.12659999999999999</v>
      </c>
      <c r="L30" s="8">
        <v>-11.663</v>
      </c>
      <c r="M30" s="8">
        <v>0</v>
      </c>
      <c r="N30" s="8">
        <v>0</v>
      </c>
      <c r="O30" s="8">
        <v>0</v>
      </c>
      <c r="P30" s="8">
        <v>3.0000000000000001E-3</v>
      </c>
      <c r="Q30" s="8">
        <v>0.1237</v>
      </c>
      <c r="R30" s="8">
        <v>0.59109999999999996</v>
      </c>
      <c r="S30" s="8">
        <v>2.9999999999999997E-4</v>
      </c>
      <c r="T30" s="8">
        <v>-4.5999999999999999E-3</v>
      </c>
      <c r="U30" s="18">
        <v>0.23619999999999999</v>
      </c>
      <c r="V30" s="9">
        <v>4</v>
      </c>
      <c r="W30" s="8">
        <v>4</v>
      </c>
      <c r="X30" s="8">
        <v>0.16520000000000001</v>
      </c>
      <c r="Y30" s="8">
        <v>0.47289999999999999</v>
      </c>
      <c r="Z30" s="8">
        <v>3.2235</v>
      </c>
      <c r="AA30" s="18">
        <v>-0.83499999999999996</v>
      </c>
    </row>
    <row r="31" spans="1:27" x14ac:dyDescent="0.3">
      <c r="A31" s="135" t="s">
        <v>459</v>
      </c>
      <c r="B31" s="136" t="s">
        <v>422</v>
      </c>
      <c r="C31" s="9">
        <v>4</v>
      </c>
      <c r="D31" s="8">
        <v>4</v>
      </c>
      <c r="E31" s="8">
        <v>-7.4000000000000003E-3</v>
      </c>
      <c r="F31" s="8">
        <v>0.29809999999999998</v>
      </c>
      <c r="G31" s="8">
        <v>1.3100000000000001E-2</v>
      </c>
      <c r="H31" s="8">
        <v>2.01E-2</v>
      </c>
      <c r="I31" s="8">
        <v>-0.35920000000000002</v>
      </c>
      <c r="J31" s="18">
        <v>2.1644000000000001</v>
      </c>
      <c r="K31" s="9">
        <v>7.9000000000000008E-3</v>
      </c>
      <c r="L31" s="8">
        <v>-0.72829999999999995</v>
      </c>
      <c r="M31" s="8">
        <v>-5.0000000000000001E-4</v>
      </c>
      <c r="N31" s="8">
        <v>2.8199999999999999E-2</v>
      </c>
      <c r="O31" s="8">
        <v>0.1893</v>
      </c>
      <c r="P31" s="8">
        <v>-4.0000000000000002E-4</v>
      </c>
      <c r="Q31" s="8">
        <v>5.0299999999999997E-2</v>
      </c>
      <c r="R31" s="8">
        <v>-0.50719999999999998</v>
      </c>
      <c r="S31" s="8">
        <v>-4.0000000000000002E-4</v>
      </c>
      <c r="T31" s="8">
        <v>4.24E-2</v>
      </c>
      <c r="U31" s="18">
        <v>-0.33579999999999999</v>
      </c>
      <c r="V31" s="9">
        <v>4</v>
      </c>
      <c r="W31" s="8">
        <v>4</v>
      </c>
      <c r="X31" s="8">
        <v>0.16520000000000001</v>
      </c>
      <c r="Y31" s="150">
        <v>0.47289999999999999</v>
      </c>
      <c r="Z31" s="8">
        <v>3.1745000000000001</v>
      </c>
      <c r="AA31" s="18">
        <v>-0.82499999999999996</v>
      </c>
    </row>
    <row r="32" spans="1:27" x14ac:dyDescent="0.3">
      <c r="A32" s="142" t="s">
        <v>460</v>
      </c>
      <c r="B32" s="136" t="s">
        <v>412</v>
      </c>
      <c r="C32" s="9">
        <v>4</v>
      </c>
      <c r="D32" s="8">
        <v>4</v>
      </c>
      <c r="E32" s="8">
        <v>1.21E-2</v>
      </c>
      <c r="F32" s="8">
        <v>-2.4299999999999999E-2</v>
      </c>
      <c r="G32" s="8">
        <v>0.93600000000000005</v>
      </c>
      <c r="H32" s="8">
        <v>2.0799999999999999E-2</v>
      </c>
      <c r="I32" s="8">
        <v>-0.30780000000000002</v>
      </c>
      <c r="J32" s="18">
        <v>1.9443999999999999</v>
      </c>
      <c r="K32" s="9">
        <v>3.73E-2</v>
      </c>
      <c r="L32" s="8">
        <v>-3.4380000000000002</v>
      </c>
      <c r="M32" s="8">
        <v>0</v>
      </c>
      <c r="N32" s="8">
        <v>0</v>
      </c>
      <c r="O32" s="8">
        <v>0</v>
      </c>
      <c r="P32" s="8">
        <v>7.5700000000000003E-2</v>
      </c>
      <c r="Q32" s="8">
        <v>-2.1080000000000001</v>
      </c>
      <c r="R32" s="8">
        <v>47.722999999999999</v>
      </c>
      <c r="S32" s="8">
        <v>6.1000000000000004E-3</v>
      </c>
      <c r="T32" s="8">
        <v>-0.21240000000000001</v>
      </c>
      <c r="U32" s="18">
        <v>3.7107000000000001</v>
      </c>
      <c r="V32" s="9">
        <v>4</v>
      </c>
      <c r="W32" s="8">
        <v>4</v>
      </c>
      <c r="X32" s="8">
        <v>8.8099999999999998E-2</v>
      </c>
      <c r="Y32" s="8">
        <v>0.61040000000000005</v>
      </c>
      <c r="Z32" s="8">
        <v>3.4045000000000001</v>
      </c>
      <c r="AA32" s="18">
        <v>-0.88100000000000001</v>
      </c>
    </row>
    <row r="33" spans="1:27" x14ac:dyDescent="0.3">
      <c r="A33" s="135" t="s">
        <v>460</v>
      </c>
      <c r="B33" s="136" t="s">
        <v>413</v>
      </c>
      <c r="C33" s="9">
        <v>4</v>
      </c>
      <c r="D33" s="8">
        <v>4</v>
      </c>
      <c r="E33" s="8">
        <v>8.6999999999999994E-3</v>
      </c>
      <c r="F33" s="8">
        <v>6.88E-2</v>
      </c>
      <c r="G33" s="8">
        <v>0.63470000000000004</v>
      </c>
      <c r="H33" s="8">
        <v>2.1499999999999998E-2</v>
      </c>
      <c r="I33" s="8">
        <v>-0.37619999999999998</v>
      </c>
      <c r="J33" s="18">
        <v>2.2162000000000002</v>
      </c>
      <c r="K33" s="9">
        <v>3.73E-2</v>
      </c>
      <c r="L33" s="8">
        <v>-3.4380000000000002</v>
      </c>
      <c r="M33" s="8">
        <v>-1.6000000000000001E-3</v>
      </c>
      <c r="N33" s="8">
        <v>0.13730000000000001</v>
      </c>
      <c r="O33" s="8">
        <v>-1.1191</v>
      </c>
      <c r="P33" s="8">
        <v>6.6E-3</v>
      </c>
      <c r="Q33" s="8">
        <v>-0.219</v>
      </c>
      <c r="R33" s="8">
        <v>2.0832999999999999</v>
      </c>
      <c r="S33" s="8">
        <v>-2.0000000000000001E-4</v>
      </c>
      <c r="T33" s="8">
        <v>7.6799999999999993E-2</v>
      </c>
      <c r="U33" s="18">
        <v>-0.59209999999999996</v>
      </c>
      <c r="V33" s="9">
        <v>4</v>
      </c>
      <c r="W33" s="8">
        <v>4</v>
      </c>
      <c r="X33" s="8">
        <v>9.5200000000000007E-2</v>
      </c>
      <c r="Y33" s="8">
        <v>0.55420000000000003</v>
      </c>
      <c r="Z33" s="8">
        <v>3.3708</v>
      </c>
      <c r="AA33" s="18">
        <v>-0.873</v>
      </c>
    </row>
    <row r="34" spans="1:27" x14ac:dyDescent="0.3">
      <c r="A34" s="135" t="s">
        <v>460</v>
      </c>
      <c r="B34" s="136" t="s">
        <v>253</v>
      </c>
      <c r="C34" s="9">
        <v>4</v>
      </c>
      <c r="D34" s="8">
        <v>4</v>
      </c>
      <c r="E34" s="8">
        <v>5.7999999999999996E-3</v>
      </c>
      <c r="F34" s="8">
        <v>8.8700000000000001E-2</v>
      </c>
      <c r="G34" s="8">
        <v>0.63500000000000001</v>
      </c>
      <c r="H34" s="8">
        <v>2.1299999999999999E-2</v>
      </c>
      <c r="I34" s="8">
        <v>-0.38200000000000001</v>
      </c>
      <c r="J34" s="18">
        <v>2.2370999999999999</v>
      </c>
      <c r="K34" s="9">
        <v>0.12659999999999999</v>
      </c>
      <c r="L34" s="8">
        <v>-11.663</v>
      </c>
      <c r="M34" s="8">
        <v>-4.0000000000000002E-4</v>
      </c>
      <c r="N34" s="8">
        <v>2.5700000000000001E-2</v>
      </c>
      <c r="O34" s="8">
        <v>0.1827</v>
      </c>
      <c r="P34" s="8">
        <v>-5.0000000000000001E-4</v>
      </c>
      <c r="Q34" s="8">
        <v>5.4699999999999999E-2</v>
      </c>
      <c r="R34" s="8">
        <v>-0.4304</v>
      </c>
      <c r="S34" s="8">
        <v>-5.9999999999999995E-4</v>
      </c>
      <c r="T34" s="8">
        <v>5.7200000000000001E-2</v>
      </c>
      <c r="U34" s="18">
        <v>-0.51559999999999995</v>
      </c>
      <c r="V34" s="9">
        <v>4</v>
      </c>
      <c r="W34" s="8">
        <v>4</v>
      </c>
      <c r="X34" s="8">
        <v>0.1207</v>
      </c>
      <c r="Y34" s="8">
        <v>0.54469999999999996</v>
      </c>
      <c r="Z34" s="8">
        <v>3.3041</v>
      </c>
      <c r="AA34" s="18">
        <v>-0.85799999999999998</v>
      </c>
    </row>
    <row r="35" spans="1:27" x14ac:dyDescent="0.3">
      <c r="A35" s="135" t="s">
        <v>460</v>
      </c>
      <c r="B35" s="136" t="s">
        <v>415</v>
      </c>
      <c r="C35" s="9">
        <v>4</v>
      </c>
      <c r="D35" s="8">
        <v>4</v>
      </c>
      <c r="E35" s="8">
        <v>2.3999999999999998E-3</v>
      </c>
      <c r="F35" s="8">
        <v>0.17430000000000001</v>
      </c>
      <c r="G35" s="8">
        <v>0.28870000000000001</v>
      </c>
      <c r="H35" s="8">
        <v>2.07E-2</v>
      </c>
      <c r="I35" s="8">
        <v>-0.3639</v>
      </c>
      <c r="J35" s="18">
        <v>2.1768999999999998</v>
      </c>
      <c r="K35" s="9">
        <v>0.12659999999999999</v>
      </c>
      <c r="L35" s="8">
        <v>-11.663</v>
      </c>
      <c r="M35" s="8">
        <v>0</v>
      </c>
      <c r="N35" s="8">
        <v>0</v>
      </c>
      <c r="O35" s="8">
        <v>0</v>
      </c>
      <c r="P35" s="8">
        <v>3.0000000000000001E-3</v>
      </c>
      <c r="Q35" s="8">
        <v>0.1221</v>
      </c>
      <c r="R35" s="8">
        <v>0.61050000000000004</v>
      </c>
      <c r="S35" s="8">
        <v>-6.9999999999999994E-5</v>
      </c>
      <c r="T35" s="8">
        <v>1.14E-2</v>
      </c>
      <c r="U35" s="18">
        <v>0.23910000000000001</v>
      </c>
      <c r="V35" s="9">
        <v>4</v>
      </c>
      <c r="W35" s="8">
        <v>4</v>
      </c>
      <c r="X35" s="8">
        <v>0.12820000000000001</v>
      </c>
      <c r="Y35" s="8">
        <v>0.51559999999999995</v>
      </c>
      <c r="Z35" s="8">
        <v>3.2993999999999999</v>
      </c>
      <c r="AA35" s="18">
        <v>-0.85699999999999998</v>
      </c>
    </row>
    <row r="36" spans="1:27" x14ac:dyDescent="0.3">
      <c r="A36" s="135" t="s">
        <v>460</v>
      </c>
      <c r="B36" s="136" t="s">
        <v>422</v>
      </c>
      <c r="C36" s="9">
        <v>4</v>
      </c>
      <c r="D36" s="8">
        <v>4</v>
      </c>
      <c r="E36" s="8">
        <v>5.5999999999999999E-3</v>
      </c>
      <c r="F36" s="8">
        <v>8.8800000000000004E-2</v>
      </c>
      <c r="G36" s="8">
        <v>0.57820000000000005</v>
      </c>
      <c r="H36" s="8">
        <v>2.1000000000000001E-2</v>
      </c>
      <c r="I36" s="8">
        <v>-0.37609999999999999</v>
      </c>
      <c r="J36" s="18">
        <v>2.2208999999999999</v>
      </c>
      <c r="K36" s="9">
        <v>7.9000000000000008E-3</v>
      </c>
      <c r="L36" s="8">
        <v>-0.72829999999999995</v>
      </c>
      <c r="M36" s="8">
        <v>-5.0000000000000001E-4</v>
      </c>
      <c r="N36" s="8">
        <v>2.8199999999999999E-2</v>
      </c>
      <c r="O36" s="8">
        <v>-0.1893</v>
      </c>
      <c r="P36" s="8">
        <v>-5.0000000000000001E-4</v>
      </c>
      <c r="Q36" s="8">
        <v>5.5300000000000002E-2</v>
      </c>
      <c r="R36" s="8">
        <v>-0.56689999999999996</v>
      </c>
      <c r="S36" s="8">
        <v>-4.0000000000000002E-4</v>
      </c>
      <c r="T36" s="8">
        <v>4.0599999999999997E-2</v>
      </c>
      <c r="U36" s="18">
        <v>-0.1321</v>
      </c>
      <c r="V36" s="9">
        <v>4</v>
      </c>
      <c r="W36" s="8">
        <v>4</v>
      </c>
      <c r="X36" s="8">
        <v>0.13420000000000001</v>
      </c>
      <c r="Y36" s="8">
        <v>0.43169999999999997</v>
      </c>
      <c r="Z36" s="8">
        <v>3.2572000000000001</v>
      </c>
      <c r="AA36" s="18">
        <v>-0.84799999999999998</v>
      </c>
    </row>
    <row r="37" spans="1:27" x14ac:dyDescent="0.3">
      <c r="A37" s="142" t="s">
        <v>461</v>
      </c>
      <c r="B37" s="136" t="s">
        <v>412</v>
      </c>
      <c r="C37" s="9">
        <v>4</v>
      </c>
      <c r="D37" s="8">
        <v>4</v>
      </c>
      <c r="E37" s="8">
        <v>1.1299999999999999E-2</v>
      </c>
      <c r="F37" s="150">
        <v>-1.8499999999999999E-2</v>
      </c>
      <c r="G37" s="8">
        <v>0.92300000000000004</v>
      </c>
      <c r="H37" s="8">
        <v>2.0199999999999999E-2</v>
      </c>
      <c r="I37" s="8">
        <v>-0.28739999999999999</v>
      </c>
      <c r="J37" s="18">
        <v>1.8664000000000001</v>
      </c>
      <c r="K37" s="9">
        <v>3.73E-2</v>
      </c>
      <c r="L37" s="8">
        <v>-3.4380000000000002</v>
      </c>
      <c r="M37" s="8">
        <v>0</v>
      </c>
      <c r="N37" s="8">
        <v>0</v>
      </c>
      <c r="O37" s="8">
        <v>0</v>
      </c>
      <c r="P37" s="8">
        <v>6.9199999999999998E-2</v>
      </c>
      <c r="Q37" s="8">
        <v>-1.7403</v>
      </c>
      <c r="R37" s="8">
        <v>43.369</v>
      </c>
      <c r="S37" s="8">
        <v>5.4999999999999997E-3</v>
      </c>
      <c r="T37" s="8">
        <v>-0.1792</v>
      </c>
      <c r="U37" s="18">
        <v>3.1631999999999998</v>
      </c>
      <c r="V37" s="9">
        <v>4</v>
      </c>
      <c r="W37" s="8">
        <v>4</v>
      </c>
      <c r="X37" s="8">
        <v>0.1222</v>
      </c>
      <c r="Y37" s="8">
        <v>0.58489999999999998</v>
      </c>
      <c r="Z37" s="8">
        <v>3.3403</v>
      </c>
      <c r="AA37" s="18">
        <v>-0.86499999999999999</v>
      </c>
    </row>
    <row r="38" spans="1:27" x14ac:dyDescent="0.3">
      <c r="A38" s="135" t="s">
        <v>461</v>
      </c>
      <c r="B38" s="136" t="s">
        <v>413</v>
      </c>
      <c r="C38" s="9">
        <v>4</v>
      </c>
      <c r="D38" s="8">
        <v>4</v>
      </c>
      <c r="E38" s="8">
        <v>9.7999999999999997E-3</v>
      </c>
      <c r="F38" s="8">
        <v>4.9500000000000002E-2</v>
      </c>
      <c r="G38" s="8">
        <v>0.61660000000000004</v>
      </c>
      <c r="H38" s="8">
        <v>2.0799999999999999E-2</v>
      </c>
      <c r="I38" s="8">
        <v>-0.36309999999999998</v>
      </c>
      <c r="J38" s="18">
        <v>2.1655000000000002</v>
      </c>
      <c r="K38" s="9">
        <v>3.73E-2</v>
      </c>
      <c r="L38" s="8">
        <v>-3.4380000000000002</v>
      </c>
      <c r="M38" s="8">
        <v>-1.6000000000000001E-3</v>
      </c>
      <c r="N38" s="8">
        <v>0.13639999999999999</v>
      </c>
      <c r="O38" s="8">
        <v>-1.1066</v>
      </c>
      <c r="P38" s="8">
        <v>5.0000000000000001E-3</v>
      </c>
      <c r="Q38" s="8">
        <v>-0.12659999999999999</v>
      </c>
      <c r="R38" s="8">
        <v>0.98850000000000005</v>
      </c>
      <c r="S38" s="8">
        <v>-2.9999999999999997E-4</v>
      </c>
      <c r="T38" s="8">
        <v>8.14E-2</v>
      </c>
      <c r="U38" s="18">
        <v>-0.80289999999999995</v>
      </c>
      <c r="V38" s="9">
        <v>4</v>
      </c>
      <c r="W38" s="8">
        <v>4</v>
      </c>
      <c r="X38" s="8">
        <v>0.12540000000000001</v>
      </c>
      <c r="Y38" s="8">
        <v>0.50090000000000001</v>
      </c>
      <c r="Z38" s="8">
        <v>3.3010999999999999</v>
      </c>
      <c r="AA38" s="18">
        <v>-0.85699999999999998</v>
      </c>
    </row>
    <row r="39" spans="1:27" x14ac:dyDescent="0.3">
      <c r="A39" s="135" t="s">
        <v>461</v>
      </c>
      <c r="B39" s="136" t="s">
        <v>253</v>
      </c>
      <c r="C39" s="9">
        <v>4</v>
      </c>
      <c r="D39" s="8">
        <v>4</v>
      </c>
      <c r="E39" s="8">
        <v>-4.8999999999999998E-3</v>
      </c>
      <c r="F39" s="8">
        <v>0.249</v>
      </c>
      <c r="G39" s="8">
        <v>0.1797</v>
      </c>
      <c r="H39" s="8">
        <v>2.0400000000000001E-2</v>
      </c>
      <c r="I39" s="8">
        <v>-0.3649</v>
      </c>
      <c r="J39" s="18">
        <v>2.1863999999999999</v>
      </c>
      <c r="K39" s="9">
        <v>0.12659999999999999</v>
      </c>
      <c r="L39" s="8">
        <v>-11.663</v>
      </c>
      <c r="M39" s="8">
        <v>-2.0000000000000001E-4</v>
      </c>
      <c r="N39" s="8">
        <v>8.0999999999999996E-3</v>
      </c>
      <c r="O39" s="8">
        <v>6.1899999999999997E-2</v>
      </c>
      <c r="P39" s="8">
        <v>-5.9999999999999995E-4</v>
      </c>
      <c r="Q39" s="8">
        <v>6.2600000000000003E-2</v>
      </c>
      <c r="R39" s="8">
        <v>-0.51329999999999998</v>
      </c>
      <c r="S39" s="8">
        <v>-5.0000000000000001E-4</v>
      </c>
      <c r="T39" s="150">
        <v>4.1500000000000002E-2</v>
      </c>
      <c r="U39" s="18">
        <v>-0.13450000000000001</v>
      </c>
      <c r="V39" s="9">
        <v>4</v>
      </c>
      <c r="W39" s="8">
        <v>4</v>
      </c>
      <c r="X39" s="8">
        <v>0.16520000000000001</v>
      </c>
      <c r="Y39" s="8">
        <v>0.47289999999999999</v>
      </c>
      <c r="Z39" s="8">
        <v>3.2201</v>
      </c>
      <c r="AA39" s="18">
        <v>-0.83499999999999996</v>
      </c>
    </row>
    <row r="40" spans="1:27" x14ac:dyDescent="0.3">
      <c r="A40" s="135" t="s">
        <v>461</v>
      </c>
      <c r="B40" s="136" t="s">
        <v>415</v>
      </c>
      <c r="C40" s="9">
        <v>4</v>
      </c>
      <c r="D40" s="8">
        <v>4</v>
      </c>
      <c r="E40" s="8">
        <v>6.7000000000000002E-3</v>
      </c>
      <c r="F40" s="8">
        <v>0.1217</v>
      </c>
      <c r="G40" s="8">
        <v>0.42480000000000001</v>
      </c>
      <c r="H40" s="8">
        <v>0.02</v>
      </c>
      <c r="I40" s="8">
        <v>-0.34839999999999999</v>
      </c>
      <c r="J40" s="18">
        <v>2.1242999999999999</v>
      </c>
      <c r="K40" s="9">
        <v>0.12659999999999999</v>
      </c>
      <c r="L40" s="8">
        <v>-11.663</v>
      </c>
      <c r="M40" s="8">
        <v>0</v>
      </c>
      <c r="N40" s="8">
        <v>0</v>
      </c>
      <c r="O40" s="8">
        <v>0</v>
      </c>
      <c r="P40" s="8">
        <v>3.0000000000000001E-3</v>
      </c>
      <c r="Q40" s="8">
        <v>0.1237</v>
      </c>
      <c r="R40" s="8">
        <v>0.59109999999999996</v>
      </c>
      <c r="S40" s="8">
        <v>2.9999999999999997E-4</v>
      </c>
      <c r="T40" s="8">
        <v>-4.5999999999999999E-3</v>
      </c>
      <c r="U40" s="18">
        <v>0.23619999999999999</v>
      </c>
      <c r="V40" s="9">
        <v>4</v>
      </c>
      <c r="W40" s="8">
        <v>4</v>
      </c>
      <c r="X40" s="8">
        <v>0.16520000000000001</v>
      </c>
      <c r="Y40" s="8">
        <v>0.47289999999999999</v>
      </c>
      <c r="Z40" s="8">
        <v>3.2235</v>
      </c>
      <c r="AA40" s="18">
        <v>-0.83499999999999996</v>
      </c>
    </row>
    <row r="41" spans="1:27" x14ac:dyDescent="0.3">
      <c r="A41" s="135" t="s">
        <v>461</v>
      </c>
      <c r="B41" s="136" t="s">
        <v>422</v>
      </c>
      <c r="C41" s="9">
        <v>4</v>
      </c>
      <c r="D41" s="8">
        <v>4</v>
      </c>
      <c r="E41" s="8">
        <v>-7.4000000000000003E-3</v>
      </c>
      <c r="F41" s="8">
        <v>0.29809999999999998</v>
      </c>
      <c r="G41" s="8">
        <v>1.3100000000000001E-2</v>
      </c>
      <c r="H41" s="8">
        <v>2.01E-2</v>
      </c>
      <c r="I41" s="8">
        <v>-0.35920000000000002</v>
      </c>
      <c r="J41" s="18">
        <v>2.1644000000000001</v>
      </c>
      <c r="K41" s="9">
        <v>7.9000000000000008E-3</v>
      </c>
      <c r="L41" s="8">
        <v>-0.72829999999999995</v>
      </c>
      <c r="M41" s="8">
        <v>-5.0000000000000001E-4</v>
      </c>
      <c r="N41" s="8">
        <v>2.8199999999999999E-2</v>
      </c>
      <c r="O41" s="8">
        <v>0.1893</v>
      </c>
      <c r="P41" s="8">
        <v>-4.0000000000000002E-4</v>
      </c>
      <c r="Q41" s="8">
        <v>5.0299999999999997E-2</v>
      </c>
      <c r="R41" s="8">
        <v>-0.50719999999999998</v>
      </c>
      <c r="S41" s="8">
        <v>-4.0000000000000002E-4</v>
      </c>
      <c r="T41" s="8">
        <v>4.24E-2</v>
      </c>
      <c r="U41" s="18">
        <v>-0.33579999999999999</v>
      </c>
      <c r="V41" s="9">
        <v>4</v>
      </c>
      <c r="W41" s="8">
        <v>4</v>
      </c>
      <c r="X41" s="8">
        <v>0.16520000000000001</v>
      </c>
      <c r="Y41" s="150">
        <v>0.47289999999999999</v>
      </c>
      <c r="Z41" s="8">
        <v>3.1745000000000001</v>
      </c>
      <c r="AA41" s="18">
        <v>-0.82499999999999996</v>
      </c>
    </row>
    <row r="42" spans="1:27" x14ac:dyDescent="0.3">
      <c r="A42" s="142" t="s">
        <v>462</v>
      </c>
      <c r="B42" s="136" t="s">
        <v>412</v>
      </c>
      <c r="C42" s="9">
        <v>4</v>
      </c>
      <c r="D42" s="8">
        <v>4</v>
      </c>
      <c r="E42" s="8">
        <v>7.7999999999999996E-3</v>
      </c>
      <c r="F42" s="8">
        <v>3.0200000000000001E-2</v>
      </c>
      <c r="G42" s="8">
        <v>0.75560000000000005</v>
      </c>
      <c r="H42" s="8">
        <v>2.07E-2</v>
      </c>
      <c r="I42" s="8">
        <v>-0.32869999999999999</v>
      </c>
      <c r="J42" s="18">
        <v>2.0286</v>
      </c>
      <c r="K42" s="9">
        <v>3.73E-2</v>
      </c>
      <c r="L42" s="8">
        <v>-3.4380000000000002</v>
      </c>
      <c r="M42" s="8">
        <v>0</v>
      </c>
      <c r="N42" s="8">
        <v>0</v>
      </c>
      <c r="O42" s="8">
        <v>0</v>
      </c>
      <c r="P42" s="8">
        <v>6.0199999999999997E-2</v>
      </c>
      <c r="Q42" s="8">
        <v>-1.0053000000000001</v>
      </c>
      <c r="R42" s="8">
        <v>33.161000000000001</v>
      </c>
      <c r="S42" s="8">
        <v>5.7999999999999996E-3</v>
      </c>
      <c r="T42" s="8">
        <v>-0.16550000000000001</v>
      </c>
      <c r="U42" s="18">
        <v>3.4085000000000001</v>
      </c>
      <c r="V42" s="9">
        <v>4</v>
      </c>
      <c r="W42" s="8">
        <v>4</v>
      </c>
      <c r="X42" s="150">
        <v>0.1124</v>
      </c>
      <c r="Y42" s="150">
        <v>0.65080000000000005</v>
      </c>
      <c r="Z42" s="8">
        <v>3.5015999999999998</v>
      </c>
      <c r="AA42" s="18">
        <v>-0.89900000000000002</v>
      </c>
    </row>
    <row r="43" spans="1:27" x14ac:dyDescent="0.3">
      <c r="A43" s="135" t="s">
        <v>462</v>
      </c>
      <c r="B43" s="136" t="s">
        <v>413</v>
      </c>
      <c r="C43" s="9">
        <v>4</v>
      </c>
      <c r="D43" s="8">
        <v>4</v>
      </c>
      <c r="E43" s="8">
        <v>5.5999999999999999E-3</v>
      </c>
      <c r="F43" s="8">
        <v>6.4000000000000001E-2</v>
      </c>
      <c r="G43" s="8">
        <v>0.64400000000000002</v>
      </c>
      <c r="H43" s="8">
        <v>2.2200000000000001E-2</v>
      </c>
      <c r="I43" s="8">
        <v>-0.39269999999999999</v>
      </c>
      <c r="J43" s="18">
        <v>2.2694000000000001</v>
      </c>
      <c r="K43" s="9">
        <v>3.73E-2</v>
      </c>
      <c r="L43" s="8">
        <v>-3.4380000000000002</v>
      </c>
      <c r="M43" s="8">
        <v>-1.6000000000000001E-3</v>
      </c>
      <c r="N43" s="8">
        <v>0.13730000000000001</v>
      </c>
      <c r="O43" s="8">
        <v>-1.1191</v>
      </c>
      <c r="P43" s="8">
        <v>5.0000000000000001E-3</v>
      </c>
      <c r="Q43" s="8">
        <v>-0.12659999999999999</v>
      </c>
      <c r="R43" s="8">
        <v>0.98850000000000005</v>
      </c>
      <c r="S43" s="8">
        <v>-4.0000000000000002E-4</v>
      </c>
      <c r="T43" s="8">
        <v>0.1045</v>
      </c>
      <c r="U43" s="18">
        <v>-0.94669999999999999</v>
      </c>
      <c r="V43" s="9">
        <v>4</v>
      </c>
      <c r="W43" s="8">
        <v>4</v>
      </c>
      <c r="X43" s="8">
        <v>0.1178</v>
      </c>
      <c r="Y43" s="8">
        <v>0.58819999999999995</v>
      </c>
      <c r="Z43" s="8">
        <v>3.4828000000000001</v>
      </c>
      <c r="AA43" s="18">
        <v>-0.89600000000000002</v>
      </c>
    </row>
    <row r="44" spans="1:27" x14ac:dyDescent="0.3">
      <c r="A44" s="135" t="s">
        <v>462</v>
      </c>
      <c r="B44" s="136" t="s">
        <v>253</v>
      </c>
      <c r="C44" s="9">
        <v>0</v>
      </c>
      <c r="D44" s="8">
        <v>0</v>
      </c>
      <c r="E44" s="8">
        <v>0</v>
      </c>
      <c r="F44" s="8">
        <v>0</v>
      </c>
      <c r="G44" s="8">
        <v>0</v>
      </c>
      <c r="H44" s="8">
        <v>0</v>
      </c>
      <c r="I44" s="8">
        <v>0</v>
      </c>
      <c r="J44" s="18">
        <v>0</v>
      </c>
      <c r="K44" s="9">
        <v>0</v>
      </c>
      <c r="L44" s="8">
        <v>0</v>
      </c>
      <c r="M44" s="8">
        <v>0</v>
      </c>
      <c r="N44" s="8">
        <v>0</v>
      </c>
      <c r="O44" s="8">
        <v>0</v>
      </c>
      <c r="P44" s="8">
        <v>0</v>
      </c>
      <c r="Q44" s="8">
        <v>0</v>
      </c>
      <c r="R44" s="8">
        <v>0</v>
      </c>
      <c r="S44" s="8">
        <v>0</v>
      </c>
      <c r="T44" s="8">
        <v>0</v>
      </c>
      <c r="U44" s="18">
        <v>0</v>
      </c>
      <c r="V44" s="9">
        <v>0</v>
      </c>
      <c r="W44" s="8">
        <v>0</v>
      </c>
      <c r="X44" s="8">
        <v>0</v>
      </c>
      <c r="Y44" s="8">
        <v>0</v>
      </c>
      <c r="Z44" s="8">
        <v>0</v>
      </c>
      <c r="AA44" s="18">
        <v>0</v>
      </c>
    </row>
    <row r="45" spans="1:27" x14ac:dyDescent="0.3">
      <c r="A45" s="135" t="s">
        <v>462</v>
      </c>
      <c r="B45" s="136" t="s">
        <v>415</v>
      </c>
      <c r="C45" s="9">
        <v>0</v>
      </c>
      <c r="D45" s="8">
        <v>0</v>
      </c>
      <c r="E45" s="8">
        <v>0</v>
      </c>
      <c r="F45" s="8">
        <v>0</v>
      </c>
      <c r="G45" s="8">
        <v>0</v>
      </c>
      <c r="H45" s="8">
        <v>0</v>
      </c>
      <c r="I45" s="8">
        <v>0</v>
      </c>
      <c r="J45" s="18">
        <v>0</v>
      </c>
      <c r="K45" s="9">
        <v>0</v>
      </c>
      <c r="L45" s="8">
        <v>0</v>
      </c>
      <c r="M45" s="8">
        <v>0</v>
      </c>
      <c r="N45" s="8">
        <v>0</v>
      </c>
      <c r="O45" s="8">
        <v>0</v>
      </c>
      <c r="P45" s="8">
        <v>0</v>
      </c>
      <c r="Q45" s="8">
        <v>0</v>
      </c>
      <c r="R45" s="8">
        <v>0</v>
      </c>
      <c r="S45" s="8">
        <v>0</v>
      </c>
      <c r="T45" s="8">
        <v>0</v>
      </c>
      <c r="U45" s="18">
        <v>0</v>
      </c>
      <c r="V45" s="9">
        <v>0</v>
      </c>
      <c r="W45" s="8">
        <v>0</v>
      </c>
      <c r="X45" s="8">
        <v>0</v>
      </c>
      <c r="Y45" s="8">
        <v>0</v>
      </c>
      <c r="Z45" s="8">
        <v>0</v>
      </c>
      <c r="AA45" s="18">
        <v>0</v>
      </c>
    </row>
    <row r="46" spans="1:27" x14ac:dyDescent="0.3">
      <c r="A46" s="135" t="s">
        <v>462</v>
      </c>
      <c r="B46" s="136" t="s">
        <v>422</v>
      </c>
      <c r="C46" s="9">
        <v>4</v>
      </c>
      <c r="D46" s="8">
        <v>4</v>
      </c>
      <c r="E46" s="8">
        <v>3.3E-3</v>
      </c>
      <c r="F46" s="8">
        <v>6.9500000000000006E-2</v>
      </c>
      <c r="G46" s="8">
        <v>0.73650000000000004</v>
      </c>
      <c r="H46" s="8">
        <v>2.2100000000000002E-2</v>
      </c>
      <c r="I46" s="8">
        <v>-0.3962</v>
      </c>
      <c r="J46" s="18">
        <v>2.2854000000000001</v>
      </c>
      <c r="K46" s="9">
        <v>7.9000000000000008E-3</v>
      </c>
      <c r="L46" s="8">
        <v>-0.72829999999999995</v>
      </c>
      <c r="M46" s="8">
        <v>-5.0000000000000001E-4</v>
      </c>
      <c r="N46" s="8">
        <v>2.8199999999999999E-2</v>
      </c>
      <c r="O46" s="8">
        <v>-0.1893</v>
      </c>
      <c r="P46" s="8">
        <v>-2.0000000000000001E-4</v>
      </c>
      <c r="Q46" s="8">
        <v>2.5700000000000001E-2</v>
      </c>
      <c r="R46" s="8">
        <v>0.23150000000000001</v>
      </c>
      <c r="S46" s="8">
        <v>-5.9999999999999995E-4</v>
      </c>
      <c r="T46" s="8">
        <v>5.62E-2</v>
      </c>
      <c r="U46" s="18">
        <v>-0.31440000000000001</v>
      </c>
      <c r="V46" s="9">
        <v>4</v>
      </c>
      <c r="W46" s="8">
        <v>4</v>
      </c>
      <c r="X46" s="8">
        <v>8.5900000000000004E-2</v>
      </c>
      <c r="Y46" s="8">
        <v>0.67859999999999998</v>
      </c>
      <c r="Z46" s="8">
        <v>3.4213</v>
      </c>
      <c r="AA46" s="18">
        <v>-0.88300000000000001</v>
      </c>
    </row>
    <row r="47" spans="1:27" x14ac:dyDescent="0.3">
      <c r="A47" s="142" t="s">
        <v>19</v>
      </c>
      <c r="B47" s="136" t="s">
        <v>412</v>
      </c>
      <c r="C47" s="9">
        <v>4</v>
      </c>
      <c r="D47" s="8">
        <v>4</v>
      </c>
      <c r="E47" s="8">
        <v>1.1900000000000001E-2</v>
      </c>
      <c r="F47" s="8">
        <v>-1.6E-2</v>
      </c>
      <c r="G47" s="8">
        <v>0.92569999999999997</v>
      </c>
      <c r="H47" s="8">
        <v>2.12E-2</v>
      </c>
      <c r="I47" s="8">
        <v>-0.32369999999999999</v>
      </c>
      <c r="J47" s="18">
        <v>2.0085999999999999</v>
      </c>
      <c r="K47" s="9">
        <v>3.73E-2</v>
      </c>
      <c r="L47" s="8">
        <v>-3.4380000000000002</v>
      </c>
      <c r="M47" s="8">
        <v>0</v>
      </c>
      <c r="N47" s="8">
        <v>0</v>
      </c>
      <c r="O47" s="8">
        <v>0</v>
      </c>
      <c r="P47" s="8">
        <v>6.6600000000000006E-2</v>
      </c>
      <c r="Q47" s="8">
        <v>-1.373</v>
      </c>
      <c r="R47" s="8">
        <v>37.515000000000001</v>
      </c>
      <c r="S47" s="8">
        <v>5.8999999999999999E-3</v>
      </c>
      <c r="T47" s="8">
        <v>-0.1845</v>
      </c>
      <c r="U47" s="18">
        <v>3.4752000000000001</v>
      </c>
      <c r="V47" s="9">
        <v>4</v>
      </c>
      <c r="W47" s="8">
        <v>4</v>
      </c>
      <c r="X47" s="8">
        <v>9.7299999999999998E-2</v>
      </c>
      <c r="Y47" s="8">
        <v>0.63890000000000002</v>
      </c>
      <c r="Z47" s="8">
        <v>3.4517000000000002</v>
      </c>
      <c r="AA47" s="18">
        <v>-0.88900000000000001</v>
      </c>
    </row>
    <row r="48" spans="1:27" x14ac:dyDescent="0.3">
      <c r="A48" s="135" t="s">
        <v>19</v>
      </c>
      <c r="B48" s="136" t="s">
        <v>413</v>
      </c>
      <c r="C48" s="9">
        <v>4</v>
      </c>
      <c r="D48" s="8">
        <v>4</v>
      </c>
      <c r="E48" s="8">
        <v>9.1999999999999998E-3</v>
      </c>
      <c r="F48" s="8">
        <v>5.8000000000000003E-2</v>
      </c>
      <c r="G48" s="8">
        <v>0.61219999999999997</v>
      </c>
      <c r="H48" s="8">
        <v>2.1899999999999999E-2</v>
      </c>
      <c r="I48" s="8">
        <v>-0.3851</v>
      </c>
      <c r="J48" s="18">
        <v>2.2431000000000001</v>
      </c>
      <c r="K48" s="150">
        <v>3.73E-2</v>
      </c>
      <c r="L48" s="8">
        <v>-3.4380000000000002</v>
      </c>
      <c r="M48" s="8">
        <v>-1.6000000000000001E-3</v>
      </c>
      <c r="N48" s="8">
        <v>0.13730000000000001</v>
      </c>
      <c r="O48" s="8">
        <v>-1.1191</v>
      </c>
      <c r="P48" s="8">
        <v>7.1000000000000004E-3</v>
      </c>
      <c r="Q48" s="8">
        <v>-0.247</v>
      </c>
      <c r="R48" s="8">
        <v>2.415</v>
      </c>
      <c r="S48" s="8">
        <v>-2.9999999999999997E-4</v>
      </c>
      <c r="T48" s="8">
        <v>9.06E-2</v>
      </c>
      <c r="U48" s="18">
        <v>-0.76929999999999998</v>
      </c>
      <c r="V48" s="9">
        <v>4</v>
      </c>
      <c r="W48" s="8">
        <v>4</v>
      </c>
      <c r="X48" s="8">
        <v>8.3900000000000002E-2</v>
      </c>
      <c r="Y48" s="8">
        <v>0.67689999999999995</v>
      </c>
      <c r="Z48" s="8">
        <v>3.4502999999999999</v>
      </c>
      <c r="AA48" s="18">
        <v>-0.88900000000000001</v>
      </c>
    </row>
    <row r="49" spans="1:27" x14ac:dyDescent="0.3">
      <c r="A49" s="135" t="s">
        <v>19</v>
      </c>
      <c r="B49" s="136" t="s">
        <v>253</v>
      </c>
      <c r="C49" s="9">
        <v>0</v>
      </c>
      <c r="D49" s="8">
        <v>0</v>
      </c>
      <c r="E49" s="8">
        <v>0</v>
      </c>
      <c r="F49" s="8">
        <v>0</v>
      </c>
      <c r="G49" s="8">
        <v>0</v>
      </c>
      <c r="H49" s="8">
        <v>0</v>
      </c>
      <c r="I49" s="8">
        <v>0</v>
      </c>
      <c r="J49" s="18">
        <v>0</v>
      </c>
      <c r="K49" s="9">
        <v>0</v>
      </c>
      <c r="L49" s="8">
        <v>0</v>
      </c>
      <c r="M49" s="8">
        <v>0</v>
      </c>
      <c r="N49" s="8">
        <v>0</v>
      </c>
      <c r="O49" s="8">
        <v>0</v>
      </c>
      <c r="P49" s="8">
        <v>0</v>
      </c>
      <c r="Q49" s="8">
        <v>0</v>
      </c>
      <c r="R49" s="8">
        <v>0</v>
      </c>
      <c r="S49" s="8">
        <v>0</v>
      </c>
      <c r="T49" s="8">
        <v>0</v>
      </c>
      <c r="U49" s="18">
        <v>0</v>
      </c>
      <c r="V49" s="9">
        <v>0</v>
      </c>
      <c r="W49" s="8">
        <v>0</v>
      </c>
      <c r="X49" s="8">
        <v>0</v>
      </c>
      <c r="Y49" s="8">
        <v>0</v>
      </c>
      <c r="Z49" s="8">
        <v>0</v>
      </c>
      <c r="AA49" s="18">
        <v>0</v>
      </c>
    </row>
    <row r="50" spans="1:27" x14ac:dyDescent="0.3">
      <c r="A50" s="135" t="s">
        <v>19</v>
      </c>
      <c r="B50" s="136" t="s">
        <v>415</v>
      </c>
      <c r="C50" s="9">
        <v>0</v>
      </c>
      <c r="D50" s="8">
        <v>0</v>
      </c>
      <c r="E50" s="8">
        <v>0</v>
      </c>
      <c r="F50" s="8">
        <v>0</v>
      </c>
      <c r="G50" s="8">
        <v>0</v>
      </c>
      <c r="H50" s="8">
        <v>0</v>
      </c>
      <c r="I50" s="8">
        <v>0</v>
      </c>
      <c r="J50" s="18">
        <v>0</v>
      </c>
      <c r="K50" s="9">
        <v>0</v>
      </c>
      <c r="L50" s="8">
        <v>0</v>
      </c>
      <c r="M50" s="8">
        <v>0</v>
      </c>
      <c r="N50" s="8">
        <v>0</v>
      </c>
      <c r="O50" s="8">
        <v>0</v>
      </c>
      <c r="P50" s="8">
        <v>0</v>
      </c>
      <c r="Q50" s="8">
        <v>0</v>
      </c>
      <c r="R50" s="8">
        <v>0</v>
      </c>
      <c r="S50" s="8">
        <v>0</v>
      </c>
      <c r="T50" s="8">
        <v>0</v>
      </c>
      <c r="U50" s="18">
        <v>0</v>
      </c>
      <c r="V50" s="9">
        <v>0</v>
      </c>
      <c r="W50" s="8">
        <v>0</v>
      </c>
      <c r="X50" s="8">
        <v>0</v>
      </c>
      <c r="Y50" s="8">
        <v>0</v>
      </c>
      <c r="Z50" s="8">
        <v>0</v>
      </c>
      <c r="AA50" s="18">
        <v>0</v>
      </c>
    </row>
    <row r="51" spans="1:27" x14ac:dyDescent="0.3">
      <c r="A51" s="135" t="s">
        <v>19</v>
      </c>
      <c r="B51" s="136" t="s">
        <v>422</v>
      </c>
      <c r="C51" s="9">
        <v>4</v>
      </c>
      <c r="D51" s="8">
        <v>4</v>
      </c>
      <c r="E51" s="8">
        <v>6.4000000000000003E-3</v>
      </c>
      <c r="F51" s="8">
        <v>5.1499999999999997E-2</v>
      </c>
      <c r="G51" s="8">
        <v>0.63439999999999996</v>
      </c>
      <c r="H51" s="8">
        <v>2.1299999999999999E-2</v>
      </c>
      <c r="I51" s="8">
        <v>0.38150000000000001</v>
      </c>
      <c r="J51" s="18">
        <v>2.2364000000000002</v>
      </c>
      <c r="K51" s="9">
        <v>7.9000000000000008E-3</v>
      </c>
      <c r="L51" s="8">
        <v>-0.72829999999999995</v>
      </c>
      <c r="M51" s="8">
        <v>-5.0000000000000001E-4</v>
      </c>
      <c r="N51" s="8">
        <v>2.8199999999999999E-2</v>
      </c>
      <c r="O51" s="8">
        <v>-0.1893</v>
      </c>
      <c r="P51" s="8">
        <v>-5.0000000000000001E-4</v>
      </c>
      <c r="Q51" s="8">
        <v>5.5300000000000002E-2</v>
      </c>
      <c r="R51" s="8">
        <v>-0.56689999999999996</v>
      </c>
      <c r="S51" s="8">
        <v>-5.9999999999999995E-4</v>
      </c>
      <c r="T51" s="8">
        <v>5.7200000000000001E-2</v>
      </c>
      <c r="U51" s="18">
        <v>-0.51559999999999995</v>
      </c>
      <c r="V51" s="9">
        <v>4</v>
      </c>
      <c r="W51" s="8">
        <v>4</v>
      </c>
      <c r="X51" s="8">
        <v>0.1027</v>
      </c>
      <c r="Y51" s="8">
        <v>0.45519999999999999</v>
      </c>
      <c r="Z51" s="8">
        <v>3.3010999999999999</v>
      </c>
      <c r="AA51" s="18">
        <v>-0.85899999999999999</v>
      </c>
    </row>
    <row r="52" spans="1:27" x14ac:dyDescent="0.3">
      <c r="A52" s="142" t="s">
        <v>20</v>
      </c>
      <c r="B52" s="136" t="s">
        <v>412</v>
      </c>
      <c r="C52" s="9">
        <v>4</v>
      </c>
      <c r="D52" s="8">
        <v>4</v>
      </c>
      <c r="E52" s="8">
        <v>1.52E-2</v>
      </c>
      <c r="F52" s="8">
        <v>-7.5399999999999995E-2</v>
      </c>
      <c r="G52" s="8">
        <v>1.0611999999999999</v>
      </c>
      <c r="H52" s="8">
        <v>5.4000000000000003E-3</v>
      </c>
      <c r="I52" s="8">
        <v>-9.5799999999999996E-2</v>
      </c>
      <c r="J52" s="18">
        <v>1.3250999999999999</v>
      </c>
      <c r="K52" s="9">
        <v>3.73E-2</v>
      </c>
      <c r="L52" s="150">
        <v>-3.4380000000000002</v>
      </c>
      <c r="M52" s="8">
        <v>0</v>
      </c>
      <c r="N52" s="8">
        <v>0</v>
      </c>
      <c r="O52" s="8">
        <v>0</v>
      </c>
      <c r="P52" s="8">
        <v>8.0699999999999994E-2</v>
      </c>
      <c r="Q52" s="8">
        <v>-1.7647999999999999</v>
      </c>
      <c r="R52" s="150">
        <v>50.161999999999999</v>
      </c>
      <c r="S52" s="8">
        <v>6.3E-3</v>
      </c>
      <c r="T52" s="8">
        <v>-0.21129999999999999</v>
      </c>
      <c r="U52" s="18">
        <v>3.6385999999999998</v>
      </c>
      <c r="V52" s="9">
        <v>4</v>
      </c>
      <c r="W52" s="8">
        <v>4</v>
      </c>
      <c r="X52" s="8">
        <v>0.12959999999999999</v>
      </c>
      <c r="Y52" s="8">
        <v>0.49259999999999998</v>
      </c>
      <c r="Z52" s="8">
        <v>3.3189000000000002</v>
      </c>
      <c r="AA52" s="18">
        <v>-0.86</v>
      </c>
    </row>
    <row r="53" spans="1:27" x14ac:dyDescent="0.3">
      <c r="A53" s="135" t="s">
        <v>20</v>
      </c>
      <c r="B53" s="136" t="s">
        <v>413</v>
      </c>
      <c r="C53" s="9">
        <v>4</v>
      </c>
      <c r="D53" s="8">
        <v>4</v>
      </c>
      <c r="E53" s="8">
        <v>1.7000000000000001E-2</v>
      </c>
      <c r="F53" s="151">
        <v>1.89E-2</v>
      </c>
      <c r="G53" s="8">
        <v>0.78359999999999996</v>
      </c>
      <c r="H53" s="8">
        <v>2.1000000000000001E-2</v>
      </c>
      <c r="I53" s="8">
        <v>-0.36009999999999998</v>
      </c>
      <c r="J53" s="18">
        <v>2.1619000000000002</v>
      </c>
      <c r="K53" s="9">
        <v>3.73E-2</v>
      </c>
      <c r="L53" s="8">
        <v>-3.4380000000000002</v>
      </c>
      <c r="M53" s="8">
        <v>-2.0999999999999999E-3</v>
      </c>
      <c r="N53" s="8">
        <v>0.17649999999999999</v>
      </c>
      <c r="O53" s="8">
        <v>-1.4389000000000001</v>
      </c>
      <c r="P53" s="8">
        <v>1.0999999999999999E-2</v>
      </c>
      <c r="Q53" s="8">
        <v>-0.25740000000000002</v>
      </c>
      <c r="R53" s="8">
        <v>6.3864000000000001</v>
      </c>
      <c r="S53" s="8">
        <v>-4.0000000000000002E-4</v>
      </c>
      <c r="T53" s="8">
        <v>9.4299999999999995E-2</v>
      </c>
      <c r="U53" s="18">
        <v>-0.77910000000000001</v>
      </c>
      <c r="V53" s="9">
        <v>4</v>
      </c>
      <c r="W53" s="8">
        <v>4</v>
      </c>
      <c r="X53" s="8">
        <v>0.13589999999999999</v>
      </c>
      <c r="Y53" s="8">
        <v>0.375</v>
      </c>
      <c r="Z53" s="8">
        <v>3.2502</v>
      </c>
      <c r="AA53" s="18">
        <v>-0.84499999999999997</v>
      </c>
    </row>
    <row r="54" spans="1:27" x14ac:dyDescent="0.3">
      <c r="A54" s="135" t="s">
        <v>20</v>
      </c>
      <c r="B54" s="136" t="s">
        <v>253</v>
      </c>
      <c r="C54" s="9">
        <v>4</v>
      </c>
      <c r="D54" s="8">
        <v>4</v>
      </c>
      <c r="E54" s="8">
        <v>-9.2999999999999992E-3</v>
      </c>
      <c r="F54" s="8">
        <v>0.41689999999999999</v>
      </c>
      <c r="G54" s="8">
        <v>-0.39800000000000002</v>
      </c>
      <c r="H54" s="8">
        <v>1.95E-2</v>
      </c>
      <c r="I54" s="8">
        <v>-0.3483</v>
      </c>
      <c r="J54" s="18">
        <v>2.1252</v>
      </c>
      <c r="K54" s="9">
        <v>0.11609999999999999</v>
      </c>
      <c r="L54" s="8">
        <v>-10.691000000000001</v>
      </c>
      <c r="M54" s="8">
        <v>-6.9999999999999999E-4</v>
      </c>
      <c r="N54" s="8">
        <v>3.6900000000000002E-2</v>
      </c>
      <c r="O54" s="8">
        <v>-0.24529999999999999</v>
      </c>
      <c r="P54" s="8">
        <v>-1.1999999999999999E-3</v>
      </c>
      <c r="Q54" s="8">
        <v>0.1363</v>
      </c>
      <c r="R54" s="8">
        <v>-1.2638</v>
      </c>
      <c r="S54" s="8">
        <v>-5.0000000000000001E-4</v>
      </c>
      <c r="T54" s="8">
        <v>4.3299999999999998E-2</v>
      </c>
      <c r="U54" s="18">
        <v>-0.3382</v>
      </c>
      <c r="V54" s="9">
        <v>4</v>
      </c>
      <c r="W54" s="8">
        <v>4</v>
      </c>
      <c r="X54" s="8">
        <v>0.14630000000000001</v>
      </c>
      <c r="Y54" s="8">
        <v>0.50790000000000002</v>
      </c>
      <c r="Z54" s="8">
        <v>3.1551</v>
      </c>
      <c r="AA54" s="18">
        <v>-0.81899999999999995</v>
      </c>
    </row>
    <row r="55" spans="1:27" x14ac:dyDescent="0.3">
      <c r="A55" s="135" t="s">
        <v>20</v>
      </c>
      <c r="B55" s="136" t="s">
        <v>415</v>
      </c>
      <c r="C55" s="9">
        <v>4</v>
      </c>
      <c r="D55" s="8">
        <v>4</v>
      </c>
      <c r="E55" s="8">
        <v>8.8000000000000005E-3</v>
      </c>
      <c r="F55" s="8">
        <v>9.2200000000000004E-2</v>
      </c>
      <c r="G55" s="8">
        <v>0.49209999999999998</v>
      </c>
      <c r="H55" s="8">
        <v>1.9800000000000002E-2</v>
      </c>
      <c r="I55" s="8">
        <v>-0.33600000000000002</v>
      </c>
      <c r="J55" s="18">
        <v>2.0684999999999998</v>
      </c>
      <c r="K55" s="9">
        <v>0.11609999999999999</v>
      </c>
      <c r="L55" s="8">
        <v>-10.691000000000001</v>
      </c>
      <c r="M55" s="8">
        <v>0</v>
      </c>
      <c r="N55" s="8">
        <v>0</v>
      </c>
      <c r="O55" s="8">
        <v>0</v>
      </c>
      <c r="P55" s="8">
        <v>3.3E-3</v>
      </c>
      <c r="Q55" s="8">
        <v>0.20219999999999999</v>
      </c>
      <c r="R55" s="8">
        <v>0.25779999999999997</v>
      </c>
      <c r="S55" s="8">
        <v>-6.9999999999999999E-6</v>
      </c>
      <c r="T55" s="8">
        <v>1.3599999999999999E-2</v>
      </c>
      <c r="U55" s="18">
        <v>-1.9E-3</v>
      </c>
      <c r="V55" s="9">
        <v>4</v>
      </c>
      <c r="W55" s="8">
        <v>4</v>
      </c>
      <c r="X55" s="8">
        <v>0.14630000000000001</v>
      </c>
      <c r="Y55" s="8">
        <v>0.50790000000000002</v>
      </c>
      <c r="Z55" s="8">
        <v>3.1480000000000001</v>
      </c>
      <c r="AA55" s="18">
        <v>-0.82099999999999995</v>
      </c>
    </row>
    <row r="56" spans="1:27" x14ac:dyDescent="0.3">
      <c r="A56" s="135" t="s">
        <v>20</v>
      </c>
      <c r="B56" s="136" t="s">
        <v>422</v>
      </c>
      <c r="C56" s="9">
        <v>4</v>
      </c>
      <c r="D56" s="8">
        <v>4</v>
      </c>
      <c r="E56" s="8">
        <v>-5.1000000000000004E-3</v>
      </c>
      <c r="F56" s="8">
        <v>0.3765</v>
      </c>
      <c r="G56" s="8">
        <v>-0.33710000000000001</v>
      </c>
      <c r="H56" s="150">
        <v>1.9300000000000001E-2</v>
      </c>
      <c r="I56" s="8">
        <v>-0.34449999999999997</v>
      </c>
      <c r="J56" s="18">
        <v>2.1183999999999998</v>
      </c>
      <c r="K56" s="9">
        <v>7.9000000000000008E-3</v>
      </c>
      <c r="L56" s="8">
        <v>-0.72829999999999995</v>
      </c>
      <c r="M56" s="8">
        <v>-5.0000000000000001E-4</v>
      </c>
      <c r="N56" s="8">
        <v>2.7300000000000001E-2</v>
      </c>
      <c r="O56" s="8">
        <v>-0.18690000000000001</v>
      </c>
      <c r="P56" s="8">
        <v>-8.0000000000000004E-4</v>
      </c>
      <c r="Q56" s="8">
        <v>0.10780000000000001</v>
      </c>
      <c r="R56" s="8">
        <v>-0.98560000000000003</v>
      </c>
      <c r="S56" s="151">
        <v>-4.0000000000000002E-4</v>
      </c>
      <c r="T56" s="8">
        <v>4.24E-2</v>
      </c>
      <c r="U56" s="18">
        <v>-0.33579999999999999</v>
      </c>
      <c r="V56" s="9">
        <v>4</v>
      </c>
      <c r="W56" s="8">
        <v>4</v>
      </c>
      <c r="X56" s="8">
        <v>0.1454</v>
      </c>
      <c r="Y56" s="8">
        <v>0.49480000000000002</v>
      </c>
      <c r="Z56" s="150">
        <v>3.1131000000000002</v>
      </c>
      <c r="AA56" s="18">
        <v>-0.81100000000000005</v>
      </c>
    </row>
    <row r="57" spans="1:27" x14ac:dyDescent="0.3">
      <c r="A57" s="135" t="s">
        <v>464</v>
      </c>
      <c r="B57" s="136" t="s">
        <v>412</v>
      </c>
      <c r="C57" s="9">
        <v>4</v>
      </c>
      <c r="D57" s="8">
        <v>4</v>
      </c>
      <c r="E57" s="8">
        <v>1.1299999999999999E-2</v>
      </c>
      <c r="F57" s="150">
        <v>-1.8499999999999999E-2</v>
      </c>
      <c r="G57" s="8">
        <v>0.92300000000000004</v>
      </c>
      <c r="H57" s="8">
        <v>2.0199999999999999E-2</v>
      </c>
      <c r="I57" s="8">
        <v>-0.28739999999999999</v>
      </c>
      <c r="J57" s="18">
        <v>1.8664000000000001</v>
      </c>
      <c r="K57" s="9">
        <v>3.73E-2</v>
      </c>
      <c r="L57" s="8">
        <v>-3.4380000000000002</v>
      </c>
      <c r="M57" s="8">
        <v>0</v>
      </c>
      <c r="N57" s="8">
        <v>0</v>
      </c>
      <c r="O57" s="8">
        <v>0</v>
      </c>
      <c r="P57" s="8">
        <v>6.9199999999999998E-2</v>
      </c>
      <c r="Q57" s="8">
        <v>-1.7403</v>
      </c>
      <c r="R57" s="8">
        <v>43.369</v>
      </c>
      <c r="S57" s="8">
        <v>5.4999999999999997E-3</v>
      </c>
      <c r="T57" s="8">
        <v>-0.1792</v>
      </c>
      <c r="U57" s="18">
        <v>3.1631999999999998</v>
      </c>
      <c r="V57" s="9">
        <v>4</v>
      </c>
      <c r="W57" s="8">
        <v>4</v>
      </c>
      <c r="X57" s="8">
        <v>0.1222</v>
      </c>
      <c r="Y57" s="8">
        <v>0.58489999999999998</v>
      </c>
      <c r="Z57" s="8">
        <v>3.3403</v>
      </c>
      <c r="AA57" s="18">
        <v>-0.86499999999999999</v>
      </c>
    </row>
    <row r="58" spans="1:27" x14ac:dyDescent="0.3">
      <c r="A58" s="135" t="s">
        <v>464</v>
      </c>
      <c r="B58" s="136" t="s">
        <v>413</v>
      </c>
      <c r="C58" s="9">
        <v>4</v>
      </c>
      <c r="D58" s="8">
        <v>4</v>
      </c>
      <c r="E58" s="8">
        <v>9.7999999999999997E-3</v>
      </c>
      <c r="F58" s="8">
        <v>4.9500000000000002E-2</v>
      </c>
      <c r="G58" s="8">
        <v>0.61660000000000004</v>
      </c>
      <c r="H58" s="8">
        <v>2.0799999999999999E-2</v>
      </c>
      <c r="I58" s="8">
        <v>-0.36309999999999998</v>
      </c>
      <c r="J58" s="18">
        <v>2.1655000000000002</v>
      </c>
      <c r="K58" s="9">
        <v>3.73E-2</v>
      </c>
      <c r="L58" s="8">
        <v>-3.4380000000000002</v>
      </c>
      <c r="M58" s="8">
        <v>-1.6000000000000001E-3</v>
      </c>
      <c r="N58" s="8">
        <v>0.13639999999999999</v>
      </c>
      <c r="O58" s="8">
        <v>-1.1066</v>
      </c>
      <c r="P58" s="8">
        <v>5.0000000000000001E-3</v>
      </c>
      <c r="Q58" s="8">
        <v>-0.12659999999999999</v>
      </c>
      <c r="R58" s="8">
        <v>0.98850000000000005</v>
      </c>
      <c r="S58" s="8">
        <v>-2.9999999999999997E-4</v>
      </c>
      <c r="T58" s="8">
        <v>8.14E-2</v>
      </c>
      <c r="U58" s="18">
        <v>-0.80289999999999995</v>
      </c>
      <c r="V58" s="9">
        <v>4</v>
      </c>
      <c r="W58" s="8">
        <v>4</v>
      </c>
      <c r="X58" s="8">
        <v>0.12540000000000001</v>
      </c>
      <c r="Y58" s="8">
        <v>0.50090000000000001</v>
      </c>
      <c r="Z58" s="8">
        <v>3.3010999999999999</v>
      </c>
      <c r="AA58" s="18">
        <v>-0.85699999999999998</v>
      </c>
    </row>
    <row r="59" spans="1:27" x14ac:dyDescent="0.3">
      <c r="A59" s="135" t="s">
        <v>464</v>
      </c>
      <c r="B59" s="136" t="s">
        <v>253</v>
      </c>
      <c r="C59" s="9">
        <v>4</v>
      </c>
      <c r="D59" s="8">
        <v>4</v>
      </c>
      <c r="E59" s="8">
        <v>-4.8999999999999998E-3</v>
      </c>
      <c r="F59" s="8">
        <v>0.249</v>
      </c>
      <c r="G59" s="8">
        <v>0.1797</v>
      </c>
      <c r="H59" s="8">
        <v>2.0400000000000001E-2</v>
      </c>
      <c r="I59" s="8">
        <v>-0.3649</v>
      </c>
      <c r="J59" s="18">
        <v>2.1863999999999999</v>
      </c>
      <c r="K59" s="9">
        <v>0.12659999999999999</v>
      </c>
      <c r="L59" s="8">
        <v>-11.663</v>
      </c>
      <c r="M59" s="8">
        <v>-2.0000000000000001E-4</v>
      </c>
      <c r="N59" s="8">
        <v>8.0999999999999996E-3</v>
      </c>
      <c r="O59" s="8">
        <v>6.1899999999999997E-2</v>
      </c>
      <c r="P59" s="8">
        <v>-5.9999999999999995E-4</v>
      </c>
      <c r="Q59" s="8">
        <v>6.2600000000000003E-2</v>
      </c>
      <c r="R59" s="8">
        <v>-0.51329999999999998</v>
      </c>
      <c r="S59" s="8">
        <v>-5.0000000000000001E-4</v>
      </c>
      <c r="T59" s="150">
        <v>4.1500000000000002E-2</v>
      </c>
      <c r="U59" s="18">
        <v>-0.13450000000000001</v>
      </c>
      <c r="V59" s="9">
        <v>4</v>
      </c>
      <c r="W59" s="8">
        <v>4</v>
      </c>
      <c r="X59" s="8">
        <v>0.16520000000000001</v>
      </c>
      <c r="Y59" s="8">
        <v>0.47289999999999999</v>
      </c>
      <c r="Z59" s="8">
        <v>3.2201</v>
      </c>
      <c r="AA59" s="18">
        <v>-0.83499999999999996</v>
      </c>
    </row>
    <row r="60" spans="1:27" x14ac:dyDescent="0.3">
      <c r="A60" s="135" t="s">
        <v>464</v>
      </c>
      <c r="B60" s="136" t="s">
        <v>415</v>
      </c>
      <c r="C60" s="9">
        <v>4</v>
      </c>
      <c r="D60" s="8">
        <v>4</v>
      </c>
      <c r="E60" s="8">
        <v>6.7000000000000002E-3</v>
      </c>
      <c r="F60" s="8">
        <v>0.1217</v>
      </c>
      <c r="G60" s="8">
        <v>0.42480000000000001</v>
      </c>
      <c r="H60" s="8">
        <v>0.02</v>
      </c>
      <c r="I60" s="8">
        <v>-0.34839999999999999</v>
      </c>
      <c r="J60" s="18">
        <v>2.1242999999999999</v>
      </c>
      <c r="K60" s="9">
        <v>0.12659999999999999</v>
      </c>
      <c r="L60" s="8">
        <v>-11.663</v>
      </c>
      <c r="M60" s="8">
        <v>0</v>
      </c>
      <c r="N60" s="8">
        <v>0</v>
      </c>
      <c r="O60" s="8">
        <v>0</v>
      </c>
      <c r="P60" s="8">
        <v>3.0000000000000001E-3</v>
      </c>
      <c r="Q60" s="8">
        <v>0.1237</v>
      </c>
      <c r="R60" s="8">
        <v>0.59109999999999996</v>
      </c>
      <c r="S60" s="8">
        <v>2.9999999999999997E-4</v>
      </c>
      <c r="T60" s="8">
        <v>-4.5999999999999999E-3</v>
      </c>
      <c r="U60" s="18">
        <v>0.23619999999999999</v>
      </c>
      <c r="V60" s="9">
        <v>4</v>
      </c>
      <c r="W60" s="8">
        <v>4</v>
      </c>
      <c r="X60" s="8">
        <v>0.16520000000000001</v>
      </c>
      <c r="Y60" s="8">
        <v>0.47289999999999999</v>
      </c>
      <c r="Z60" s="8">
        <v>3.2235</v>
      </c>
      <c r="AA60" s="18">
        <v>-0.83499999999999996</v>
      </c>
    </row>
    <row r="61" spans="1:27" ht="15" thickBot="1" x14ac:dyDescent="0.35">
      <c r="A61" s="146" t="s">
        <v>464</v>
      </c>
      <c r="B61" s="147" t="s">
        <v>422</v>
      </c>
      <c r="C61" s="148">
        <v>4</v>
      </c>
      <c r="D61" s="149">
        <v>4</v>
      </c>
      <c r="E61" s="149">
        <v>-7.4000000000000003E-3</v>
      </c>
      <c r="F61" s="149">
        <v>0.29809999999999998</v>
      </c>
      <c r="G61" s="149">
        <v>1.3100000000000001E-2</v>
      </c>
      <c r="H61" s="149">
        <v>2.01E-2</v>
      </c>
      <c r="I61" s="149">
        <v>-0.35920000000000002</v>
      </c>
      <c r="J61" s="31">
        <v>2.1644000000000001</v>
      </c>
      <c r="K61" s="148">
        <v>7.9000000000000008E-3</v>
      </c>
      <c r="L61" s="149">
        <v>-0.72829999999999995</v>
      </c>
      <c r="M61" s="149">
        <v>-5.0000000000000001E-4</v>
      </c>
      <c r="N61" s="149">
        <v>2.8199999999999999E-2</v>
      </c>
      <c r="O61" s="149">
        <v>0.1893</v>
      </c>
      <c r="P61" s="149">
        <v>-4.0000000000000002E-4</v>
      </c>
      <c r="Q61" s="149">
        <v>5.0299999999999997E-2</v>
      </c>
      <c r="R61" s="149">
        <v>-0.50719999999999998</v>
      </c>
      <c r="S61" s="149">
        <v>-4.0000000000000002E-4</v>
      </c>
      <c r="T61" s="149">
        <v>4.24E-2</v>
      </c>
      <c r="U61" s="31">
        <v>-0.33579999999999999</v>
      </c>
      <c r="V61" s="148">
        <v>4</v>
      </c>
      <c r="W61" s="149">
        <v>4</v>
      </c>
      <c r="X61" s="149">
        <v>0.16520000000000001</v>
      </c>
      <c r="Y61" s="149">
        <v>0.47289999999999999</v>
      </c>
      <c r="Z61" s="149">
        <v>3.1745000000000001</v>
      </c>
      <c r="AA61" s="31">
        <v>-0.82499999999999996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D2FBC-7CFC-4595-A8B1-06DA56BBB0BE}">
  <sheetPr>
    <tabColor rgb="FF5E7E76"/>
  </sheetPr>
  <dimension ref="A1:N1802"/>
  <sheetViews>
    <sheetView workbookViewId="0">
      <selection activeCell="G21" sqref="G21"/>
    </sheetView>
  </sheetViews>
  <sheetFormatPr defaultColWidth="24.109375" defaultRowHeight="14.4" x14ac:dyDescent="0.3"/>
  <sheetData>
    <row r="1" spans="1:14" x14ac:dyDescent="0.3">
      <c r="A1" s="127" t="s">
        <v>318</v>
      </c>
      <c r="B1" s="128" t="s">
        <v>411</v>
      </c>
      <c r="C1" s="128" t="s">
        <v>417</v>
      </c>
      <c r="D1" s="2" t="s">
        <v>399</v>
      </c>
      <c r="E1" s="3" t="s">
        <v>398</v>
      </c>
      <c r="F1" s="3" t="s">
        <v>401</v>
      </c>
      <c r="G1" s="16" t="s">
        <v>404</v>
      </c>
      <c r="H1" s="127" t="s">
        <v>419</v>
      </c>
      <c r="I1" s="128" t="s">
        <v>420</v>
      </c>
      <c r="J1" s="128" t="s">
        <v>421</v>
      </c>
      <c r="K1" s="2" t="s">
        <v>418</v>
      </c>
      <c r="L1" s="3" t="s">
        <v>400</v>
      </c>
      <c r="M1" s="3" t="s">
        <v>402</v>
      </c>
      <c r="N1" s="16" t="s">
        <v>448</v>
      </c>
    </row>
    <row r="2" spans="1:14" ht="15" thickBot="1" x14ac:dyDescent="0.35">
      <c r="A2" s="22" t="s">
        <v>7</v>
      </c>
      <c r="B2" s="129" t="s">
        <v>7</v>
      </c>
      <c r="C2" s="129" t="s">
        <v>7</v>
      </c>
      <c r="D2" s="5" t="s">
        <v>247</v>
      </c>
      <c r="E2" s="6" t="s">
        <v>247</v>
      </c>
      <c r="F2" s="6" t="s">
        <v>247</v>
      </c>
      <c r="G2" s="17" t="s">
        <v>247</v>
      </c>
      <c r="H2" s="22" t="s">
        <v>7</v>
      </c>
      <c r="I2" s="129" t="s">
        <v>7</v>
      </c>
      <c r="J2" s="129" t="s">
        <v>7</v>
      </c>
      <c r="K2" s="5" t="s">
        <v>247</v>
      </c>
      <c r="L2" s="6" t="s">
        <v>247</v>
      </c>
      <c r="M2" s="6" t="s">
        <v>247</v>
      </c>
      <c r="N2" s="17" t="s">
        <v>247</v>
      </c>
    </row>
    <row r="3" spans="1:14" x14ac:dyDescent="0.3">
      <c r="A3" s="130" t="s">
        <v>454</v>
      </c>
      <c r="B3" s="131" t="s">
        <v>412</v>
      </c>
      <c r="C3" s="131">
        <v>1</v>
      </c>
      <c r="D3" s="132">
        <v>0</v>
      </c>
      <c r="E3" s="133">
        <v>0</v>
      </c>
      <c r="F3" s="133">
        <v>0</v>
      </c>
      <c r="G3" s="134">
        <v>0</v>
      </c>
      <c r="H3" s="130" t="s">
        <v>454</v>
      </c>
      <c r="I3" s="131" t="s">
        <v>412</v>
      </c>
      <c r="J3" s="131">
        <v>1</v>
      </c>
      <c r="K3" s="132">
        <v>0</v>
      </c>
      <c r="L3" s="133">
        <v>0</v>
      </c>
      <c r="M3" s="133">
        <v>0</v>
      </c>
      <c r="N3" s="134">
        <v>0</v>
      </c>
    </row>
    <row r="4" spans="1:14" x14ac:dyDescent="0.3">
      <c r="A4" s="135" t="s">
        <v>454</v>
      </c>
      <c r="B4" s="136" t="s">
        <v>412</v>
      </c>
      <c r="C4" s="137">
        <v>2</v>
      </c>
      <c r="D4" s="9">
        <v>0</v>
      </c>
      <c r="E4" s="8">
        <v>0</v>
      </c>
      <c r="F4" s="8">
        <v>0</v>
      </c>
      <c r="G4" s="18">
        <v>0</v>
      </c>
      <c r="H4" s="135" t="s">
        <v>454</v>
      </c>
      <c r="I4" s="136" t="s">
        <v>412</v>
      </c>
      <c r="J4" s="137">
        <v>2</v>
      </c>
      <c r="K4" s="9">
        <v>0</v>
      </c>
      <c r="L4" s="8">
        <v>0</v>
      </c>
      <c r="M4" s="8">
        <v>0</v>
      </c>
      <c r="N4" s="18">
        <v>0</v>
      </c>
    </row>
    <row r="5" spans="1:14" x14ac:dyDescent="0.3">
      <c r="A5" s="135" t="s">
        <v>454</v>
      </c>
      <c r="B5" s="137" t="s">
        <v>412</v>
      </c>
      <c r="C5" s="137">
        <v>3</v>
      </c>
      <c r="D5" s="9">
        <v>0</v>
      </c>
      <c r="E5" s="8">
        <v>0</v>
      </c>
      <c r="F5" s="8">
        <v>0</v>
      </c>
      <c r="G5" s="18">
        <v>0</v>
      </c>
      <c r="H5" s="135" t="s">
        <v>454</v>
      </c>
      <c r="I5" s="137" t="s">
        <v>412</v>
      </c>
      <c r="J5" s="137">
        <v>3</v>
      </c>
      <c r="K5" s="9">
        <v>0</v>
      </c>
      <c r="L5" s="8">
        <v>0</v>
      </c>
      <c r="M5" s="8">
        <v>0</v>
      </c>
      <c r="N5" s="18">
        <v>0</v>
      </c>
    </row>
    <row r="6" spans="1:14" x14ac:dyDescent="0.3">
      <c r="A6" s="135" t="s">
        <v>454</v>
      </c>
      <c r="B6" s="137" t="s">
        <v>412</v>
      </c>
      <c r="C6" s="137">
        <v>4</v>
      </c>
      <c r="D6" s="9">
        <v>0</v>
      </c>
      <c r="E6" s="8">
        <v>0</v>
      </c>
      <c r="F6" s="8">
        <v>0</v>
      </c>
      <c r="G6" s="18">
        <v>0</v>
      </c>
      <c r="H6" s="135" t="s">
        <v>454</v>
      </c>
      <c r="I6" s="137" t="s">
        <v>412</v>
      </c>
      <c r="J6" s="137">
        <v>4</v>
      </c>
      <c r="K6" s="9">
        <v>0</v>
      </c>
      <c r="L6" s="8">
        <v>0</v>
      </c>
      <c r="M6" s="8">
        <v>0</v>
      </c>
      <c r="N6" s="18">
        <v>0</v>
      </c>
    </row>
    <row r="7" spans="1:14" x14ac:dyDescent="0.3">
      <c r="A7" s="135" t="s">
        <v>454</v>
      </c>
      <c r="B7" s="137" t="s">
        <v>412</v>
      </c>
      <c r="C7" s="137">
        <v>5</v>
      </c>
      <c r="D7" s="9">
        <v>0</v>
      </c>
      <c r="E7" s="8">
        <v>0</v>
      </c>
      <c r="F7" s="8">
        <v>0</v>
      </c>
      <c r="G7" s="18">
        <v>0</v>
      </c>
      <c r="H7" s="139" t="s">
        <v>454</v>
      </c>
      <c r="I7" s="136" t="s">
        <v>413</v>
      </c>
      <c r="J7" s="137">
        <v>1</v>
      </c>
      <c r="K7" s="9">
        <v>0</v>
      </c>
      <c r="L7" s="8">
        <v>0</v>
      </c>
      <c r="M7" s="8">
        <v>0</v>
      </c>
      <c r="N7" s="18">
        <v>0</v>
      </c>
    </row>
    <row r="8" spans="1:14" x14ac:dyDescent="0.3">
      <c r="A8" s="135" t="s">
        <v>454</v>
      </c>
      <c r="B8" s="137" t="s">
        <v>412</v>
      </c>
      <c r="C8" s="137">
        <v>6</v>
      </c>
      <c r="D8" s="9">
        <v>0</v>
      </c>
      <c r="E8" s="8">
        <v>0</v>
      </c>
      <c r="F8" s="8">
        <v>0</v>
      </c>
      <c r="G8" s="18">
        <v>0</v>
      </c>
      <c r="H8" s="135" t="s">
        <v>454</v>
      </c>
      <c r="I8" s="136" t="s">
        <v>413</v>
      </c>
      <c r="J8" s="137">
        <v>2</v>
      </c>
      <c r="K8" s="9">
        <v>0</v>
      </c>
      <c r="L8" s="8">
        <v>0</v>
      </c>
      <c r="M8" s="8">
        <v>0</v>
      </c>
      <c r="N8" s="18">
        <v>0</v>
      </c>
    </row>
    <row r="9" spans="1:14" x14ac:dyDescent="0.3">
      <c r="A9" s="135" t="s">
        <v>454</v>
      </c>
      <c r="B9" s="137" t="s">
        <v>412</v>
      </c>
      <c r="C9" s="137">
        <v>7</v>
      </c>
      <c r="D9" s="9">
        <v>0</v>
      </c>
      <c r="E9" s="8">
        <v>0</v>
      </c>
      <c r="F9" s="8">
        <v>0</v>
      </c>
      <c r="G9" s="18">
        <v>0</v>
      </c>
      <c r="H9" s="135" t="s">
        <v>454</v>
      </c>
      <c r="I9" s="137" t="s">
        <v>413</v>
      </c>
      <c r="J9" s="137">
        <v>3</v>
      </c>
      <c r="K9" s="9">
        <v>0</v>
      </c>
      <c r="L9" s="8">
        <v>0</v>
      </c>
      <c r="M9" s="8">
        <v>0</v>
      </c>
      <c r="N9" s="18">
        <v>0</v>
      </c>
    </row>
    <row r="10" spans="1:14" x14ac:dyDescent="0.3">
      <c r="A10" s="135" t="s">
        <v>454</v>
      </c>
      <c r="B10" s="137" t="s">
        <v>412</v>
      </c>
      <c r="C10" s="137">
        <v>8</v>
      </c>
      <c r="D10" s="9">
        <v>0</v>
      </c>
      <c r="E10" s="8">
        <v>0</v>
      </c>
      <c r="F10" s="8">
        <v>0</v>
      </c>
      <c r="G10" s="18">
        <v>0</v>
      </c>
      <c r="H10" s="135" t="s">
        <v>454</v>
      </c>
      <c r="I10" s="137" t="s">
        <v>413</v>
      </c>
      <c r="J10" s="137">
        <v>4</v>
      </c>
      <c r="K10" s="9">
        <v>0</v>
      </c>
      <c r="L10" s="8">
        <v>0</v>
      </c>
      <c r="M10" s="8">
        <v>0</v>
      </c>
      <c r="N10" s="18">
        <v>0</v>
      </c>
    </row>
    <row r="11" spans="1:14" x14ac:dyDescent="0.3">
      <c r="A11" s="135" t="s">
        <v>454</v>
      </c>
      <c r="B11" s="137" t="s">
        <v>412</v>
      </c>
      <c r="C11" s="137">
        <v>9</v>
      </c>
      <c r="D11" s="9">
        <v>0</v>
      </c>
      <c r="E11" s="8">
        <v>0</v>
      </c>
      <c r="F11" s="8">
        <v>0</v>
      </c>
      <c r="G11" s="18">
        <v>0</v>
      </c>
      <c r="H11" s="140" t="s">
        <v>454</v>
      </c>
      <c r="I11" s="136" t="s">
        <v>414</v>
      </c>
      <c r="J11" s="137">
        <v>1</v>
      </c>
      <c r="K11" s="9">
        <v>0</v>
      </c>
      <c r="L11" s="8">
        <v>0</v>
      </c>
      <c r="M11" s="8">
        <v>0</v>
      </c>
      <c r="N11" s="18">
        <v>0</v>
      </c>
    </row>
    <row r="12" spans="1:14" x14ac:dyDescent="0.3">
      <c r="A12" s="135" t="s">
        <v>454</v>
      </c>
      <c r="B12" s="137" t="s">
        <v>412</v>
      </c>
      <c r="C12" s="137">
        <v>10</v>
      </c>
      <c r="D12" s="9">
        <v>0</v>
      </c>
      <c r="E12" s="8">
        <v>0</v>
      </c>
      <c r="F12" s="8">
        <v>0</v>
      </c>
      <c r="G12" s="18">
        <v>0</v>
      </c>
      <c r="H12" s="135" t="s">
        <v>454</v>
      </c>
      <c r="I12" s="136" t="s">
        <v>414</v>
      </c>
      <c r="J12" s="137">
        <v>2</v>
      </c>
      <c r="K12" s="9">
        <v>0</v>
      </c>
      <c r="L12" s="8">
        <v>0</v>
      </c>
      <c r="M12" s="8">
        <v>0</v>
      </c>
      <c r="N12" s="18">
        <v>0</v>
      </c>
    </row>
    <row r="13" spans="1:14" x14ac:dyDescent="0.3">
      <c r="A13" s="135" t="s">
        <v>454</v>
      </c>
      <c r="B13" s="137" t="s">
        <v>412</v>
      </c>
      <c r="C13" s="137">
        <v>11</v>
      </c>
      <c r="D13" s="9">
        <v>0</v>
      </c>
      <c r="E13" s="8">
        <v>0</v>
      </c>
      <c r="F13" s="8">
        <v>0</v>
      </c>
      <c r="G13" s="18">
        <v>0</v>
      </c>
      <c r="H13" s="135" t="s">
        <v>454</v>
      </c>
      <c r="I13" s="137" t="s">
        <v>414</v>
      </c>
      <c r="J13" s="137">
        <v>3</v>
      </c>
      <c r="K13" s="9">
        <v>0</v>
      </c>
      <c r="L13" s="8">
        <v>0</v>
      </c>
      <c r="M13" s="8">
        <v>0</v>
      </c>
      <c r="N13" s="18">
        <v>0</v>
      </c>
    </row>
    <row r="14" spans="1:14" x14ac:dyDescent="0.3">
      <c r="A14" s="135" t="s">
        <v>454</v>
      </c>
      <c r="B14" s="137" t="s">
        <v>412</v>
      </c>
      <c r="C14" s="137">
        <v>12</v>
      </c>
      <c r="D14" s="9">
        <v>0</v>
      </c>
      <c r="E14" s="8">
        <v>0</v>
      </c>
      <c r="F14" s="8">
        <v>0</v>
      </c>
      <c r="G14" s="18">
        <v>0</v>
      </c>
      <c r="H14" s="138" t="s">
        <v>454</v>
      </c>
      <c r="I14" s="137" t="s">
        <v>414</v>
      </c>
      <c r="J14" s="137">
        <v>4</v>
      </c>
      <c r="K14" s="9">
        <v>0</v>
      </c>
      <c r="L14" s="8">
        <v>0</v>
      </c>
      <c r="M14" s="8">
        <v>0</v>
      </c>
      <c r="N14" s="18">
        <v>0</v>
      </c>
    </row>
    <row r="15" spans="1:14" x14ac:dyDescent="0.3">
      <c r="A15" s="135" t="s">
        <v>454</v>
      </c>
      <c r="B15" s="137" t="s">
        <v>412</v>
      </c>
      <c r="C15" s="137">
        <v>13</v>
      </c>
      <c r="D15" s="9">
        <v>0</v>
      </c>
      <c r="E15" s="8">
        <v>0</v>
      </c>
      <c r="F15" s="8">
        <v>0</v>
      </c>
      <c r="G15" s="18">
        <v>0</v>
      </c>
      <c r="H15" s="140" t="s">
        <v>454</v>
      </c>
      <c r="I15" s="136" t="s">
        <v>415</v>
      </c>
      <c r="J15" s="137">
        <v>1</v>
      </c>
      <c r="K15" s="9">
        <v>0</v>
      </c>
      <c r="L15" s="8">
        <v>0</v>
      </c>
      <c r="M15" s="8">
        <v>0</v>
      </c>
      <c r="N15" s="18">
        <v>0</v>
      </c>
    </row>
    <row r="16" spans="1:14" x14ac:dyDescent="0.3">
      <c r="A16" s="135" t="s">
        <v>454</v>
      </c>
      <c r="B16" s="137" t="s">
        <v>412</v>
      </c>
      <c r="C16" s="137">
        <v>14</v>
      </c>
      <c r="D16" s="9">
        <v>0</v>
      </c>
      <c r="E16" s="8">
        <v>0</v>
      </c>
      <c r="F16" s="8">
        <v>0</v>
      </c>
      <c r="G16" s="18">
        <v>0</v>
      </c>
      <c r="H16" s="135" t="s">
        <v>454</v>
      </c>
      <c r="I16" s="136" t="s">
        <v>415</v>
      </c>
      <c r="J16" s="137">
        <v>2</v>
      </c>
      <c r="K16" s="9">
        <v>0</v>
      </c>
      <c r="L16" s="8">
        <v>0</v>
      </c>
      <c r="M16" s="8">
        <v>0</v>
      </c>
      <c r="N16" s="18">
        <v>0</v>
      </c>
    </row>
    <row r="17" spans="1:14" x14ac:dyDescent="0.3">
      <c r="A17" s="135" t="s">
        <v>454</v>
      </c>
      <c r="B17" s="137" t="s">
        <v>412</v>
      </c>
      <c r="C17" s="137">
        <v>15</v>
      </c>
      <c r="D17" s="9">
        <v>0</v>
      </c>
      <c r="E17" s="8">
        <v>0</v>
      </c>
      <c r="F17" s="8">
        <v>0</v>
      </c>
      <c r="G17" s="18">
        <v>0</v>
      </c>
      <c r="H17" s="135" t="s">
        <v>454</v>
      </c>
      <c r="I17" s="137" t="s">
        <v>415</v>
      </c>
      <c r="J17" s="137">
        <v>3</v>
      </c>
      <c r="K17" s="9">
        <v>0</v>
      </c>
      <c r="L17" s="8">
        <v>0</v>
      </c>
      <c r="M17" s="8">
        <v>0</v>
      </c>
      <c r="N17" s="18">
        <v>0</v>
      </c>
    </row>
    <row r="18" spans="1:14" x14ac:dyDescent="0.3">
      <c r="A18" s="135" t="s">
        <v>454</v>
      </c>
      <c r="B18" s="137" t="s">
        <v>412</v>
      </c>
      <c r="C18" s="137">
        <v>16</v>
      </c>
      <c r="D18" s="9">
        <v>0</v>
      </c>
      <c r="E18" s="8">
        <v>0</v>
      </c>
      <c r="F18" s="8">
        <v>0</v>
      </c>
      <c r="G18" s="18">
        <v>0</v>
      </c>
      <c r="H18" s="135" t="s">
        <v>454</v>
      </c>
      <c r="I18" s="137" t="s">
        <v>415</v>
      </c>
      <c r="J18" s="137">
        <v>4</v>
      </c>
      <c r="K18" s="9">
        <v>0</v>
      </c>
      <c r="L18" s="8">
        <v>0</v>
      </c>
      <c r="M18" s="8">
        <v>0</v>
      </c>
      <c r="N18" s="18">
        <v>0</v>
      </c>
    </row>
    <row r="19" spans="1:14" x14ac:dyDescent="0.3">
      <c r="A19" s="135" t="s">
        <v>454</v>
      </c>
      <c r="B19" s="137" t="s">
        <v>412</v>
      </c>
      <c r="C19" s="137">
        <v>17</v>
      </c>
      <c r="D19" s="9">
        <v>0</v>
      </c>
      <c r="E19" s="8">
        <v>0</v>
      </c>
      <c r="F19" s="8">
        <v>0</v>
      </c>
      <c r="G19" s="18">
        <v>0</v>
      </c>
      <c r="H19" s="140" t="s">
        <v>454</v>
      </c>
      <c r="I19" s="136" t="s">
        <v>422</v>
      </c>
      <c r="J19" s="137">
        <v>1</v>
      </c>
      <c r="K19" s="9">
        <v>0</v>
      </c>
      <c r="L19" s="8">
        <v>0</v>
      </c>
      <c r="M19" s="8">
        <v>0</v>
      </c>
      <c r="N19" s="18">
        <v>0</v>
      </c>
    </row>
    <row r="20" spans="1:14" x14ac:dyDescent="0.3">
      <c r="A20" s="135" t="s">
        <v>454</v>
      </c>
      <c r="B20" s="137" t="s">
        <v>412</v>
      </c>
      <c r="C20" s="137">
        <v>18</v>
      </c>
      <c r="D20" s="9">
        <v>0</v>
      </c>
      <c r="E20" s="8">
        <v>0</v>
      </c>
      <c r="F20" s="8">
        <v>0</v>
      </c>
      <c r="G20" s="18">
        <v>0</v>
      </c>
      <c r="H20" s="135" t="s">
        <v>454</v>
      </c>
      <c r="I20" s="136" t="s">
        <v>422</v>
      </c>
      <c r="J20" s="137">
        <v>2</v>
      </c>
      <c r="K20" s="9">
        <v>0</v>
      </c>
      <c r="L20" s="8">
        <v>0</v>
      </c>
      <c r="M20" s="8">
        <v>0</v>
      </c>
      <c r="N20" s="18">
        <v>0</v>
      </c>
    </row>
    <row r="21" spans="1:14" x14ac:dyDescent="0.3">
      <c r="A21" s="135" t="s">
        <v>454</v>
      </c>
      <c r="B21" s="137" t="s">
        <v>412</v>
      </c>
      <c r="C21" s="137">
        <v>19</v>
      </c>
      <c r="D21" s="9">
        <v>0</v>
      </c>
      <c r="E21" s="8">
        <v>0</v>
      </c>
      <c r="F21" s="8">
        <v>0</v>
      </c>
      <c r="G21" s="18">
        <v>0</v>
      </c>
      <c r="H21" s="135" t="s">
        <v>454</v>
      </c>
      <c r="I21" s="137" t="s">
        <v>422</v>
      </c>
      <c r="J21" s="137">
        <v>3</v>
      </c>
      <c r="K21" s="9">
        <v>0</v>
      </c>
      <c r="L21" s="8">
        <v>0</v>
      </c>
      <c r="M21" s="8">
        <v>0</v>
      </c>
      <c r="N21" s="18">
        <v>0</v>
      </c>
    </row>
    <row r="22" spans="1:14" x14ac:dyDescent="0.3">
      <c r="A22" s="135" t="s">
        <v>454</v>
      </c>
      <c r="B22" s="137" t="s">
        <v>412</v>
      </c>
      <c r="C22" s="137">
        <v>20</v>
      </c>
      <c r="D22" s="9">
        <v>0</v>
      </c>
      <c r="E22" s="8">
        <v>0</v>
      </c>
      <c r="F22" s="8">
        <v>0</v>
      </c>
      <c r="G22" s="18">
        <v>0</v>
      </c>
      <c r="H22" s="135" t="s">
        <v>454</v>
      </c>
      <c r="I22" s="137" t="s">
        <v>422</v>
      </c>
      <c r="J22" s="137">
        <v>4</v>
      </c>
      <c r="K22" s="9">
        <v>0</v>
      </c>
      <c r="L22" s="8">
        <v>0</v>
      </c>
      <c r="M22" s="8">
        <v>0</v>
      </c>
      <c r="N22" s="18">
        <v>0</v>
      </c>
    </row>
    <row r="23" spans="1:14" x14ac:dyDescent="0.3">
      <c r="A23" s="135" t="s">
        <v>454</v>
      </c>
      <c r="B23" s="137" t="s">
        <v>412</v>
      </c>
      <c r="C23" s="137">
        <v>21</v>
      </c>
      <c r="D23" s="9">
        <v>0</v>
      </c>
      <c r="E23" s="8">
        <v>0</v>
      </c>
      <c r="F23" s="8">
        <v>0</v>
      </c>
      <c r="G23" s="18">
        <v>0</v>
      </c>
      <c r="H23" s="141" t="s">
        <v>455</v>
      </c>
      <c r="I23" s="136" t="s">
        <v>412</v>
      </c>
      <c r="J23" s="136">
        <v>1</v>
      </c>
      <c r="K23" s="9">
        <v>0</v>
      </c>
      <c r="L23" s="8">
        <v>0</v>
      </c>
      <c r="M23" s="8">
        <v>0</v>
      </c>
      <c r="N23" s="18">
        <v>0</v>
      </c>
    </row>
    <row r="24" spans="1:14" x14ac:dyDescent="0.3">
      <c r="A24" s="135" t="s">
        <v>454</v>
      </c>
      <c r="B24" s="137" t="s">
        <v>412</v>
      </c>
      <c r="C24" s="137">
        <v>22</v>
      </c>
      <c r="D24" s="9">
        <v>0</v>
      </c>
      <c r="E24" s="8">
        <v>0</v>
      </c>
      <c r="F24" s="8">
        <v>0</v>
      </c>
      <c r="G24" s="18">
        <v>0</v>
      </c>
      <c r="H24" s="135" t="s">
        <v>455</v>
      </c>
      <c r="I24" s="136" t="s">
        <v>412</v>
      </c>
      <c r="J24" s="137">
        <v>2</v>
      </c>
      <c r="K24" s="9">
        <v>0</v>
      </c>
      <c r="L24" s="8">
        <v>0</v>
      </c>
      <c r="M24" s="8">
        <v>0</v>
      </c>
      <c r="N24" s="18">
        <v>0</v>
      </c>
    </row>
    <row r="25" spans="1:14" x14ac:dyDescent="0.3">
      <c r="A25" s="135" t="s">
        <v>454</v>
      </c>
      <c r="B25" s="137" t="s">
        <v>412</v>
      </c>
      <c r="C25" s="137">
        <v>23</v>
      </c>
      <c r="D25" s="9">
        <v>0</v>
      </c>
      <c r="E25" s="8">
        <v>0</v>
      </c>
      <c r="F25" s="8">
        <v>0</v>
      </c>
      <c r="G25" s="18">
        <v>0</v>
      </c>
      <c r="H25" s="135" t="s">
        <v>455</v>
      </c>
      <c r="I25" s="137" t="s">
        <v>412</v>
      </c>
      <c r="J25" s="137">
        <v>3</v>
      </c>
      <c r="K25" s="9">
        <v>0</v>
      </c>
      <c r="L25" s="8">
        <v>0</v>
      </c>
      <c r="M25" s="8">
        <v>0</v>
      </c>
      <c r="N25" s="18">
        <v>0</v>
      </c>
    </row>
    <row r="26" spans="1:14" x14ac:dyDescent="0.3">
      <c r="A26" s="135" t="s">
        <v>454</v>
      </c>
      <c r="B26" s="137" t="s">
        <v>412</v>
      </c>
      <c r="C26" s="137">
        <v>24</v>
      </c>
      <c r="D26" s="9">
        <v>0</v>
      </c>
      <c r="E26" s="8">
        <v>0</v>
      </c>
      <c r="F26" s="8">
        <v>0</v>
      </c>
      <c r="G26" s="18">
        <v>0</v>
      </c>
      <c r="H26" s="135" t="s">
        <v>455</v>
      </c>
      <c r="I26" s="137" t="s">
        <v>412</v>
      </c>
      <c r="J26" s="137">
        <v>4</v>
      </c>
      <c r="K26" s="9">
        <v>0</v>
      </c>
      <c r="L26" s="8">
        <v>0</v>
      </c>
      <c r="M26" s="8">
        <v>0</v>
      </c>
      <c r="N26" s="18">
        <v>0</v>
      </c>
    </row>
    <row r="27" spans="1:14" x14ac:dyDescent="0.3">
      <c r="A27" s="135" t="s">
        <v>454</v>
      </c>
      <c r="B27" s="137" t="s">
        <v>412</v>
      </c>
      <c r="C27" s="137">
        <v>25</v>
      </c>
      <c r="D27" s="9">
        <v>0</v>
      </c>
      <c r="E27" s="8">
        <v>0</v>
      </c>
      <c r="F27" s="8">
        <v>0</v>
      </c>
      <c r="G27" s="18">
        <v>0</v>
      </c>
      <c r="H27" s="141" t="s">
        <v>455</v>
      </c>
      <c r="I27" s="136" t="s">
        <v>413</v>
      </c>
      <c r="J27" s="136">
        <v>1</v>
      </c>
      <c r="K27" s="9">
        <v>0</v>
      </c>
      <c r="L27" s="8">
        <v>0</v>
      </c>
      <c r="M27" s="8">
        <v>0</v>
      </c>
      <c r="N27" s="18">
        <v>0</v>
      </c>
    </row>
    <row r="28" spans="1:14" x14ac:dyDescent="0.3">
      <c r="A28" s="135" t="s">
        <v>454</v>
      </c>
      <c r="B28" s="137" t="s">
        <v>412</v>
      </c>
      <c r="C28" s="137">
        <v>26</v>
      </c>
      <c r="D28" s="9">
        <v>0</v>
      </c>
      <c r="E28" s="8">
        <v>0</v>
      </c>
      <c r="F28" s="8">
        <v>0</v>
      </c>
      <c r="G28" s="18">
        <v>0</v>
      </c>
      <c r="H28" s="135" t="s">
        <v>455</v>
      </c>
      <c r="I28" s="136" t="s">
        <v>413</v>
      </c>
      <c r="J28" s="137">
        <v>2</v>
      </c>
      <c r="K28" s="9">
        <v>0</v>
      </c>
      <c r="L28" s="8">
        <v>0</v>
      </c>
      <c r="M28" s="8">
        <v>0</v>
      </c>
      <c r="N28" s="18">
        <v>0</v>
      </c>
    </row>
    <row r="29" spans="1:14" x14ac:dyDescent="0.3">
      <c r="A29" s="135" t="s">
        <v>454</v>
      </c>
      <c r="B29" s="137" t="s">
        <v>412</v>
      </c>
      <c r="C29" s="137">
        <v>27</v>
      </c>
      <c r="D29" s="9">
        <v>0</v>
      </c>
      <c r="E29" s="8">
        <v>0</v>
      </c>
      <c r="F29" s="8">
        <v>0</v>
      </c>
      <c r="G29" s="18">
        <v>0</v>
      </c>
      <c r="H29" s="135" t="s">
        <v>455</v>
      </c>
      <c r="I29" s="137" t="s">
        <v>413</v>
      </c>
      <c r="J29" s="137">
        <v>3</v>
      </c>
      <c r="K29" s="9">
        <v>0</v>
      </c>
      <c r="L29" s="8">
        <v>0</v>
      </c>
      <c r="M29" s="8">
        <v>0</v>
      </c>
      <c r="N29" s="18">
        <v>0</v>
      </c>
    </row>
    <row r="30" spans="1:14" x14ac:dyDescent="0.3">
      <c r="A30" s="135" t="s">
        <v>454</v>
      </c>
      <c r="B30" s="137" t="s">
        <v>412</v>
      </c>
      <c r="C30" s="137">
        <v>28</v>
      </c>
      <c r="D30" s="9">
        <v>0</v>
      </c>
      <c r="E30" s="8">
        <v>0</v>
      </c>
      <c r="F30" s="8">
        <v>0</v>
      </c>
      <c r="G30" s="18">
        <v>0</v>
      </c>
      <c r="H30" s="135" t="s">
        <v>455</v>
      </c>
      <c r="I30" s="137" t="s">
        <v>413</v>
      </c>
      <c r="J30" s="137">
        <v>4</v>
      </c>
      <c r="K30" s="9">
        <v>0</v>
      </c>
      <c r="L30" s="8">
        <v>0</v>
      </c>
      <c r="M30" s="8">
        <v>0</v>
      </c>
      <c r="N30" s="18">
        <v>0</v>
      </c>
    </row>
    <row r="31" spans="1:14" x14ac:dyDescent="0.3">
      <c r="A31" s="135" t="s">
        <v>454</v>
      </c>
      <c r="B31" s="137" t="s">
        <v>412</v>
      </c>
      <c r="C31" s="137">
        <v>29</v>
      </c>
      <c r="D31" s="9">
        <v>0</v>
      </c>
      <c r="E31" s="8">
        <v>0</v>
      </c>
      <c r="F31" s="8">
        <v>0</v>
      </c>
      <c r="G31" s="18">
        <v>0</v>
      </c>
      <c r="H31" s="141" t="s">
        <v>455</v>
      </c>
      <c r="I31" s="136" t="s">
        <v>414</v>
      </c>
      <c r="J31" s="136">
        <v>1</v>
      </c>
      <c r="K31" s="9">
        <v>0</v>
      </c>
      <c r="L31" s="8">
        <v>0</v>
      </c>
      <c r="M31" s="8">
        <v>0</v>
      </c>
      <c r="N31" s="18">
        <v>0</v>
      </c>
    </row>
    <row r="32" spans="1:14" x14ac:dyDescent="0.3">
      <c r="A32" s="138" t="s">
        <v>454</v>
      </c>
      <c r="B32" s="137" t="s">
        <v>412</v>
      </c>
      <c r="C32" s="137">
        <v>30</v>
      </c>
      <c r="D32" s="9">
        <v>0</v>
      </c>
      <c r="E32" s="8">
        <v>0</v>
      </c>
      <c r="F32" s="8">
        <v>0</v>
      </c>
      <c r="G32" s="18">
        <v>0</v>
      </c>
      <c r="H32" s="135" t="s">
        <v>455</v>
      </c>
      <c r="I32" s="136" t="s">
        <v>414</v>
      </c>
      <c r="J32" s="137">
        <v>2</v>
      </c>
      <c r="K32" s="9">
        <v>0</v>
      </c>
      <c r="L32" s="8">
        <v>0</v>
      </c>
      <c r="M32" s="8">
        <v>0</v>
      </c>
      <c r="N32" s="18">
        <v>0</v>
      </c>
    </row>
    <row r="33" spans="1:14" x14ac:dyDescent="0.3">
      <c r="A33" s="139" t="s">
        <v>454</v>
      </c>
      <c r="B33" s="136" t="s">
        <v>413</v>
      </c>
      <c r="C33" s="137">
        <v>1</v>
      </c>
      <c r="D33" s="9">
        <v>0</v>
      </c>
      <c r="E33" s="8">
        <v>0</v>
      </c>
      <c r="F33" s="8">
        <v>0</v>
      </c>
      <c r="G33" s="18">
        <v>0</v>
      </c>
      <c r="H33" s="135" t="s">
        <v>455</v>
      </c>
      <c r="I33" s="137" t="s">
        <v>414</v>
      </c>
      <c r="J33" s="137">
        <v>3</v>
      </c>
      <c r="K33" s="9">
        <v>0</v>
      </c>
      <c r="L33" s="8">
        <v>0</v>
      </c>
      <c r="M33" s="8">
        <v>0</v>
      </c>
      <c r="N33" s="18">
        <v>0</v>
      </c>
    </row>
    <row r="34" spans="1:14" x14ac:dyDescent="0.3">
      <c r="A34" s="135" t="s">
        <v>454</v>
      </c>
      <c r="B34" s="136" t="s">
        <v>413</v>
      </c>
      <c r="C34" s="137">
        <v>2</v>
      </c>
      <c r="D34" s="9">
        <v>0</v>
      </c>
      <c r="E34" s="8">
        <v>0</v>
      </c>
      <c r="F34" s="8">
        <v>0</v>
      </c>
      <c r="G34" s="18">
        <v>0</v>
      </c>
      <c r="H34" s="135" t="s">
        <v>455</v>
      </c>
      <c r="I34" s="137" t="s">
        <v>414</v>
      </c>
      <c r="J34" s="137">
        <v>4</v>
      </c>
      <c r="K34" s="9">
        <v>0</v>
      </c>
      <c r="L34" s="8">
        <v>0</v>
      </c>
      <c r="M34" s="8">
        <v>0</v>
      </c>
      <c r="N34" s="18">
        <v>0</v>
      </c>
    </row>
    <row r="35" spans="1:14" x14ac:dyDescent="0.3">
      <c r="A35" s="135" t="s">
        <v>454</v>
      </c>
      <c r="B35" s="137" t="s">
        <v>413</v>
      </c>
      <c r="C35" s="137">
        <v>3</v>
      </c>
      <c r="D35" s="9">
        <v>0</v>
      </c>
      <c r="E35" s="8">
        <v>0</v>
      </c>
      <c r="F35" s="8">
        <v>0</v>
      </c>
      <c r="G35" s="18">
        <v>0</v>
      </c>
      <c r="H35" s="141" t="s">
        <v>455</v>
      </c>
      <c r="I35" s="136" t="s">
        <v>415</v>
      </c>
      <c r="J35" s="136">
        <v>1</v>
      </c>
      <c r="K35" s="9">
        <v>0</v>
      </c>
      <c r="L35" s="8">
        <v>0</v>
      </c>
      <c r="M35" s="8">
        <v>0</v>
      </c>
      <c r="N35" s="18">
        <v>0</v>
      </c>
    </row>
    <row r="36" spans="1:14" x14ac:dyDescent="0.3">
      <c r="A36" s="135" t="s">
        <v>454</v>
      </c>
      <c r="B36" s="137" t="s">
        <v>413</v>
      </c>
      <c r="C36" s="137">
        <v>4</v>
      </c>
      <c r="D36" s="9">
        <v>0</v>
      </c>
      <c r="E36" s="8">
        <v>0</v>
      </c>
      <c r="F36" s="8">
        <v>0</v>
      </c>
      <c r="G36" s="18">
        <v>0</v>
      </c>
      <c r="H36" s="135" t="s">
        <v>455</v>
      </c>
      <c r="I36" s="136" t="s">
        <v>415</v>
      </c>
      <c r="J36" s="137">
        <v>2</v>
      </c>
      <c r="K36" s="9">
        <v>0</v>
      </c>
      <c r="L36" s="8">
        <v>0</v>
      </c>
      <c r="M36" s="8">
        <v>0</v>
      </c>
      <c r="N36" s="18">
        <v>0</v>
      </c>
    </row>
    <row r="37" spans="1:14" x14ac:dyDescent="0.3">
      <c r="A37" s="135" t="s">
        <v>454</v>
      </c>
      <c r="B37" s="137" t="s">
        <v>413</v>
      </c>
      <c r="C37" s="137">
        <v>5</v>
      </c>
      <c r="D37" s="9">
        <v>0</v>
      </c>
      <c r="E37" s="8">
        <v>0</v>
      </c>
      <c r="F37" s="8">
        <v>0</v>
      </c>
      <c r="G37" s="18">
        <v>0</v>
      </c>
      <c r="H37" s="135" t="s">
        <v>455</v>
      </c>
      <c r="I37" s="137" t="s">
        <v>415</v>
      </c>
      <c r="J37" s="137">
        <v>3</v>
      </c>
      <c r="K37" s="9">
        <v>0</v>
      </c>
      <c r="L37" s="8">
        <v>0</v>
      </c>
      <c r="M37" s="8">
        <v>0</v>
      </c>
      <c r="N37" s="18">
        <v>0</v>
      </c>
    </row>
    <row r="38" spans="1:14" x14ac:dyDescent="0.3">
      <c r="A38" s="135" t="s">
        <v>454</v>
      </c>
      <c r="B38" s="137" t="s">
        <v>413</v>
      </c>
      <c r="C38" s="137">
        <v>6</v>
      </c>
      <c r="D38" s="9">
        <v>0</v>
      </c>
      <c r="E38" s="8">
        <v>0</v>
      </c>
      <c r="F38" s="8">
        <v>0</v>
      </c>
      <c r="G38" s="18">
        <v>0</v>
      </c>
      <c r="H38" s="135" t="s">
        <v>455</v>
      </c>
      <c r="I38" s="137" t="s">
        <v>415</v>
      </c>
      <c r="J38" s="137">
        <v>4</v>
      </c>
      <c r="K38" s="9">
        <v>0</v>
      </c>
      <c r="L38" s="8">
        <v>0</v>
      </c>
      <c r="M38" s="8">
        <v>0</v>
      </c>
      <c r="N38" s="18">
        <v>0</v>
      </c>
    </row>
    <row r="39" spans="1:14" x14ac:dyDescent="0.3">
      <c r="A39" s="135" t="s">
        <v>454</v>
      </c>
      <c r="B39" s="137" t="s">
        <v>413</v>
      </c>
      <c r="C39" s="137">
        <v>7</v>
      </c>
      <c r="D39" s="9">
        <v>0</v>
      </c>
      <c r="E39" s="8">
        <v>0</v>
      </c>
      <c r="F39" s="8">
        <v>0</v>
      </c>
      <c r="G39" s="18">
        <v>0</v>
      </c>
      <c r="H39" s="141" t="s">
        <v>455</v>
      </c>
      <c r="I39" s="136" t="s">
        <v>422</v>
      </c>
      <c r="J39" s="136">
        <v>1</v>
      </c>
      <c r="K39" s="9">
        <v>0</v>
      </c>
      <c r="L39" s="8">
        <v>0</v>
      </c>
      <c r="M39" s="8">
        <v>0</v>
      </c>
      <c r="N39" s="18">
        <v>0</v>
      </c>
    </row>
    <row r="40" spans="1:14" x14ac:dyDescent="0.3">
      <c r="A40" s="135" t="s">
        <v>454</v>
      </c>
      <c r="B40" s="137" t="s">
        <v>413</v>
      </c>
      <c r="C40" s="137">
        <v>8</v>
      </c>
      <c r="D40" s="9">
        <v>0</v>
      </c>
      <c r="E40" s="8">
        <v>0</v>
      </c>
      <c r="F40" s="8">
        <v>0</v>
      </c>
      <c r="G40" s="18">
        <v>0</v>
      </c>
      <c r="H40" s="135" t="s">
        <v>455</v>
      </c>
      <c r="I40" s="136" t="s">
        <v>422</v>
      </c>
      <c r="J40" s="137">
        <v>2</v>
      </c>
      <c r="K40" s="9">
        <v>0</v>
      </c>
      <c r="L40" s="8">
        <v>0</v>
      </c>
      <c r="M40" s="8">
        <v>0</v>
      </c>
      <c r="N40" s="18">
        <v>0</v>
      </c>
    </row>
    <row r="41" spans="1:14" x14ac:dyDescent="0.3">
      <c r="A41" s="135" t="s">
        <v>454</v>
      </c>
      <c r="B41" s="137" t="s">
        <v>413</v>
      </c>
      <c r="C41" s="137">
        <v>9</v>
      </c>
      <c r="D41" s="9">
        <v>0</v>
      </c>
      <c r="E41" s="8">
        <v>0</v>
      </c>
      <c r="F41" s="8">
        <v>0</v>
      </c>
      <c r="G41" s="18">
        <v>0</v>
      </c>
      <c r="H41" s="135" t="s">
        <v>455</v>
      </c>
      <c r="I41" s="137" t="s">
        <v>422</v>
      </c>
      <c r="J41" s="137">
        <v>3</v>
      </c>
      <c r="K41" s="9">
        <v>0</v>
      </c>
      <c r="L41" s="8">
        <v>0</v>
      </c>
      <c r="M41" s="8">
        <v>0</v>
      </c>
      <c r="N41" s="18">
        <v>0</v>
      </c>
    </row>
    <row r="42" spans="1:14" x14ac:dyDescent="0.3">
      <c r="A42" s="135" t="s">
        <v>454</v>
      </c>
      <c r="B42" s="137" t="s">
        <v>413</v>
      </c>
      <c r="C42" s="137">
        <v>10</v>
      </c>
      <c r="D42" s="9">
        <v>0</v>
      </c>
      <c r="E42" s="8">
        <v>0</v>
      </c>
      <c r="F42" s="8">
        <v>0</v>
      </c>
      <c r="G42" s="18">
        <v>0</v>
      </c>
      <c r="H42" s="135" t="s">
        <v>455</v>
      </c>
      <c r="I42" s="137" t="s">
        <v>422</v>
      </c>
      <c r="J42" s="137">
        <v>4</v>
      </c>
      <c r="K42" s="9">
        <v>0</v>
      </c>
      <c r="L42" s="8">
        <v>0</v>
      </c>
      <c r="M42" s="8">
        <v>0</v>
      </c>
      <c r="N42" s="18">
        <v>0</v>
      </c>
    </row>
    <row r="43" spans="1:14" x14ac:dyDescent="0.3">
      <c r="A43" s="135" t="s">
        <v>454</v>
      </c>
      <c r="B43" s="137" t="s">
        <v>413</v>
      </c>
      <c r="C43" s="137">
        <v>11</v>
      </c>
      <c r="D43" s="9">
        <v>0</v>
      </c>
      <c r="E43" s="8">
        <v>0</v>
      </c>
      <c r="F43" s="8">
        <v>0</v>
      </c>
      <c r="G43" s="18">
        <v>0</v>
      </c>
      <c r="H43" s="142" t="s">
        <v>456</v>
      </c>
      <c r="I43" s="143" t="s">
        <v>412</v>
      </c>
      <c r="J43" s="143">
        <v>1</v>
      </c>
      <c r="K43" s="150">
        <v>196.875</v>
      </c>
      <c r="L43" s="150">
        <v>28.56</v>
      </c>
      <c r="M43" s="150">
        <v>10.108000000000001</v>
      </c>
      <c r="N43" s="152">
        <v>55.25</v>
      </c>
    </row>
    <row r="44" spans="1:14" x14ac:dyDescent="0.3">
      <c r="A44" s="135" t="s">
        <v>454</v>
      </c>
      <c r="B44" s="137" t="s">
        <v>413</v>
      </c>
      <c r="C44" s="137">
        <v>12</v>
      </c>
      <c r="D44" s="9">
        <v>0</v>
      </c>
      <c r="E44" s="8">
        <v>0</v>
      </c>
      <c r="F44" s="8">
        <v>0</v>
      </c>
      <c r="G44" s="18">
        <v>0</v>
      </c>
      <c r="H44" s="135" t="s">
        <v>456</v>
      </c>
      <c r="I44" s="136" t="s">
        <v>412</v>
      </c>
      <c r="J44" s="137">
        <v>2</v>
      </c>
      <c r="K44" s="150">
        <v>196.875</v>
      </c>
      <c r="L44" s="150">
        <v>28.56</v>
      </c>
      <c r="M44" s="150">
        <v>13.118001</v>
      </c>
      <c r="N44" s="152">
        <v>42.000001000000005</v>
      </c>
    </row>
    <row r="45" spans="1:14" x14ac:dyDescent="0.3">
      <c r="A45" s="135" t="s">
        <v>454</v>
      </c>
      <c r="B45" s="137" t="s">
        <v>413</v>
      </c>
      <c r="C45" s="137">
        <v>13</v>
      </c>
      <c r="D45" s="9">
        <v>0</v>
      </c>
      <c r="E45" s="8">
        <v>0</v>
      </c>
      <c r="F45" s="8">
        <v>0</v>
      </c>
      <c r="G45" s="18">
        <v>0</v>
      </c>
      <c r="H45" s="135" t="s">
        <v>456</v>
      </c>
      <c r="I45" s="137" t="s">
        <v>412</v>
      </c>
      <c r="J45" s="137">
        <v>3</v>
      </c>
      <c r="K45" s="150">
        <v>196.875</v>
      </c>
      <c r="L45" s="150">
        <v>28.56</v>
      </c>
      <c r="M45" s="150">
        <v>14.121333333333334</v>
      </c>
      <c r="N45" s="152">
        <v>38.583333333333336</v>
      </c>
    </row>
    <row r="46" spans="1:14" x14ac:dyDescent="0.3">
      <c r="A46" s="135" t="s">
        <v>454</v>
      </c>
      <c r="B46" s="137" t="s">
        <v>413</v>
      </c>
      <c r="C46" s="137">
        <v>14</v>
      </c>
      <c r="D46" s="9">
        <v>0</v>
      </c>
      <c r="E46" s="8">
        <v>0</v>
      </c>
      <c r="F46" s="8">
        <v>0</v>
      </c>
      <c r="G46" s="18">
        <v>0</v>
      </c>
      <c r="H46" s="135" t="s">
        <v>456</v>
      </c>
      <c r="I46" s="137" t="s">
        <v>412</v>
      </c>
      <c r="J46" s="137">
        <v>4</v>
      </c>
      <c r="K46" s="150">
        <v>196.875</v>
      </c>
      <c r="L46" s="150">
        <v>28.56</v>
      </c>
      <c r="M46" s="150">
        <v>14.622999999999999</v>
      </c>
      <c r="N46" s="152">
        <v>37.5625</v>
      </c>
    </row>
    <row r="47" spans="1:14" x14ac:dyDescent="0.3">
      <c r="A47" s="135" t="s">
        <v>454</v>
      </c>
      <c r="B47" s="137" t="s">
        <v>413</v>
      </c>
      <c r="C47" s="137">
        <v>15</v>
      </c>
      <c r="D47" s="9">
        <v>0</v>
      </c>
      <c r="E47" s="8">
        <v>0</v>
      </c>
      <c r="F47" s="8">
        <v>0</v>
      </c>
      <c r="G47" s="18">
        <v>0</v>
      </c>
      <c r="H47" s="142" t="s">
        <v>456</v>
      </c>
      <c r="I47" s="143" t="s">
        <v>413</v>
      </c>
      <c r="J47" s="143">
        <v>1</v>
      </c>
      <c r="K47" s="150">
        <v>196.875</v>
      </c>
      <c r="L47" s="150">
        <v>28.56</v>
      </c>
      <c r="M47" s="150">
        <v>10.108000000000001</v>
      </c>
      <c r="N47" s="152">
        <v>28.25</v>
      </c>
    </row>
    <row r="48" spans="1:14" x14ac:dyDescent="0.3">
      <c r="A48" s="135" t="s">
        <v>454</v>
      </c>
      <c r="B48" s="137" t="s">
        <v>413</v>
      </c>
      <c r="C48" s="137">
        <v>16</v>
      </c>
      <c r="D48" s="9">
        <v>0</v>
      </c>
      <c r="E48" s="8">
        <v>0</v>
      </c>
      <c r="F48" s="8">
        <v>0</v>
      </c>
      <c r="G48" s="18">
        <v>0</v>
      </c>
      <c r="H48" s="135" t="s">
        <v>456</v>
      </c>
      <c r="I48" s="136" t="s">
        <v>413</v>
      </c>
      <c r="J48" s="137">
        <v>2</v>
      </c>
      <c r="K48" s="150">
        <v>196.875</v>
      </c>
      <c r="L48" s="150">
        <v>28.56</v>
      </c>
      <c r="M48" s="150">
        <v>13.118001</v>
      </c>
      <c r="N48" s="152">
        <v>27.75</v>
      </c>
    </row>
    <row r="49" spans="1:14" x14ac:dyDescent="0.3">
      <c r="A49" s="135" t="s">
        <v>454</v>
      </c>
      <c r="B49" s="137" t="s">
        <v>413</v>
      </c>
      <c r="C49" s="137">
        <v>17</v>
      </c>
      <c r="D49" s="9">
        <v>0</v>
      </c>
      <c r="E49" s="8">
        <v>0</v>
      </c>
      <c r="F49" s="8">
        <v>0</v>
      </c>
      <c r="G49" s="18">
        <v>0</v>
      </c>
      <c r="H49" s="135" t="s">
        <v>456</v>
      </c>
      <c r="I49" s="137" t="s">
        <v>413</v>
      </c>
      <c r="J49" s="137">
        <v>3</v>
      </c>
      <c r="K49" s="150">
        <v>196.875</v>
      </c>
      <c r="L49" s="150">
        <v>28.56</v>
      </c>
      <c r="M49" s="150">
        <v>14.121333333333334</v>
      </c>
      <c r="N49" s="152">
        <v>28.666667333333336</v>
      </c>
    </row>
    <row r="50" spans="1:14" x14ac:dyDescent="0.3">
      <c r="A50" s="135" t="s">
        <v>454</v>
      </c>
      <c r="B50" s="137" t="s">
        <v>413</v>
      </c>
      <c r="C50" s="137">
        <v>18</v>
      </c>
      <c r="D50" s="9">
        <v>0</v>
      </c>
      <c r="E50" s="8">
        <v>0</v>
      </c>
      <c r="F50" s="8">
        <v>0</v>
      </c>
      <c r="G50" s="18">
        <v>0</v>
      </c>
      <c r="H50" s="135" t="s">
        <v>456</v>
      </c>
      <c r="I50" s="137" t="s">
        <v>413</v>
      </c>
      <c r="J50" s="137">
        <v>4</v>
      </c>
      <c r="K50" s="150">
        <v>196.875</v>
      </c>
      <c r="L50" s="150">
        <v>28.56</v>
      </c>
      <c r="M50" s="150">
        <v>14.622999999999999</v>
      </c>
      <c r="N50" s="152">
        <v>29.875</v>
      </c>
    </row>
    <row r="51" spans="1:14" x14ac:dyDescent="0.3">
      <c r="A51" s="135" t="s">
        <v>454</v>
      </c>
      <c r="B51" s="137" t="s">
        <v>413</v>
      </c>
      <c r="C51" s="137">
        <v>19</v>
      </c>
      <c r="D51" s="9">
        <v>0</v>
      </c>
      <c r="E51" s="8">
        <v>0</v>
      </c>
      <c r="F51" s="8">
        <v>0</v>
      </c>
      <c r="G51" s="18">
        <v>0</v>
      </c>
      <c r="H51" s="142" t="s">
        <v>456</v>
      </c>
      <c r="I51" s="143" t="s">
        <v>414</v>
      </c>
      <c r="J51" s="143">
        <v>1</v>
      </c>
      <c r="K51" s="150">
        <v>196.875</v>
      </c>
      <c r="L51" s="150">
        <v>28.56</v>
      </c>
      <c r="M51" s="150">
        <v>10.108000000000001</v>
      </c>
      <c r="N51" s="152">
        <v>23.75</v>
      </c>
    </row>
    <row r="52" spans="1:14" x14ac:dyDescent="0.3">
      <c r="A52" s="135" t="s">
        <v>454</v>
      </c>
      <c r="B52" s="137" t="s">
        <v>413</v>
      </c>
      <c r="C52" s="137">
        <v>20</v>
      </c>
      <c r="D52" s="9">
        <v>0</v>
      </c>
      <c r="E52" s="8">
        <v>0</v>
      </c>
      <c r="F52" s="8">
        <v>0</v>
      </c>
      <c r="G52" s="18">
        <v>0</v>
      </c>
      <c r="H52" s="135" t="s">
        <v>456</v>
      </c>
      <c r="I52" s="136" t="s">
        <v>414</v>
      </c>
      <c r="J52" s="137">
        <v>2</v>
      </c>
      <c r="K52" s="150">
        <v>196.875</v>
      </c>
      <c r="L52" s="150">
        <v>28.56</v>
      </c>
      <c r="M52" s="150">
        <v>10.107999</v>
      </c>
      <c r="N52" s="152">
        <v>24.125001000000005</v>
      </c>
    </row>
    <row r="53" spans="1:14" x14ac:dyDescent="0.3">
      <c r="A53" s="135" t="s">
        <v>454</v>
      </c>
      <c r="B53" s="137" t="s">
        <v>413</v>
      </c>
      <c r="C53" s="137">
        <v>21</v>
      </c>
      <c r="D53" s="9">
        <v>0</v>
      </c>
      <c r="E53" s="8">
        <v>0</v>
      </c>
      <c r="F53" s="8">
        <v>0</v>
      </c>
      <c r="G53" s="18">
        <v>0</v>
      </c>
      <c r="H53" s="135" t="s">
        <v>456</v>
      </c>
      <c r="I53" s="137" t="s">
        <v>414</v>
      </c>
      <c r="J53" s="137">
        <v>3</v>
      </c>
      <c r="K53" s="150">
        <v>196.875</v>
      </c>
      <c r="L53" s="150">
        <v>28.56</v>
      </c>
      <c r="M53" s="150">
        <v>12.114666666666666</v>
      </c>
      <c r="N53" s="152">
        <v>25.583332333333335</v>
      </c>
    </row>
    <row r="54" spans="1:14" x14ac:dyDescent="0.3">
      <c r="A54" s="135" t="s">
        <v>454</v>
      </c>
      <c r="B54" s="137" t="s">
        <v>413</v>
      </c>
      <c r="C54" s="137">
        <v>22</v>
      </c>
      <c r="D54" s="9">
        <v>0</v>
      </c>
      <c r="E54" s="8">
        <v>0</v>
      </c>
      <c r="F54" s="8">
        <v>0</v>
      </c>
      <c r="G54" s="18">
        <v>0</v>
      </c>
      <c r="H54" s="135" t="s">
        <v>456</v>
      </c>
      <c r="I54" s="137" t="s">
        <v>414</v>
      </c>
      <c r="J54" s="137">
        <v>4</v>
      </c>
      <c r="K54" s="150">
        <v>196.875</v>
      </c>
      <c r="L54" s="150">
        <v>28.56</v>
      </c>
      <c r="M54" s="150">
        <v>13.118</v>
      </c>
      <c r="N54" s="152">
        <v>27.0625</v>
      </c>
    </row>
    <row r="55" spans="1:14" x14ac:dyDescent="0.3">
      <c r="A55" s="135" t="s">
        <v>454</v>
      </c>
      <c r="B55" s="137" t="s">
        <v>413</v>
      </c>
      <c r="C55" s="137">
        <v>23</v>
      </c>
      <c r="D55" s="9">
        <v>0</v>
      </c>
      <c r="E55" s="8">
        <v>0</v>
      </c>
      <c r="F55" s="8">
        <v>0</v>
      </c>
      <c r="G55" s="18">
        <v>0</v>
      </c>
      <c r="H55" s="142" t="s">
        <v>456</v>
      </c>
      <c r="I55" s="143" t="s">
        <v>415</v>
      </c>
      <c r="J55" s="143">
        <v>1</v>
      </c>
      <c r="K55" s="150">
        <v>196.875</v>
      </c>
      <c r="L55" s="150">
        <v>28.56</v>
      </c>
      <c r="M55" s="150">
        <v>10.108000000000001</v>
      </c>
      <c r="N55" s="152">
        <v>36.75</v>
      </c>
    </row>
    <row r="56" spans="1:14" x14ac:dyDescent="0.3">
      <c r="A56" s="135" t="s">
        <v>454</v>
      </c>
      <c r="B56" s="137" t="s">
        <v>413</v>
      </c>
      <c r="C56" s="137">
        <v>24</v>
      </c>
      <c r="D56" s="9">
        <v>0</v>
      </c>
      <c r="E56" s="8">
        <v>0</v>
      </c>
      <c r="F56" s="8">
        <v>0</v>
      </c>
      <c r="G56" s="18">
        <v>0</v>
      </c>
      <c r="H56" s="135" t="s">
        <v>456</v>
      </c>
      <c r="I56" s="136" t="s">
        <v>415</v>
      </c>
      <c r="J56" s="137">
        <v>2</v>
      </c>
      <c r="K56" s="150">
        <v>196.875</v>
      </c>
      <c r="L56" s="150">
        <v>28.56</v>
      </c>
      <c r="M56" s="150">
        <v>10.107999</v>
      </c>
      <c r="N56" s="152">
        <v>30.750001000000005</v>
      </c>
    </row>
    <row r="57" spans="1:14" x14ac:dyDescent="0.3">
      <c r="A57" s="135" t="s">
        <v>454</v>
      </c>
      <c r="B57" s="137" t="s">
        <v>413</v>
      </c>
      <c r="C57" s="137">
        <v>25</v>
      </c>
      <c r="D57" s="9">
        <v>0</v>
      </c>
      <c r="E57" s="8">
        <v>0</v>
      </c>
      <c r="F57" s="8">
        <v>0</v>
      </c>
      <c r="G57" s="18">
        <v>0</v>
      </c>
      <c r="H57" s="135" t="s">
        <v>456</v>
      </c>
      <c r="I57" s="137" t="s">
        <v>415</v>
      </c>
      <c r="J57" s="137">
        <v>3</v>
      </c>
      <c r="K57" s="150">
        <v>196.875</v>
      </c>
      <c r="L57" s="150">
        <v>28.56</v>
      </c>
      <c r="M57" s="150">
        <v>12.114666666666666</v>
      </c>
      <c r="N57" s="152">
        <v>29.916666666666668</v>
      </c>
    </row>
    <row r="58" spans="1:14" x14ac:dyDescent="0.3">
      <c r="A58" s="135" t="s">
        <v>454</v>
      </c>
      <c r="B58" s="137" t="s">
        <v>413</v>
      </c>
      <c r="C58" s="137">
        <v>26</v>
      </c>
      <c r="D58" s="9">
        <v>0</v>
      </c>
      <c r="E58" s="8">
        <v>0</v>
      </c>
      <c r="F58" s="8">
        <v>0</v>
      </c>
      <c r="G58" s="18">
        <v>0</v>
      </c>
      <c r="H58" s="135" t="s">
        <v>456</v>
      </c>
      <c r="I58" s="137" t="s">
        <v>415</v>
      </c>
      <c r="J58" s="137">
        <v>4</v>
      </c>
      <c r="K58" s="150">
        <v>196.875</v>
      </c>
      <c r="L58" s="150">
        <v>28.56</v>
      </c>
      <c r="M58" s="150">
        <v>13.118</v>
      </c>
      <c r="N58" s="152">
        <v>30.3125</v>
      </c>
    </row>
    <row r="59" spans="1:14" x14ac:dyDescent="0.3">
      <c r="A59" s="135" t="s">
        <v>454</v>
      </c>
      <c r="B59" s="137" t="s">
        <v>413</v>
      </c>
      <c r="C59" s="137">
        <v>27</v>
      </c>
      <c r="D59" s="9">
        <v>0</v>
      </c>
      <c r="E59" s="8">
        <v>0</v>
      </c>
      <c r="F59" s="8">
        <v>0</v>
      </c>
      <c r="G59" s="18">
        <v>0</v>
      </c>
      <c r="H59" s="142" t="s">
        <v>456</v>
      </c>
      <c r="I59" s="143" t="s">
        <v>422</v>
      </c>
      <c r="J59" s="143">
        <v>1</v>
      </c>
      <c r="K59" s="150">
        <v>196.875</v>
      </c>
      <c r="L59" s="150">
        <v>28.56</v>
      </c>
      <c r="M59" s="150">
        <v>10.108000000000001</v>
      </c>
      <c r="N59" s="152">
        <v>23</v>
      </c>
    </row>
    <row r="60" spans="1:14" x14ac:dyDescent="0.3">
      <c r="A60" s="135" t="s">
        <v>454</v>
      </c>
      <c r="B60" s="137" t="s">
        <v>413</v>
      </c>
      <c r="C60" s="137">
        <v>28</v>
      </c>
      <c r="D60" s="9">
        <v>0</v>
      </c>
      <c r="E60" s="8">
        <v>0</v>
      </c>
      <c r="F60" s="8">
        <v>0</v>
      </c>
      <c r="G60" s="18">
        <v>0</v>
      </c>
      <c r="H60" s="135" t="s">
        <v>456</v>
      </c>
      <c r="I60" s="136" t="s">
        <v>422</v>
      </c>
      <c r="J60" s="137">
        <v>2</v>
      </c>
      <c r="K60" s="150">
        <v>196.875</v>
      </c>
      <c r="L60" s="150">
        <v>28.56</v>
      </c>
      <c r="M60" s="150">
        <v>10.107999</v>
      </c>
      <c r="N60" s="152">
        <v>23.625001000000005</v>
      </c>
    </row>
    <row r="61" spans="1:14" x14ac:dyDescent="0.3">
      <c r="A61" s="135" t="s">
        <v>454</v>
      </c>
      <c r="B61" s="137" t="s">
        <v>413</v>
      </c>
      <c r="C61" s="137">
        <v>29</v>
      </c>
      <c r="D61" s="9">
        <v>0</v>
      </c>
      <c r="E61" s="8">
        <v>0</v>
      </c>
      <c r="F61" s="8">
        <v>0</v>
      </c>
      <c r="G61" s="18">
        <v>0</v>
      </c>
      <c r="H61" s="135" t="s">
        <v>456</v>
      </c>
      <c r="I61" s="137" t="s">
        <v>422</v>
      </c>
      <c r="J61" s="137">
        <v>3</v>
      </c>
      <c r="K61" s="150">
        <v>196.875</v>
      </c>
      <c r="L61" s="150">
        <v>28.56</v>
      </c>
      <c r="M61" s="150">
        <v>12.114666666666666</v>
      </c>
      <c r="N61" s="152">
        <v>25.083332333333335</v>
      </c>
    </row>
    <row r="62" spans="1:14" x14ac:dyDescent="0.3">
      <c r="A62" s="138" t="s">
        <v>454</v>
      </c>
      <c r="B62" s="137" t="s">
        <v>413</v>
      </c>
      <c r="C62" s="137">
        <v>30</v>
      </c>
      <c r="D62" s="9">
        <v>0</v>
      </c>
      <c r="E62" s="8">
        <v>0</v>
      </c>
      <c r="F62" s="8">
        <v>0</v>
      </c>
      <c r="G62" s="18">
        <v>0</v>
      </c>
      <c r="H62" s="135" t="s">
        <v>456</v>
      </c>
      <c r="I62" s="137" t="s">
        <v>422</v>
      </c>
      <c r="J62" s="137">
        <v>4</v>
      </c>
      <c r="K62" s="150">
        <v>196.875</v>
      </c>
      <c r="L62" s="150">
        <v>28.56</v>
      </c>
      <c r="M62" s="150">
        <v>13.118</v>
      </c>
      <c r="N62" s="152">
        <v>26.625</v>
      </c>
    </row>
    <row r="63" spans="1:14" x14ac:dyDescent="0.3">
      <c r="A63" s="140" t="s">
        <v>454</v>
      </c>
      <c r="B63" s="136" t="s">
        <v>414</v>
      </c>
      <c r="C63" s="137">
        <v>1</v>
      </c>
      <c r="D63" s="9">
        <v>0</v>
      </c>
      <c r="E63" s="8">
        <v>0</v>
      </c>
      <c r="F63" s="8">
        <v>0</v>
      </c>
      <c r="G63" s="18">
        <v>0</v>
      </c>
      <c r="H63" s="141" t="s">
        <v>457</v>
      </c>
      <c r="I63" s="136" t="s">
        <v>412</v>
      </c>
      <c r="J63" s="136">
        <v>1</v>
      </c>
      <c r="K63" s="150">
        <v>196.875</v>
      </c>
      <c r="L63" s="150">
        <v>28.56</v>
      </c>
      <c r="M63" s="150">
        <v>10.108000000000001</v>
      </c>
      <c r="N63" s="152">
        <v>55</v>
      </c>
    </row>
    <row r="64" spans="1:14" x14ac:dyDescent="0.3">
      <c r="A64" s="135" t="s">
        <v>454</v>
      </c>
      <c r="B64" s="136" t="s">
        <v>414</v>
      </c>
      <c r="C64" s="137">
        <v>2</v>
      </c>
      <c r="D64" s="9">
        <v>0</v>
      </c>
      <c r="E64" s="8">
        <v>0</v>
      </c>
      <c r="F64" s="8">
        <v>0</v>
      </c>
      <c r="G64" s="18">
        <v>0</v>
      </c>
      <c r="H64" s="135" t="s">
        <v>457</v>
      </c>
      <c r="I64" s="136" t="s">
        <v>412</v>
      </c>
      <c r="J64" s="137">
        <v>2</v>
      </c>
      <c r="K64" s="150">
        <v>196.875</v>
      </c>
      <c r="L64" s="150">
        <v>28.56</v>
      </c>
      <c r="M64" s="150">
        <v>13.118001</v>
      </c>
      <c r="N64" s="152">
        <v>42.125</v>
      </c>
    </row>
    <row r="65" spans="1:14" x14ac:dyDescent="0.3">
      <c r="A65" s="135" t="s">
        <v>454</v>
      </c>
      <c r="B65" s="137" t="s">
        <v>414</v>
      </c>
      <c r="C65" s="137">
        <v>3</v>
      </c>
      <c r="D65" s="9">
        <v>0</v>
      </c>
      <c r="E65" s="8">
        <v>0</v>
      </c>
      <c r="F65" s="8">
        <v>0</v>
      </c>
      <c r="G65" s="18">
        <v>0</v>
      </c>
      <c r="H65" s="135" t="s">
        <v>457</v>
      </c>
      <c r="I65" s="137" t="s">
        <v>412</v>
      </c>
      <c r="J65" s="137">
        <v>3</v>
      </c>
      <c r="K65" s="150">
        <v>196.875</v>
      </c>
      <c r="L65" s="150">
        <v>28.56</v>
      </c>
      <c r="M65" s="150">
        <v>14.121333333333334</v>
      </c>
      <c r="N65" s="152">
        <v>38.74999966666666</v>
      </c>
    </row>
    <row r="66" spans="1:14" x14ac:dyDescent="0.3">
      <c r="A66" s="135" t="s">
        <v>454</v>
      </c>
      <c r="B66" s="137" t="s">
        <v>414</v>
      </c>
      <c r="C66" s="137">
        <v>4</v>
      </c>
      <c r="D66" s="9">
        <v>0</v>
      </c>
      <c r="E66" s="8">
        <v>0</v>
      </c>
      <c r="F66" s="8">
        <v>0</v>
      </c>
      <c r="G66" s="18">
        <v>0</v>
      </c>
      <c r="H66" s="135" t="s">
        <v>457</v>
      </c>
      <c r="I66" s="137" t="s">
        <v>412</v>
      </c>
      <c r="J66" s="137">
        <v>4</v>
      </c>
      <c r="K66" s="150">
        <v>196.875</v>
      </c>
      <c r="L66" s="150">
        <v>28.56</v>
      </c>
      <c r="M66" s="150">
        <v>14.622999999999999</v>
      </c>
      <c r="N66" s="152">
        <v>37.75</v>
      </c>
    </row>
    <row r="67" spans="1:14" x14ac:dyDescent="0.3">
      <c r="A67" s="135" t="s">
        <v>454</v>
      </c>
      <c r="B67" s="137" t="s">
        <v>414</v>
      </c>
      <c r="C67" s="137">
        <v>5</v>
      </c>
      <c r="D67" s="9">
        <v>0</v>
      </c>
      <c r="E67" s="8">
        <v>0</v>
      </c>
      <c r="F67" s="8">
        <v>0</v>
      </c>
      <c r="G67" s="18">
        <v>0</v>
      </c>
      <c r="H67" s="141" t="s">
        <v>457</v>
      </c>
      <c r="I67" s="136" t="s">
        <v>413</v>
      </c>
      <c r="J67" s="136">
        <v>1</v>
      </c>
      <c r="K67" s="150">
        <v>196.875</v>
      </c>
      <c r="L67" s="150">
        <v>28.56</v>
      </c>
      <c r="M67" s="150">
        <v>10.108000000000001</v>
      </c>
      <c r="N67" s="152">
        <v>24.5</v>
      </c>
    </row>
    <row r="68" spans="1:14" x14ac:dyDescent="0.3">
      <c r="A68" s="135" t="s">
        <v>454</v>
      </c>
      <c r="B68" s="137" t="s">
        <v>414</v>
      </c>
      <c r="C68" s="137">
        <v>6</v>
      </c>
      <c r="D68" s="9">
        <v>0</v>
      </c>
      <c r="E68" s="8">
        <v>0</v>
      </c>
      <c r="F68" s="8">
        <v>0</v>
      </c>
      <c r="G68" s="18">
        <v>0</v>
      </c>
      <c r="H68" s="135" t="s">
        <v>457</v>
      </c>
      <c r="I68" s="136" t="s">
        <v>413</v>
      </c>
      <c r="J68" s="137">
        <v>2</v>
      </c>
      <c r="K68" s="150">
        <v>196.875</v>
      </c>
      <c r="L68" s="150">
        <v>28.56</v>
      </c>
      <c r="M68" s="150">
        <v>13.118001</v>
      </c>
      <c r="N68" s="152">
        <v>26.375001000000005</v>
      </c>
    </row>
    <row r="69" spans="1:14" x14ac:dyDescent="0.3">
      <c r="A69" s="135" t="s">
        <v>454</v>
      </c>
      <c r="B69" s="137" t="s">
        <v>414</v>
      </c>
      <c r="C69" s="137">
        <v>7</v>
      </c>
      <c r="D69" s="9">
        <v>0</v>
      </c>
      <c r="E69" s="8">
        <v>0</v>
      </c>
      <c r="F69" s="8">
        <v>0</v>
      </c>
      <c r="G69" s="18">
        <v>0</v>
      </c>
      <c r="H69" s="135" t="s">
        <v>457</v>
      </c>
      <c r="I69" s="137" t="s">
        <v>413</v>
      </c>
      <c r="J69" s="137">
        <v>3</v>
      </c>
      <c r="K69" s="150">
        <v>196.875</v>
      </c>
      <c r="L69" s="150">
        <v>28.56</v>
      </c>
      <c r="M69" s="150">
        <v>14.121333333333334</v>
      </c>
      <c r="N69" s="152">
        <v>27.999999333333331</v>
      </c>
    </row>
    <row r="70" spans="1:14" x14ac:dyDescent="0.3">
      <c r="A70" s="135" t="s">
        <v>454</v>
      </c>
      <c r="B70" s="137" t="s">
        <v>414</v>
      </c>
      <c r="C70" s="137">
        <v>8</v>
      </c>
      <c r="D70" s="9">
        <v>0</v>
      </c>
      <c r="E70" s="8">
        <v>0</v>
      </c>
      <c r="F70" s="8">
        <v>0</v>
      </c>
      <c r="G70" s="18">
        <v>0</v>
      </c>
      <c r="H70" s="135" t="s">
        <v>457</v>
      </c>
      <c r="I70" s="137" t="s">
        <v>413</v>
      </c>
      <c r="J70" s="137">
        <v>4</v>
      </c>
      <c r="K70" s="150">
        <v>196.875</v>
      </c>
      <c r="L70" s="150">
        <v>28.56</v>
      </c>
      <c r="M70" s="150">
        <v>14.622999999999999</v>
      </c>
      <c r="N70" s="152">
        <v>29.5625</v>
      </c>
    </row>
    <row r="71" spans="1:14" x14ac:dyDescent="0.3">
      <c r="A71" s="135" t="s">
        <v>454</v>
      </c>
      <c r="B71" s="137" t="s">
        <v>414</v>
      </c>
      <c r="C71" s="137">
        <v>9</v>
      </c>
      <c r="D71" s="9">
        <v>0</v>
      </c>
      <c r="E71" s="8">
        <v>0</v>
      </c>
      <c r="F71" s="8">
        <v>0</v>
      </c>
      <c r="G71" s="18">
        <v>0</v>
      </c>
      <c r="H71" s="141" t="s">
        <v>457</v>
      </c>
      <c r="I71" s="136" t="s">
        <v>414</v>
      </c>
      <c r="J71" s="136">
        <v>1</v>
      </c>
      <c r="K71" s="150">
        <v>196.875</v>
      </c>
      <c r="L71" s="150">
        <v>28.56</v>
      </c>
      <c r="M71" s="150">
        <v>10.108000000000001</v>
      </c>
      <c r="N71" s="152">
        <v>22.5</v>
      </c>
    </row>
    <row r="72" spans="1:14" x14ac:dyDescent="0.3">
      <c r="A72" s="135" t="s">
        <v>454</v>
      </c>
      <c r="B72" s="137" t="s">
        <v>414</v>
      </c>
      <c r="C72" s="137">
        <v>10</v>
      </c>
      <c r="D72" s="9">
        <v>0</v>
      </c>
      <c r="E72" s="8">
        <v>0</v>
      </c>
      <c r="F72" s="8">
        <v>0</v>
      </c>
      <c r="G72" s="18">
        <v>0</v>
      </c>
      <c r="H72" s="135" t="s">
        <v>457</v>
      </c>
      <c r="I72" s="136" t="s">
        <v>414</v>
      </c>
      <c r="J72" s="137">
        <v>2</v>
      </c>
      <c r="K72" s="150">
        <v>196.875</v>
      </c>
      <c r="L72" s="150">
        <v>28.56</v>
      </c>
      <c r="M72" s="150">
        <v>10.107999</v>
      </c>
      <c r="N72" s="152">
        <v>24.125</v>
      </c>
    </row>
    <row r="73" spans="1:14" x14ac:dyDescent="0.3">
      <c r="A73" s="135" t="s">
        <v>454</v>
      </c>
      <c r="B73" s="137" t="s">
        <v>414</v>
      </c>
      <c r="C73" s="137">
        <v>11</v>
      </c>
      <c r="D73" s="9">
        <v>0</v>
      </c>
      <c r="E73" s="8">
        <v>0</v>
      </c>
      <c r="F73" s="8">
        <v>0</v>
      </c>
      <c r="G73" s="18">
        <v>0</v>
      </c>
      <c r="H73" s="135" t="s">
        <v>457</v>
      </c>
      <c r="I73" s="137" t="s">
        <v>414</v>
      </c>
      <c r="J73" s="137">
        <v>3</v>
      </c>
      <c r="K73" s="150">
        <v>196.875</v>
      </c>
      <c r="L73" s="150">
        <v>28.56</v>
      </c>
      <c r="M73" s="150">
        <v>12.114666666666666</v>
      </c>
      <c r="N73" s="152">
        <v>25.916666000000003</v>
      </c>
    </row>
    <row r="74" spans="1:14" x14ac:dyDescent="0.3">
      <c r="A74" s="135" t="s">
        <v>454</v>
      </c>
      <c r="B74" s="137" t="s">
        <v>414</v>
      </c>
      <c r="C74" s="137">
        <v>12</v>
      </c>
      <c r="D74" s="9">
        <v>0</v>
      </c>
      <c r="E74" s="8">
        <v>0</v>
      </c>
      <c r="F74" s="8">
        <v>0</v>
      </c>
      <c r="G74" s="18">
        <v>0</v>
      </c>
      <c r="H74" s="135" t="s">
        <v>457</v>
      </c>
      <c r="I74" s="137" t="s">
        <v>414</v>
      </c>
      <c r="J74" s="137">
        <v>4</v>
      </c>
      <c r="K74" s="150">
        <v>196.875</v>
      </c>
      <c r="L74" s="150">
        <v>28.56</v>
      </c>
      <c r="M74" s="150">
        <v>13.118</v>
      </c>
      <c r="N74" s="152">
        <v>27.5625</v>
      </c>
    </row>
    <row r="75" spans="1:14" x14ac:dyDescent="0.3">
      <c r="A75" s="135" t="s">
        <v>454</v>
      </c>
      <c r="B75" s="137" t="s">
        <v>414</v>
      </c>
      <c r="C75" s="137">
        <v>13</v>
      </c>
      <c r="D75" s="9">
        <v>0</v>
      </c>
      <c r="E75" s="8">
        <v>0</v>
      </c>
      <c r="F75" s="8">
        <v>0</v>
      </c>
      <c r="G75" s="18">
        <v>0</v>
      </c>
      <c r="H75" s="141" t="s">
        <v>457</v>
      </c>
      <c r="I75" s="136" t="s">
        <v>415</v>
      </c>
      <c r="J75" s="136">
        <v>1</v>
      </c>
      <c r="K75" s="150">
        <v>196.875</v>
      </c>
      <c r="L75" s="150">
        <v>28.56</v>
      </c>
      <c r="M75" s="150">
        <v>10.108000000000001</v>
      </c>
      <c r="N75" s="152">
        <v>41.25</v>
      </c>
    </row>
    <row r="76" spans="1:14" x14ac:dyDescent="0.3">
      <c r="A76" s="135" t="s">
        <v>454</v>
      </c>
      <c r="B76" s="137" t="s">
        <v>414</v>
      </c>
      <c r="C76" s="137">
        <v>14</v>
      </c>
      <c r="D76" s="9">
        <v>0</v>
      </c>
      <c r="E76" s="8">
        <v>0</v>
      </c>
      <c r="F76" s="8">
        <v>0</v>
      </c>
      <c r="G76" s="18">
        <v>0</v>
      </c>
      <c r="H76" s="135" t="s">
        <v>457</v>
      </c>
      <c r="I76" s="136" t="s">
        <v>415</v>
      </c>
      <c r="J76" s="137">
        <v>2</v>
      </c>
      <c r="K76" s="150">
        <v>196.875</v>
      </c>
      <c r="L76" s="150">
        <v>28.56</v>
      </c>
      <c r="M76" s="150">
        <v>10.107999</v>
      </c>
      <c r="N76" s="152">
        <v>33.499998999999995</v>
      </c>
    </row>
    <row r="77" spans="1:14" x14ac:dyDescent="0.3">
      <c r="A77" s="135" t="s">
        <v>454</v>
      </c>
      <c r="B77" s="137" t="s">
        <v>414</v>
      </c>
      <c r="C77" s="137">
        <v>15</v>
      </c>
      <c r="D77" s="9">
        <v>0</v>
      </c>
      <c r="E77" s="8">
        <v>0</v>
      </c>
      <c r="F77" s="8">
        <v>0</v>
      </c>
      <c r="G77" s="18">
        <v>0</v>
      </c>
      <c r="H77" s="135" t="s">
        <v>457</v>
      </c>
      <c r="I77" s="137" t="s">
        <v>415</v>
      </c>
      <c r="J77" s="137">
        <v>3</v>
      </c>
      <c r="K77" s="150">
        <v>196.875</v>
      </c>
      <c r="L77" s="150">
        <v>28.56</v>
      </c>
      <c r="M77" s="150">
        <v>12.114666666666666</v>
      </c>
      <c r="N77" s="152">
        <v>32.249999666666668</v>
      </c>
    </row>
    <row r="78" spans="1:14" x14ac:dyDescent="0.3">
      <c r="A78" s="135" t="s">
        <v>454</v>
      </c>
      <c r="B78" s="137" t="s">
        <v>414</v>
      </c>
      <c r="C78" s="137">
        <v>16</v>
      </c>
      <c r="D78" s="9">
        <v>0</v>
      </c>
      <c r="E78" s="8">
        <v>0</v>
      </c>
      <c r="F78" s="8">
        <v>0</v>
      </c>
      <c r="G78" s="18">
        <v>0</v>
      </c>
      <c r="H78" s="135" t="s">
        <v>457</v>
      </c>
      <c r="I78" s="137" t="s">
        <v>415</v>
      </c>
      <c r="J78" s="137">
        <v>4</v>
      </c>
      <c r="K78" s="150">
        <v>196.875</v>
      </c>
      <c r="L78" s="150">
        <v>28.56</v>
      </c>
      <c r="M78" s="150">
        <v>13.118</v>
      </c>
      <c r="N78" s="152">
        <v>32.3125</v>
      </c>
    </row>
    <row r="79" spans="1:14" x14ac:dyDescent="0.3">
      <c r="A79" s="135" t="s">
        <v>454</v>
      </c>
      <c r="B79" s="137" t="s">
        <v>414</v>
      </c>
      <c r="C79" s="137">
        <v>17</v>
      </c>
      <c r="D79" s="9">
        <v>0</v>
      </c>
      <c r="E79" s="8">
        <v>0</v>
      </c>
      <c r="F79" s="8">
        <v>0</v>
      </c>
      <c r="G79" s="18">
        <v>0</v>
      </c>
      <c r="H79" s="141" t="s">
        <v>457</v>
      </c>
      <c r="I79" s="136" t="s">
        <v>422</v>
      </c>
      <c r="J79" s="136">
        <v>1</v>
      </c>
      <c r="K79" s="150">
        <v>196.875</v>
      </c>
      <c r="L79" s="150">
        <v>28.56</v>
      </c>
      <c r="M79" s="150">
        <v>10.108000000000001</v>
      </c>
      <c r="N79" s="152">
        <v>21.75</v>
      </c>
    </row>
    <row r="80" spans="1:14" x14ac:dyDescent="0.3">
      <c r="A80" s="135" t="s">
        <v>454</v>
      </c>
      <c r="B80" s="137" t="s">
        <v>414</v>
      </c>
      <c r="C80" s="137">
        <v>18</v>
      </c>
      <c r="D80" s="9">
        <v>0</v>
      </c>
      <c r="E80" s="8">
        <v>0</v>
      </c>
      <c r="F80" s="8">
        <v>0</v>
      </c>
      <c r="G80" s="18">
        <v>0</v>
      </c>
      <c r="H80" s="135" t="s">
        <v>457</v>
      </c>
      <c r="I80" s="136" t="s">
        <v>422</v>
      </c>
      <c r="J80" s="137">
        <v>2</v>
      </c>
      <c r="K80" s="150">
        <v>196.875</v>
      </c>
      <c r="L80" s="150">
        <v>28.56</v>
      </c>
      <c r="M80" s="150">
        <v>10.107999</v>
      </c>
      <c r="N80" s="152">
        <v>23.5</v>
      </c>
    </row>
    <row r="81" spans="1:14" x14ac:dyDescent="0.3">
      <c r="A81" s="135" t="s">
        <v>454</v>
      </c>
      <c r="B81" s="137" t="s">
        <v>414</v>
      </c>
      <c r="C81" s="137">
        <v>19</v>
      </c>
      <c r="D81" s="9">
        <v>0</v>
      </c>
      <c r="E81" s="8">
        <v>0</v>
      </c>
      <c r="F81" s="8">
        <v>0</v>
      </c>
      <c r="G81" s="18">
        <v>0</v>
      </c>
      <c r="H81" s="135" t="s">
        <v>457</v>
      </c>
      <c r="I81" s="137" t="s">
        <v>422</v>
      </c>
      <c r="J81" s="137">
        <v>3</v>
      </c>
      <c r="K81" s="150">
        <v>196.875</v>
      </c>
      <c r="L81" s="150">
        <v>28.56</v>
      </c>
      <c r="M81" s="150">
        <v>12.114666666666666</v>
      </c>
      <c r="N81" s="152">
        <v>25.333334333333333</v>
      </c>
    </row>
    <row r="82" spans="1:14" x14ac:dyDescent="0.3">
      <c r="A82" s="135" t="s">
        <v>454</v>
      </c>
      <c r="B82" s="137" t="s">
        <v>414</v>
      </c>
      <c r="C82" s="137">
        <v>20</v>
      </c>
      <c r="D82" s="9">
        <v>0</v>
      </c>
      <c r="E82" s="8">
        <v>0</v>
      </c>
      <c r="F82" s="8">
        <v>0</v>
      </c>
      <c r="G82" s="18">
        <v>0</v>
      </c>
      <c r="H82" s="135" t="s">
        <v>457</v>
      </c>
      <c r="I82" s="137" t="s">
        <v>422</v>
      </c>
      <c r="J82" s="137">
        <v>4</v>
      </c>
      <c r="K82" s="150">
        <v>196.875</v>
      </c>
      <c r="L82" s="150">
        <v>28.56</v>
      </c>
      <c r="M82" s="150">
        <v>13.118</v>
      </c>
      <c r="N82" s="152">
        <v>27</v>
      </c>
    </row>
    <row r="83" spans="1:14" x14ac:dyDescent="0.3">
      <c r="A83" s="135" t="s">
        <v>454</v>
      </c>
      <c r="B83" s="137" t="s">
        <v>414</v>
      </c>
      <c r="C83" s="137">
        <v>21</v>
      </c>
      <c r="D83" s="9">
        <v>0</v>
      </c>
      <c r="E83" s="8">
        <v>0</v>
      </c>
      <c r="F83" s="8">
        <v>0</v>
      </c>
      <c r="G83" s="18">
        <v>0</v>
      </c>
      <c r="H83" s="142" t="s">
        <v>458</v>
      </c>
      <c r="I83" s="143" t="s">
        <v>412</v>
      </c>
      <c r="J83" s="143">
        <v>1</v>
      </c>
      <c r="K83" s="150">
        <v>196.875</v>
      </c>
      <c r="L83" s="150">
        <v>28.56</v>
      </c>
      <c r="M83" s="150">
        <v>10.108000000000001</v>
      </c>
      <c r="N83" s="152">
        <v>55</v>
      </c>
    </row>
    <row r="84" spans="1:14" x14ac:dyDescent="0.3">
      <c r="A84" s="135" t="s">
        <v>454</v>
      </c>
      <c r="B84" s="137" t="s">
        <v>414</v>
      </c>
      <c r="C84" s="137">
        <v>22</v>
      </c>
      <c r="D84" s="9">
        <v>0</v>
      </c>
      <c r="E84" s="8">
        <v>0</v>
      </c>
      <c r="F84" s="8">
        <v>0</v>
      </c>
      <c r="G84" s="18">
        <v>0</v>
      </c>
      <c r="H84" s="135" t="s">
        <v>458</v>
      </c>
      <c r="I84" s="136" t="s">
        <v>412</v>
      </c>
      <c r="J84" s="137">
        <v>2</v>
      </c>
      <c r="K84" s="150">
        <v>196.875</v>
      </c>
      <c r="L84" s="150">
        <v>28.56</v>
      </c>
      <c r="M84" s="150">
        <v>13.118001</v>
      </c>
      <c r="N84" s="152">
        <v>42.125</v>
      </c>
    </row>
    <row r="85" spans="1:14" x14ac:dyDescent="0.3">
      <c r="A85" s="135" t="s">
        <v>454</v>
      </c>
      <c r="B85" s="137" t="s">
        <v>414</v>
      </c>
      <c r="C85" s="137">
        <v>23</v>
      </c>
      <c r="D85" s="9">
        <v>0</v>
      </c>
      <c r="E85" s="8">
        <v>0</v>
      </c>
      <c r="F85" s="8">
        <v>0</v>
      </c>
      <c r="G85" s="18">
        <v>0</v>
      </c>
      <c r="H85" s="135" t="s">
        <v>458</v>
      </c>
      <c r="I85" s="137" t="s">
        <v>412</v>
      </c>
      <c r="J85" s="137">
        <v>3</v>
      </c>
      <c r="K85" s="150">
        <v>196.875</v>
      </c>
      <c r="L85" s="150">
        <v>28.56</v>
      </c>
      <c r="M85" s="150">
        <v>14.121333333333334</v>
      </c>
      <c r="N85" s="152">
        <v>38.74999966666666</v>
      </c>
    </row>
    <row r="86" spans="1:14" x14ac:dyDescent="0.3">
      <c r="A86" s="135" t="s">
        <v>454</v>
      </c>
      <c r="B86" s="137" t="s">
        <v>414</v>
      </c>
      <c r="C86" s="137">
        <v>24</v>
      </c>
      <c r="D86" s="9">
        <v>0</v>
      </c>
      <c r="E86" s="8">
        <v>0</v>
      </c>
      <c r="F86" s="8">
        <v>0</v>
      </c>
      <c r="G86" s="18">
        <v>0</v>
      </c>
      <c r="H86" s="135" t="s">
        <v>458</v>
      </c>
      <c r="I86" s="137" t="s">
        <v>412</v>
      </c>
      <c r="J86" s="137">
        <v>4</v>
      </c>
      <c r="K86" s="150">
        <v>196.875</v>
      </c>
      <c r="L86" s="150">
        <v>28.56</v>
      </c>
      <c r="M86" s="150">
        <v>14.622999999999999</v>
      </c>
      <c r="N86" s="152">
        <v>37.75</v>
      </c>
    </row>
    <row r="87" spans="1:14" x14ac:dyDescent="0.3">
      <c r="A87" s="135" t="s">
        <v>454</v>
      </c>
      <c r="B87" s="137" t="s">
        <v>414</v>
      </c>
      <c r="C87" s="137">
        <v>25</v>
      </c>
      <c r="D87" s="9">
        <v>0</v>
      </c>
      <c r="E87" s="8">
        <v>0</v>
      </c>
      <c r="F87" s="8">
        <v>0</v>
      </c>
      <c r="G87" s="18">
        <v>0</v>
      </c>
      <c r="H87" s="142" t="s">
        <v>458</v>
      </c>
      <c r="I87" s="143" t="s">
        <v>413</v>
      </c>
      <c r="J87" s="143">
        <v>1</v>
      </c>
      <c r="K87" s="150">
        <v>196.875</v>
      </c>
      <c r="L87" s="150">
        <v>28.56</v>
      </c>
      <c r="M87" s="150">
        <v>10.108000000000001</v>
      </c>
      <c r="N87" s="152">
        <v>24.5</v>
      </c>
    </row>
    <row r="88" spans="1:14" x14ac:dyDescent="0.3">
      <c r="A88" s="135" t="s">
        <v>454</v>
      </c>
      <c r="B88" s="137" t="s">
        <v>414</v>
      </c>
      <c r="C88" s="137">
        <v>26</v>
      </c>
      <c r="D88" s="9">
        <v>0</v>
      </c>
      <c r="E88" s="8">
        <v>0</v>
      </c>
      <c r="F88" s="8">
        <v>0</v>
      </c>
      <c r="G88" s="18">
        <v>0</v>
      </c>
      <c r="H88" s="135" t="s">
        <v>458</v>
      </c>
      <c r="I88" s="136" t="s">
        <v>413</v>
      </c>
      <c r="J88" s="137">
        <v>2</v>
      </c>
      <c r="K88" s="150">
        <v>196.875</v>
      </c>
      <c r="L88" s="150">
        <v>28.56</v>
      </c>
      <c r="M88" s="150">
        <v>13.118001</v>
      </c>
      <c r="N88" s="152">
        <v>26.375001000000005</v>
      </c>
    </row>
    <row r="89" spans="1:14" x14ac:dyDescent="0.3">
      <c r="A89" s="135" t="s">
        <v>454</v>
      </c>
      <c r="B89" s="137" t="s">
        <v>414</v>
      </c>
      <c r="C89" s="137">
        <v>27</v>
      </c>
      <c r="D89" s="9">
        <v>0</v>
      </c>
      <c r="E89" s="8">
        <v>0</v>
      </c>
      <c r="F89" s="8">
        <v>0</v>
      </c>
      <c r="G89" s="18">
        <v>0</v>
      </c>
      <c r="H89" s="135" t="s">
        <v>458</v>
      </c>
      <c r="I89" s="137" t="s">
        <v>413</v>
      </c>
      <c r="J89" s="137">
        <v>3</v>
      </c>
      <c r="K89" s="150">
        <v>196.875</v>
      </c>
      <c r="L89" s="150">
        <v>28.56</v>
      </c>
      <c r="M89" s="150">
        <v>14.121333333333334</v>
      </c>
      <c r="N89" s="152">
        <v>27.999999333333331</v>
      </c>
    </row>
    <row r="90" spans="1:14" x14ac:dyDescent="0.3">
      <c r="A90" s="135" t="s">
        <v>454</v>
      </c>
      <c r="B90" s="137" t="s">
        <v>414</v>
      </c>
      <c r="C90" s="137">
        <v>28</v>
      </c>
      <c r="D90" s="9">
        <v>0</v>
      </c>
      <c r="E90" s="8">
        <v>0</v>
      </c>
      <c r="F90" s="8">
        <v>0</v>
      </c>
      <c r="G90" s="18">
        <v>0</v>
      </c>
      <c r="H90" s="135" t="s">
        <v>458</v>
      </c>
      <c r="I90" s="137" t="s">
        <v>413</v>
      </c>
      <c r="J90" s="137">
        <v>4</v>
      </c>
      <c r="K90" s="150">
        <v>196.875</v>
      </c>
      <c r="L90" s="150">
        <v>28.56</v>
      </c>
      <c r="M90" s="150">
        <v>14.622999999999999</v>
      </c>
      <c r="N90" s="152">
        <v>29.5625</v>
      </c>
    </row>
    <row r="91" spans="1:14" x14ac:dyDescent="0.3">
      <c r="A91" s="135" t="s">
        <v>454</v>
      </c>
      <c r="B91" s="137" t="s">
        <v>414</v>
      </c>
      <c r="C91" s="137">
        <v>29</v>
      </c>
      <c r="D91" s="9">
        <v>0</v>
      </c>
      <c r="E91" s="8">
        <v>0</v>
      </c>
      <c r="F91" s="8">
        <v>0</v>
      </c>
      <c r="G91" s="18">
        <v>0</v>
      </c>
      <c r="H91" s="142" t="s">
        <v>458</v>
      </c>
      <c r="I91" s="143" t="s">
        <v>414</v>
      </c>
      <c r="J91" s="143">
        <v>1</v>
      </c>
      <c r="K91" s="150">
        <v>196.875</v>
      </c>
      <c r="L91" s="150">
        <v>28.56</v>
      </c>
      <c r="M91" s="150">
        <v>10.108000000000001</v>
      </c>
      <c r="N91" s="152">
        <v>22.5</v>
      </c>
    </row>
    <row r="92" spans="1:14" x14ac:dyDescent="0.3">
      <c r="A92" s="138" t="s">
        <v>454</v>
      </c>
      <c r="B92" s="137" t="s">
        <v>414</v>
      </c>
      <c r="C92" s="137">
        <v>30</v>
      </c>
      <c r="D92" s="9">
        <v>0</v>
      </c>
      <c r="E92" s="8">
        <v>0</v>
      </c>
      <c r="F92" s="8">
        <v>0</v>
      </c>
      <c r="G92" s="18">
        <v>0</v>
      </c>
      <c r="H92" s="135" t="s">
        <v>458</v>
      </c>
      <c r="I92" s="136" t="s">
        <v>414</v>
      </c>
      <c r="J92" s="137">
        <v>2</v>
      </c>
      <c r="K92" s="150">
        <v>196.875</v>
      </c>
      <c r="L92" s="150">
        <v>28.56</v>
      </c>
      <c r="M92" s="150">
        <v>10.107999</v>
      </c>
      <c r="N92" s="152">
        <v>24.125</v>
      </c>
    </row>
    <row r="93" spans="1:14" x14ac:dyDescent="0.3">
      <c r="A93" s="140" t="s">
        <v>454</v>
      </c>
      <c r="B93" s="136" t="s">
        <v>415</v>
      </c>
      <c r="C93" s="137">
        <v>1</v>
      </c>
      <c r="D93" s="9">
        <v>0</v>
      </c>
      <c r="E93" s="8">
        <v>0</v>
      </c>
      <c r="F93" s="8">
        <v>0</v>
      </c>
      <c r="G93" s="18">
        <v>0</v>
      </c>
      <c r="H93" s="135" t="s">
        <v>458</v>
      </c>
      <c r="I93" s="137" t="s">
        <v>414</v>
      </c>
      <c r="J93" s="137">
        <v>3</v>
      </c>
      <c r="K93" s="150">
        <v>196.875</v>
      </c>
      <c r="L93" s="150">
        <v>28.56</v>
      </c>
      <c r="M93" s="150">
        <v>12.114666666666666</v>
      </c>
      <c r="N93" s="152">
        <v>25.916666000000003</v>
      </c>
    </row>
    <row r="94" spans="1:14" x14ac:dyDescent="0.3">
      <c r="A94" s="135" t="s">
        <v>454</v>
      </c>
      <c r="B94" s="136" t="s">
        <v>415</v>
      </c>
      <c r="C94" s="137">
        <v>2</v>
      </c>
      <c r="D94" s="9">
        <v>0</v>
      </c>
      <c r="E94" s="8">
        <v>0</v>
      </c>
      <c r="F94" s="8">
        <v>0</v>
      </c>
      <c r="G94" s="18">
        <v>0</v>
      </c>
      <c r="H94" s="135" t="s">
        <v>458</v>
      </c>
      <c r="I94" s="137" t="s">
        <v>414</v>
      </c>
      <c r="J94" s="137">
        <v>4</v>
      </c>
      <c r="K94" s="150">
        <v>196.875</v>
      </c>
      <c r="L94" s="150">
        <v>28.56</v>
      </c>
      <c r="M94" s="150">
        <v>13.118</v>
      </c>
      <c r="N94" s="152">
        <v>27.5625</v>
      </c>
    </row>
    <row r="95" spans="1:14" x14ac:dyDescent="0.3">
      <c r="A95" s="135" t="s">
        <v>454</v>
      </c>
      <c r="B95" s="137" t="s">
        <v>415</v>
      </c>
      <c r="C95" s="137">
        <v>3</v>
      </c>
      <c r="D95" s="9">
        <v>0</v>
      </c>
      <c r="E95" s="8">
        <v>0</v>
      </c>
      <c r="F95" s="8">
        <v>0</v>
      </c>
      <c r="G95" s="18">
        <v>0</v>
      </c>
      <c r="H95" s="142" t="s">
        <v>458</v>
      </c>
      <c r="I95" s="143" t="s">
        <v>415</v>
      </c>
      <c r="J95" s="143">
        <v>1</v>
      </c>
      <c r="K95" s="150">
        <v>196.875</v>
      </c>
      <c r="L95" s="150">
        <v>28.56</v>
      </c>
      <c r="M95" s="150">
        <v>10.108000000000001</v>
      </c>
      <c r="N95" s="152">
        <v>41.25</v>
      </c>
    </row>
    <row r="96" spans="1:14" x14ac:dyDescent="0.3">
      <c r="A96" s="135" t="s">
        <v>454</v>
      </c>
      <c r="B96" s="137" t="s">
        <v>415</v>
      </c>
      <c r="C96" s="137">
        <v>4</v>
      </c>
      <c r="D96" s="9">
        <v>0</v>
      </c>
      <c r="E96" s="8">
        <v>0</v>
      </c>
      <c r="F96" s="8">
        <v>0</v>
      </c>
      <c r="G96" s="18">
        <v>0</v>
      </c>
      <c r="H96" s="135" t="s">
        <v>458</v>
      </c>
      <c r="I96" s="136" t="s">
        <v>415</v>
      </c>
      <c r="J96" s="137">
        <v>2</v>
      </c>
      <c r="K96" s="150">
        <v>196.875</v>
      </c>
      <c r="L96" s="150">
        <v>28.56</v>
      </c>
      <c r="M96" s="150">
        <v>10.107999</v>
      </c>
      <c r="N96" s="152">
        <v>33.499998999999995</v>
      </c>
    </row>
    <row r="97" spans="1:14" x14ac:dyDescent="0.3">
      <c r="A97" s="135" t="s">
        <v>454</v>
      </c>
      <c r="B97" s="137" t="s">
        <v>415</v>
      </c>
      <c r="C97" s="137">
        <v>5</v>
      </c>
      <c r="D97" s="9">
        <v>0</v>
      </c>
      <c r="E97" s="8">
        <v>0</v>
      </c>
      <c r="F97" s="8">
        <v>0</v>
      </c>
      <c r="G97" s="18">
        <v>0</v>
      </c>
      <c r="H97" s="135" t="s">
        <v>458</v>
      </c>
      <c r="I97" s="137" t="s">
        <v>415</v>
      </c>
      <c r="J97" s="137">
        <v>3</v>
      </c>
      <c r="K97" s="150">
        <v>196.875</v>
      </c>
      <c r="L97" s="150">
        <v>28.56</v>
      </c>
      <c r="M97" s="150">
        <v>12.114666666666666</v>
      </c>
      <c r="N97" s="152">
        <v>32.249999666666668</v>
      </c>
    </row>
    <row r="98" spans="1:14" x14ac:dyDescent="0.3">
      <c r="A98" s="135" t="s">
        <v>454</v>
      </c>
      <c r="B98" s="137" t="s">
        <v>415</v>
      </c>
      <c r="C98" s="137">
        <v>6</v>
      </c>
      <c r="D98" s="9">
        <v>0</v>
      </c>
      <c r="E98" s="8">
        <v>0</v>
      </c>
      <c r="F98" s="8">
        <v>0</v>
      </c>
      <c r="G98" s="18">
        <v>0</v>
      </c>
      <c r="H98" s="135" t="s">
        <v>458</v>
      </c>
      <c r="I98" s="137" t="s">
        <v>415</v>
      </c>
      <c r="J98" s="137">
        <v>4</v>
      </c>
      <c r="K98" s="150">
        <v>196.875</v>
      </c>
      <c r="L98" s="150">
        <v>28.56</v>
      </c>
      <c r="M98" s="150">
        <v>13.118</v>
      </c>
      <c r="N98" s="152">
        <v>32.3125</v>
      </c>
    </row>
    <row r="99" spans="1:14" x14ac:dyDescent="0.3">
      <c r="A99" s="135" t="s">
        <v>454</v>
      </c>
      <c r="B99" s="137" t="s">
        <v>415</v>
      </c>
      <c r="C99" s="137">
        <v>7</v>
      </c>
      <c r="D99" s="9">
        <v>0</v>
      </c>
      <c r="E99" s="8">
        <v>0</v>
      </c>
      <c r="F99" s="8">
        <v>0</v>
      </c>
      <c r="G99" s="18">
        <v>0</v>
      </c>
      <c r="H99" s="142" t="s">
        <v>458</v>
      </c>
      <c r="I99" s="143" t="s">
        <v>422</v>
      </c>
      <c r="J99" s="143">
        <v>1</v>
      </c>
      <c r="K99" s="150">
        <v>196.875</v>
      </c>
      <c r="L99" s="150">
        <v>28.56</v>
      </c>
      <c r="M99" s="150">
        <v>10.108000000000001</v>
      </c>
      <c r="N99" s="152">
        <v>21.75</v>
      </c>
    </row>
    <row r="100" spans="1:14" x14ac:dyDescent="0.3">
      <c r="A100" s="135" t="s">
        <v>454</v>
      </c>
      <c r="B100" s="137" t="s">
        <v>415</v>
      </c>
      <c r="C100" s="137">
        <v>8</v>
      </c>
      <c r="D100" s="9">
        <v>0</v>
      </c>
      <c r="E100" s="8">
        <v>0</v>
      </c>
      <c r="F100" s="8">
        <v>0</v>
      </c>
      <c r="G100" s="18">
        <v>0</v>
      </c>
      <c r="H100" s="135" t="s">
        <v>458</v>
      </c>
      <c r="I100" s="136" t="s">
        <v>422</v>
      </c>
      <c r="J100" s="137">
        <v>2</v>
      </c>
      <c r="K100" s="150">
        <v>196.875</v>
      </c>
      <c r="L100" s="150">
        <v>28.56</v>
      </c>
      <c r="M100" s="150">
        <v>10.107999</v>
      </c>
      <c r="N100" s="152">
        <v>23.5</v>
      </c>
    </row>
    <row r="101" spans="1:14" x14ac:dyDescent="0.3">
      <c r="A101" s="135" t="s">
        <v>454</v>
      </c>
      <c r="B101" s="137" t="s">
        <v>415</v>
      </c>
      <c r="C101" s="137">
        <v>9</v>
      </c>
      <c r="D101" s="9">
        <v>0</v>
      </c>
      <c r="E101" s="8">
        <v>0</v>
      </c>
      <c r="F101" s="8">
        <v>0</v>
      </c>
      <c r="G101" s="18">
        <v>0</v>
      </c>
      <c r="H101" s="135" t="s">
        <v>458</v>
      </c>
      <c r="I101" s="137" t="s">
        <v>422</v>
      </c>
      <c r="J101" s="137">
        <v>3</v>
      </c>
      <c r="K101" s="150">
        <v>196.875</v>
      </c>
      <c r="L101" s="150">
        <v>28.56</v>
      </c>
      <c r="M101" s="150">
        <v>12.114666666666666</v>
      </c>
      <c r="N101" s="152">
        <v>25.333334333333333</v>
      </c>
    </row>
    <row r="102" spans="1:14" x14ac:dyDescent="0.3">
      <c r="A102" s="135" t="s">
        <v>454</v>
      </c>
      <c r="B102" s="137" t="s">
        <v>415</v>
      </c>
      <c r="C102" s="137">
        <v>10</v>
      </c>
      <c r="D102" s="9">
        <v>0</v>
      </c>
      <c r="E102" s="8">
        <v>0</v>
      </c>
      <c r="F102" s="8">
        <v>0</v>
      </c>
      <c r="G102" s="18">
        <v>0</v>
      </c>
      <c r="H102" s="135" t="s">
        <v>458</v>
      </c>
      <c r="I102" s="137" t="s">
        <v>422</v>
      </c>
      <c r="J102" s="137">
        <v>4</v>
      </c>
      <c r="K102" s="150">
        <v>196.875</v>
      </c>
      <c r="L102" s="150">
        <v>28.56</v>
      </c>
      <c r="M102" s="150">
        <v>13.118</v>
      </c>
      <c r="N102" s="152">
        <v>27</v>
      </c>
    </row>
    <row r="103" spans="1:14" x14ac:dyDescent="0.3">
      <c r="A103" s="135" t="s">
        <v>454</v>
      </c>
      <c r="B103" s="137" t="s">
        <v>415</v>
      </c>
      <c r="C103" s="137">
        <v>11</v>
      </c>
      <c r="D103" s="9">
        <v>0</v>
      </c>
      <c r="E103" s="8">
        <v>0</v>
      </c>
      <c r="F103" s="8">
        <v>0</v>
      </c>
      <c r="G103" s="18">
        <v>0</v>
      </c>
      <c r="H103" s="142" t="s">
        <v>459</v>
      </c>
      <c r="I103" s="143" t="s">
        <v>412</v>
      </c>
      <c r="J103" s="143">
        <v>1</v>
      </c>
      <c r="K103" s="150">
        <v>196.875</v>
      </c>
      <c r="L103" s="150">
        <v>28.56</v>
      </c>
      <c r="M103" s="150">
        <v>10.108000000000001</v>
      </c>
      <c r="N103" s="152">
        <v>55</v>
      </c>
    </row>
    <row r="104" spans="1:14" x14ac:dyDescent="0.3">
      <c r="A104" s="135" t="s">
        <v>454</v>
      </c>
      <c r="B104" s="137" t="s">
        <v>415</v>
      </c>
      <c r="C104" s="137">
        <v>12</v>
      </c>
      <c r="D104" s="9">
        <v>0</v>
      </c>
      <c r="E104" s="8">
        <v>0</v>
      </c>
      <c r="F104" s="8">
        <v>0</v>
      </c>
      <c r="G104" s="18">
        <v>0</v>
      </c>
      <c r="H104" s="135" t="s">
        <v>459</v>
      </c>
      <c r="I104" s="136" t="s">
        <v>412</v>
      </c>
      <c r="J104" s="137">
        <v>2</v>
      </c>
      <c r="K104" s="150">
        <v>196.875</v>
      </c>
      <c r="L104" s="150">
        <v>28.56</v>
      </c>
      <c r="M104" s="150">
        <v>13.118001</v>
      </c>
      <c r="N104" s="152">
        <v>42.125</v>
      </c>
    </row>
    <row r="105" spans="1:14" x14ac:dyDescent="0.3">
      <c r="A105" s="135" t="s">
        <v>454</v>
      </c>
      <c r="B105" s="137" t="s">
        <v>415</v>
      </c>
      <c r="C105" s="137">
        <v>13</v>
      </c>
      <c r="D105" s="9">
        <v>0</v>
      </c>
      <c r="E105" s="8">
        <v>0</v>
      </c>
      <c r="F105" s="8">
        <v>0</v>
      </c>
      <c r="G105" s="18">
        <v>0</v>
      </c>
      <c r="H105" s="135" t="s">
        <v>459</v>
      </c>
      <c r="I105" s="137" t="s">
        <v>412</v>
      </c>
      <c r="J105" s="137">
        <v>3</v>
      </c>
      <c r="K105" s="150">
        <v>196.875</v>
      </c>
      <c r="L105" s="150">
        <v>28.56</v>
      </c>
      <c r="M105" s="150">
        <v>14.121333333333334</v>
      </c>
      <c r="N105" s="152">
        <v>38.74999966666666</v>
      </c>
    </row>
    <row r="106" spans="1:14" x14ac:dyDescent="0.3">
      <c r="A106" s="135" t="s">
        <v>454</v>
      </c>
      <c r="B106" s="137" t="s">
        <v>415</v>
      </c>
      <c r="C106" s="137">
        <v>14</v>
      </c>
      <c r="D106" s="9">
        <v>0</v>
      </c>
      <c r="E106" s="8">
        <v>0</v>
      </c>
      <c r="F106" s="8">
        <v>0</v>
      </c>
      <c r="G106" s="18">
        <v>0</v>
      </c>
      <c r="H106" s="135" t="s">
        <v>459</v>
      </c>
      <c r="I106" s="137" t="s">
        <v>412</v>
      </c>
      <c r="J106" s="137">
        <v>4</v>
      </c>
      <c r="K106" s="150">
        <v>196.875</v>
      </c>
      <c r="L106" s="150">
        <v>28.56</v>
      </c>
      <c r="M106" s="150">
        <v>14.622999999999999</v>
      </c>
      <c r="N106" s="152">
        <v>37.75</v>
      </c>
    </row>
    <row r="107" spans="1:14" x14ac:dyDescent="0.3">
      <c r="A107" s="135" t="s">
        <v>454</v>
      </c>
      <c r="B107" s="137" t="s">
        <v>415</v>
      </c>
      <c r="C107" s="137">
        <v>15</v>
      </c>
      <c r="D107" s="9">
        <v>0</v>
      </c>
      <c r="E107" s="8">
        <v>0</v>
      </c>
      <c r="F107" s="8">
        <v>0</v>
      </c>
      <c r="G107" s="18">
        <v>0</v>
      </c>
      <c r="H107" s="142" t="s">
        <v>459</v>
      </c>
      <c r="I107" s="143" t="s">
        <v>413</v>
      </c>
      <c r="J107" s="143">
        <v>1</v>
      </c>
      <c r="K107" s="150">
        <v>196.875</v>
      </c>
      <c r="L107" s="150">
        <v>28.56</v>
      </c>
      <c r="M107" s="150">
        <v>10.108000000000001</v>
      </c>
      <c r="N107" s="152">
        <v>24.5</v>
      </c>
    </row>
    <row r="108" spans="1:14" x14ac:dyDescent="0.3">
      <c r="A108" s="135" t="s">
        <v>454</v>
      </c>
      <c r="B108" s="137" t="s">
        <v>415</v>
      </c>
      <c r="C108" s="137">
        <v>16</v>
      </c>
      <c r="D108" s="9">
        <v>0</v>
      </c>
      <c r="E108" s="8">
        <v>0</v>
      </c>
      <c r="F108" s="8">
        <v>0</v>
      </c>
      <c r="G108" s="18">
        <v>0</v>
      </c>
      <c r="H108" s="135" t="s">
        <v>459</v>
      </c>
      <c r="I108" s="136" t="s">
        <v>413</v>
      </c>
      <c r="J108" s="137">
        <v>2</v>
      </c>
      <c r="K108" s="150">
        <v>196.875</v>
      </c>
      <c r="L108" s="150">
        <v>28.56</v>
      </c>
      <c r="M108" s="150">
        <v>13.118001</v>
      </c>
      <c r="N108" s="152">
        <v>26.375001000000005</v>
      </c>
    </row>
    <row r="109" spans="1:14" x14ac:dyDescent="0.3">
      <c r="A109" s="135" t="s">
        <v>454</v>
      </c>
      <c r="B109" s="137" t="s">
        <v>415</v>
      </c>
      <c r="C109" s="137">
        <v>17</v>
      </c>
      <c r="D109" s="9">
        <v>0</v>
      </c>
      <c r="E109" s="8">
        <v>0</v>
      </c>
      <c r="F109" s="8">
        <v>0</v>
      </c>
      <c r="G109" s="18">
        <v>0</v>
      </c>
      <c r="H109" s="135" t="s">
        <v>459</v>
      </c>
      <c r="I109" s="137" t="s">
        <v>413</v>
      </c>
      <c r="J109" s="137">
        <v>3</v>
      </c>
      <c r="K109" s="150">
        <v>196.875</v>
      </c>
      <c r="L109" s="150">
        <v>28.56</v>
      </c>
      <c r="M109" s="150">
        <v>14.121333333333334</v>
      </c>
      <c r="N109" s="152">
        <v>27.999999333333331</v>
      </c>
    </row>
    <row r="110" spans="1:14" x14ac:dyDescent="0.3">
      <c r="A110" s="135" t="s">
        <v>454</v>
      </c>
      <c r="B110" s="137" t="s">
        <v>415</v>
      </c>
      <c r="C110" s="137">
        <v>18</v>
      </c>
      <c r="D110" s="9">
        <v>0</v>
      </c>
      <c r="E110" s="8">
        <v>0</v>
      </c>
      <c r="F110" s="8">
        <v>0</v>
      </c>
      <c r="G110" s="18">
        <v>0</v>
      </c>
      <c r="H110" s="135" t="s">
        <v>459</v>
      </c>
      <c r="I110" s="137" t="s">
        <v>413</v>
      </c>
      <c r="J110" s="137">
        <v>4</v>
      </c>
      <c r="K110" s="150">
        <v>196.875</v>
      </c>
      <c r="L110" s="150">
        <v>28.56</v>
      </c>
      <c r="M110" s="150">
        <v>14.622999999999999</v>
      </c>
      <c r="N110" s="152">
        <v>29.5625</v>
      </c>
    </row>
    <row r="111" spans="1:14" x14ac:dyDescent="0.3">
      <c r="A111" s="135" t="s">
        <v>454</v>
      </c>
      <c r="B111" s="137" t="s">
        <v>415</v>
      </c>
      <c r="C111" s="137">
        <v>19</v>
      </c>
      <c r="D111" s="9">
        <v>0</v>
      </c>
      <c r="E111" s="8">
        <v>0</v>
      </c>
      <c r="F111" s="8">
        <v>0</v>
      </c>
      <c r="G111" s="18">
        <v>0</v>
      </c>
      <c r="H111" s="142" t="s">
        <v>459</v>
      </c>
      <c r="I111" s="143" t="s">
        <v>414</v>
      </c>
      <c r="J111" s="143">
        <v>1</v>
      </c>
      <c r="K111" s="150">
        <v>196.875</v>
      </c>
      <c r="L111" s="150">
        <v>28.56</v>
      </c>
      <c r="M111" s="150">
        <v>10.108000000000001</v>
      </c>
      <c r="N111" s="152">
        <v>22.5</v>
      </c>
    </row>
    <row r="112" spans="1:14" x14ac:dyDescent="0.3">
      <c r="A112" s="135" t="s">
        <v>454</v>
      </c>
      <c r="B112" s="137" t="s">
        <v>415</v>
      </c>
      <c r="C112" s="137">
        <v>20</v>
      </c>
      <c r="D112" s="9">
        <v>0</v>
      </c>
      <c r="E112" s="8">
        <v>0</v>
      </c>
      <c r="F112" s="8">
        <v>0</v>
      </c>
      <c r="G112" s="18">
        <v>0</v>
      </c>
      <c r="H112" s="135" t="s">
        <v>459</v>
      </c>
      <c r="I112" s="136" t="s">
        <v>414</v>
      </c>
      <c r="J112" s="137">
        <v>2</v>
      </c>
      <c r="K112" s="150">
        <v>196.875</v>
      </c>
      <c r="L112" s="150">
        <v>28.56</v>
      </c>
      <c r="M112" s="150">
        <v>10.107999</v>
      </c>
      <c r="N112" s="152">
        <v>24.125</v>
      </c>
    </row>
    <row r="113" spans="1:14" x14ac:dyDescent="0.3">
      <c r="A113" s="135" t="s">
        <v>454</v>
      </c>
      <c r="B113" s="137" t="s">
        <v>415</v>
      </c>
      <c r="C113" s="137">
        <v>21</v>
      </c>
      <c r="D113" s="9">
        <v>0</v>
      </c>
      <c r="E113" s="8">
        <v>0</v>
      </c>
      <c r="F113" s="8">
        <v>0</v>
      </c>
      <c r="G113" s="18">
        <v>0</v>
      </c>
      <c r="H113" s="135" t="s">
        <v>459</v>
      </c>
      <c r="I113" s="137" t="s">
        <v>414</v>
      </c>
      <c r="J113" s="137">
        <v>3</v>
      </c>
      <c r="K113" s="150">
        <v>196.875</v>
      </c>
      <c r="L113" s="150">
        <v>28.56</v>
      </c>
      <c r="M113" s="150">
        <v>12.114666666666666</v>
      </c>
      <c r="N113" s="152">
        <v>25.916666000000003</v>
      </c>
    </row>
    <row r="114" spans="1:14" x14ac:dyDescent="0.3">
      <c r="A114" s="135" t="s">
        <v>454</v>
      </c>
      <c r="B114" s="137" t="s">
        <v>415</v>
      </c>
      <c r="C114" s="137">
        <v>22</v>
      </c>
      <c r="D114" s="9">
        <v>0</v>
      </c>
      <c r="E114" s="8">
        <v>0</v>
      </c>
      <c r="F114" s="8">
        <v>0</v>
      </c>
      <c r="G114" s="18">
        <v>0</v>
      </c>
      <c r="H114" s="135" t="s">
        <v>459</v>
      </c>
      <c r="I114" s="137" t="s">
        <v>414</v>
      </c>
      <c r="J114" s="137">
        <v>4</v>
      </c>
      <c r="K114" s="150">
        <v>196.875</v>
      </c>
      <c r="L114" s="150">
        <v>28.56</v>
      </c>
      <c r="M114" s="150">
        <v>13.118</v>
      </c>
      <c r="N114" s="152">
        <v>27.5625</v>
      </c>
    </row>
    <row r="115" spans="1:14" x14ac:dyDescent="0.3">
      <c r="A115" s="135" t="s">
        <v>454</v>
      </c>
      <c r="B115" s="137" t="s">
        <v>415</v>
      </c>
      <c r="C115" s="137">
        <v>23</v>
      </c>
      <c r="D115" s="9">
        <v>0</v>
      </c>
      <c r="E115" s="8">
        <v>0</v>
      </c>
      <c r="F115" s="8">
        <v>0</v>
      </c>
      <c r="G115" s="18">
        <v>0</v>
      </c>
      <c r="H115" s="142" t="s">
        <v>459</v>
      </c>
      <c r="I115" s="143" t="s">
        <v>415</v>
      </c>
      <c r="J115" s="143">
        <v>1</v>
      </c>
      <c r="K115" s="150">
        <v>196.875</v>
      </c>
      <c r="L115" s="150">
        <v>28.56</v>
      </c>
      <c r="M115" s="150">
        <v>10.108000000000001</v>
      </c>
      <c r="N115" s="152">
        <v>41.25</v>
      </c>
    </row>
    <row r="116" spans="1:14" x14ac:dyDescent="0.3">
      <c r="A116" s="135" t="s">
        <v>454</v>
      </c>
      <c r="B116" s="137" t="s">
        <v>415</v>
      </c>
      <c r="C116" s="137">
        <v>24</v>
      </c>
      <c r="D116" s="9">
        <v>0</v>
      </c>
      <c r="E116" s="8">
        <v>0</v>
      </c>
      <c r="F116" s="8">
        <v>0</v>
      </c>
      <c r="G116" s="18">
        <v>0</v>
      </c>
      <c r="H116" s="135" t="s">
        <v>459</v>
      </c>
      <c r="I116" s="136" t="s">
        <v>415</v>
      </c>
      <c r="J116" s="137">
        <v>2</v>
      </c>
      <c r="K116" s="150">
        <v>196.875</v>
      </c>
      <c r="L116" s="150">
        <v>28.56</v>
      </c>
      <c r="M116" s="150">
        <v>10.107999</v>
      </c>
      <c r="N116" s="152">
        <v>33.499998999999995</v>
      </c>
    </row>
    <row r="117" spans="1:14" x14ac:dyDescent="0.3">
      <c r="A117" s="135" t="s">
        <v>454</v>
      </c>
      <c r="B117" s="137" t="s">
        <v>415</v>
      </c>
      <c r="C117" s="137">
        <v>25</v>
      </c>
      <c r="D117" s="9">
        <v>0</v>
      </c>
      <c r="E117" s="8">
        <v>0</v>
      </c>
      <c r="F117" s="8">
        <v>0</v>
      </c>
      <c r="G117" s="18">
        <v>0</v>
      </c>
      <c r="H117" s="135" t="s">
        <v>459</v>
      </c>
      <c r="I117" s="137" t="s">
        <v>415</v>
      </c>
      <c r="J117" s="137">
        <v>3</v>
      </c>
      <c r="K117" s="150">
        <v>196.875</v>
      </c>
      <c r="L117" s="150">
        <v>28.56</v>
      </c>
      <c r="M117" s="150">
        <v>12.114666666666666</v>
      </c>
      <c r="N117" s="152">
        <v>32.249999666666668</v>
      </c>
    </row>
    <row r="118" spans="1:14" x14ac:dyDescent="0.3">
      <c r="A118" s="135" t="s">
        <v>454</v>
      </c>
      <c r="B118" s="137" t="s">
        <v>415</v>
      </c>
      <c r="C118" s="137">
        <v>26</v>
      </c>
      <c r="D118" s="9">
        <v>0</v>
      </c>
      <c r="E118" s="8">
        <v>0</v>
      </c>
      <c r="F118" s="8">
        <v>0</v>
      </c>
      <c r="G118" s="18">
        <v>0</v>
      </c>
      <c r="H118" s="135" t="s">
        <v>459</v>
      </c>
      <c r="I118" s="137" t="s">
        <v>415</v>
      </c>
      <c r="J118" s="137">
        <v>4</v>
      </c>
      <c r="K118" s="150">
        <v>196.875</v>
      </c>
      <c r="L118" s="150">
        <v>28.56</v>
      </c>
      <c r="M118" s="150">
        <v>13.118</v>
      </c>
      <c r="N118" s="152">
        <v>32.3125</v>
      </c>
    </row>
    <row r="119" spans="1:14" x14ac:dyDescent="0.3">
      <c r="A119" s="135" t="s">
        <v>454</v>
      </c>
      <c r="B119" s="137" t="s">
        <v>415</v>
      </c>
      <c r="C119" s="137">
        <v>27</v>
      </c>
      <c r="D119" s="9">
        <v>0</v>
      </c>
      <c r="E119" s="8">
        <v>0</v>
      </c>
      <c r="F119" s="8">
        <v>0</v>
      </c>
      <c r="G119" s="18">
        <v>0</v>
      </c>
      <c r="H119" s="142" t="s">
        <v>459</v>
      </c>
      <c r="I119" s="143" t="s">
        <v>422</v>
      </c>
      <c r="J119" s="143">
        <v>1</v>
      </c>
      <c r="K119" s="150">
        <v>196.875</v>
      </c>
      <c r="L119" s="150">
        <v>28.56</v>
      </c>
      <c r="M119" s="150">
        <v>10.108000000000001</v>
      </c>
      <c r="N119" s="152">
        <v>21.75</v>
      </c>
    </row>
    <row r="120" spans="1:14" x14ac:dyDescent="0.3">
      <c r="A120" s="135" t="s">
        <v>454</v>
      </c>
      <c r="B120" s="137" t="s">
        <v>415</v>
      </c>
      <c r="C120" s="137">
        <v>28</v>
      </c>
      <c r="D120" s="9">
        <v>0</v>
      </c>
      <c r="E120" s="8">
        <v>0</v>
      </c>
      <c r="F120" s="8">
        <v>0</v>
      </c>
      <c r="G120" s="18">
        <v>0</v>
      </c>
      <c r="H120" s="135" t="s">
        <v>459</v>
      </c>
      <c r="I120" s="136" t="s">
        <v>422</v>
      </c>
      <c r="J120" s="137">
        <v>2</v>
      </c>
      <c r="K120" s="150">
        <v>196.875</v>
      </c>
      <c r="L120" s="150">
        <v>28.56</v>
      </c>
      <c r="M120" s="150">
        <v>10.107999</v>
      </c>
      <c r="N120" s="152">
        <v>23.5</v>
      </c>
    </row>
    <row r="121" spans="1:14" x14ac:dyDescent="0.3">
      <c r="A121" s="135" t="s">
        <v>454</v>
      </c>
      <c r="B121" s="137" t="s">
        <v>415</v>
      </c>
      <c r="C121" s="137">
        <v>29</v>
      </c>
      <c r="D121" s="9">
        <v>0</v>
      </c>
      <c r="E121" s="8">
        <v>0</v>
      </c>
      <c r="F121" s="8">
        <v>0</v>
      </c>
      <c r="G121" s="18">
        <v>0</v>
      </c>
      <c r="H121" s="135" t="s">
        <v>459</v>
      </c>
      <c r="I121" s="137" t="s">
        <v>422</v>
      </c>
      <c r="J121" s="137">
        <v>3</v>
      </c>
      <c r="K121" s="150">
        <v>196.875</v>
      </c>
      <c r="L121" s="150">
        <v>28.56</v>
      </c>
      <c r="M121" s="150">
        <v>12.114666666666666</v>
      </c>
      <c r="N121" s="152">
        <v>25.333334333333333</v>
      </c>
    </row>
    <row r="122" spans="1:14" x14ac:dyDescent="0.3">
      <c r="A122" s="138" t="s">
        <v>454</v>
      </c>
      <c r="B122" s="137" t="s">
        <v>415</v>
      </c>
      <c r="C122" s="137">
        <v>30</v>
      </c>
      <c r="D122" s="9">
        <v>0</v>
      </c>
      <c r="E122" s="8">
        <v>0</v>
      </c>
      <c r="F122" s="8">
        <v>0</v>
      </c>
      <c r="G122" s="18">
        <v>0</v>
      </c>
      <c r="H122" s="135" t="s">
        <v>459</v>
      </c>
      <c r="I122" s="137" t="s">
        <v>422</v>
      </c>
      <c r="J122" s="137">
        <v>4</v>
      </c>
      <c r="K122" s="150">
        <v>196.875</v>
      </c>
      <c r="L122" s="150">
        <v>28.56</v>
      </c>
      <c r="M122" s="150">
        <v>13.118</v>
      </c>
      <c r="N122" s="152">
        <v>27</v>
      </c>
    </row>
    <row r="123" spans="1:14" x14ac:dyDescent="0.3">
      <c r="A123" s="140" t="s">
        <v>454</v>
      </c>
      <c r="B123" s="136" t="s">
        <v>422</v>
      </c>
      <c r="C123" s="137">
        <v>1</v>
      </c>
      <c r="D123" s="9">
        <v>0</v>
      </c>
      <c r="E123" s="8">
        <v>0</v>
      </c>
      <c r="F123" s="8">
        <v>0</v>
      </c>
      <c r="G123" s="18">
        <v>0</v>
      </c>
      <c r="H123" s="142" t="s">
        <v>460</v>
      </c>
      <c r="I123" s="143" t="s">
        <v>412</v>
      </c>
      <c r="J123" s="143">
        <v>1</v>
      </c>
      <c r="K123" s="150">
        <v>229.6875</v>
      </c>
      <c r="L123" s="150">
        <v>32.76</v>
      </c>
      <c r="M123" s="150">
        <v>16.128</v>
      </c>
      <c r="N123" s="152">
        <v>66.5</v>
      </c>
    </row>
    <row r="124" spans="1:14" x14ac:dyDescent="0.3">
      <c r="A124" s="135" t="s">
        <v>454</v>
      </c>
      <c r="B124" s="136" t="s">
        <v>422</v>
      </c>
      <c r="C124" s="137">
        <v>2</v>
      </c>
      <c r="D124" s="9">
        <v>0</v>
      </c>
      <c r="E124" s="8">
        <v>0</v>
      </c>
      <c r="F124" s="8">
        <v>0</v>
      </c>
      <c r="G124" s="18">
        <v>0</v>
      </c>
      <c r="H124" s="135" t="s">
        <v>460</v>
      </c>
      <c r="I124" s="136" t="s">
        <v>412</v>
      </c>
      <c r="J124" s="137">
        <v>2</v>
      </c>
      <c r="K124" s="150">
        <v>213.28125</v>
      </c>
      <c r="L124" s="150">
        <v>30.660000000000004</v>
      </c>
      <c r="M124" s="150">
        <v>16.128</v>
      </c>
      <c r="N124" s="152">
        <v>48.750001000000005</v>
      </c>
    </row>
    <row r="125" spans="1:14" x14ac:dyDescent="0.3">
      <c r="A125" s="135" t="s">
        <v>454</v>
      </c>
      <c r="B125" s="137" t="s">
        <v>422</v>
      </c>
      <c r="C125" s="137">
        <v>3</v>
      </c>
      <c r="D125" s="9">
        <v>0</v>
      </c>
      <c r="E125" s="8">
        <v>0</v>
      </c>
      <c r="F125" s="8">
        <v>0</v>
      </c>
      <c r="G125" s="18">
        <v>0</v>
      </c>
      <c r="H125" s="135" t="s">
        <v>460</v>
      </c>
      <c r="I125" s="137" t="s">
        <v>412</v>
      </c>
      <c r="J125" s="137">
        <v>3</v>
      </c>
      <c r="K125" s="150">
        <v>207.8125</v>
      </c>
      <c r="L125" s="150">
        <v>29.96</v>
      </c>
      <c r="M125" s="150">
        <v>16.128</v>
      </c>
      <c r="N125" s="152">
        <v>43.75</v>
      </c>
    </row>
    <row r="126" spans="1:14" x14ac:dyDescent="0.3">
      <c r="A126" s="135" t="s">
        <v>454</v>
      </c>
      <c r="B126" s="137" t="s">
        <v>422</v>
      </c>
      <c r="C126" s="137">
        <v>4</v>
      </c>
      <c r="D126" s="9">
        <v>0</v>
      </c>
      <c r="E126" s="8">
        <v>0</v>
      </c>
      <c r="F126" s="8">
        <v>0</v>
      </c>
      <c r="G126" s="18">
        <v>0</v>
      </c>
      <c r="H126" s="135" t="s">
        <v>460</v>
      </c>
      <c r="I126" s="137" t="s">
        <v>412</v>
      </c>
      <c r="J126" s="137">
        <v>4</v>
      </c>
      <c r="K126" s="150">
        <v>205.078124</v>
      </c>
      <c r="L126" s="150">
        <v>29.61</v>
      </c>
      <c r="M126" s="150">
        <v>17.983000000000001</v>
      </c>
      <c r="N126" s="152">
        <v>42.0625</v>
      </c>
    </row>
    <row r="127" spans="1:14" x14ac:dyDescent="0.3">
      <c r="A127" s="135" t="s">
        <v>454</v>
      </c>
      <c r="B127" s="137" t="s">
        <v>422</v>
      </c>
      <c r="C127" s="137">
        <v>5</v>
      </c>
      <c r="D127" s="9">
        <v>0</v>
      </c>
      <c r="E127" s="8">
        <v>0</v>
      </c>
      <c r="F127" s="8">
        <v>0</v>
      </c>
      <c r="G127" s="18">
        <v>0</v>
      </c>
      <c r="H127" s="142" t="s">
        <v>460</v>
      </c>
      <c r="I127" s="143" t="s">
        <v>413</v>
      </c>
      <c r="J127" s="143">
        <v>1</v>
      </c>
      <c r="K127" s="150">
        <v>229.6875</v>
      </c>
      <c r="L127" s="150">
        <v>32.76</v>
      </c>
      <c r="M127" s="150">
        <v>16.128</v>
      </c>
      <c r="N127" s="152">
        <v>29.5</v>
      </c>
    </row>
    <row r="128" spans="1:14" x14ac:dyDescent="0.3">
      <c r="A128" s="135" t="s">
        <v>454</v>
      </c>
      <c r="B128" s="137" t="s">
        <v>422</v>
      </c>
      <c r="C128" s="137">
        <v>6</v>
      </c>
      <c r="D128" s="9">
        <v>0</v>
      </c>
      <c r="E128" s="8">
        <v>0</v>
      </c>
      <c r="F128" s="8">
        <v>0</v>
      </c>
      <c r="G128" s="18">
        <v>0</v>
      </c>
      <c r="H128" s="135" t="s">
        <v>460</v>
      </c>
      <c r="I128" s="136" t="s">
        <v>413</v>
      </c>
      <c r="J128" s="137">
        <v>2</v>
      </c>
      <c r="K128" s="150">
        <v>213.28125</v>
      </c>
      <c r="L128" s="150">
        <v>30.660000000000004</v>
      </c>
      <c r="M128" s="150">
        <v>16.128</v>
      </c>
      <c r="N128" s="152">
        <v>29.75</v>
      </c>
    </row>
    <row r="129" spans="1:14" x14ac:dyDescent="0.3">
      <c r="A129" s="135" t="s">
        <v>454</v>
      </c>
      <c r="B129" s="137" t="s">
        <v>422</v>
      </c>
      <c r="C129" s="137">
        <v>7</v>
      </c>
      <c r="D129" s="9">
        <v>0</v>
      </c>
      <c r="E129" s="8">
        <v>0</v>
      </c>
      <c r="F129" s="8">
        <v>0</v>
      </c>
      <c r="G129" s="18">
        <v>0</v>
      </c>
      <c r="H129" s="135" t="s">
        <v>460</v>
      </c>
      <c r="I129" s="137" t="s">
        <v>413</v>
      </c>
      <c r="J129" s="137">
        <v>3</v>
      </c>
      <c r="K129" s="150">
        <v>207.8125</v>
      </c>
      <c r="L129" s="150">
        <v>29.96</v>
      </c>
      <c r="M129" s="150">
        <v>16.128</v>
      </c>
      <c r="N129" s="152">
        <v>30.833334333333333</v>
      </c>
    </row>
    <row r="130" spans="1:14" x14ac:dyDescent="0.3">
      <c r="A130" s="135" t="s">
        <v>454</v>
      </c>
      <c r="B130" s="137" t="s">
        <v>422</v>
      </c>
      <c r="C130" s="137">
        <v>8</v>
      </c>
      <c r="D130" s="9">
        <v>0</v>
      </c>
      <c r="E130" s="8">
        <v>0</v>
      </c>
      <c r="F130" s="8">
        <v>0</v>
      </c>
      <c r="G130" s="18">
        <v>0</v>
      </c>
      <c r="H130" s="135" t="s">
        <v>460</v>
      </c>
      <c r="I130" s="137" t="s">
        <v>413</v>
      </c>
      <c r="J130" s="137">
        <v>4</v>
      </c>
      <c r="K130" s="150">
        <v>205.078124</v>
      </c>
      <c r="L130" s="150">
        <v>29.61</v>
      </c>
      <c r="M130" s="150">
        <v>16.128</v>
      </c>
      <c r="N130" s="152">
        <v>32.0625</v>
      </c>
    </row>
    <row r="131" spans="1:14" x14ac:dyDescent="0.3">
      <c r="A131" s="135" t="s">
        <v>454</v>
      </c>
      <c r="B131" s="137" t="s">
        <v>422</v>
      </c>
      <c r="C131" s="137">
        <v>9</v>
      </c>
      <c r="D131" s="9">
        <v>0</v>
      </c>
      <c r="E131" s="8">
        <v>0</v>
      </c>
      <c r="F131" s="8">
        <v>0</v>
      </c>
      <c r="G131" s="18">
        <v>0</v>
      </c>
      <c r="H131" s="142" t="s">
        <v>460</v>
      </c>
      <c r="I131" s="143" t="s">
        <v>414</v>
      </c>
      <c r="J131" s="143">
        <v>1</v>
      </c>
      <c r="K131" s="150">
        <v>229.6875</v>
      </c>
      <c r="L131" s="150">
        <v>32.76</v>
      </c>
      <c r="M131" s="150">
        <v>10.108000000000001</v>
      </c>
      <c r="N131" s="152">
        <v>26.75</v>
      </c>
    </row>
    <row r="132" spans="1:14" x14ac:dyDescent="0.3">
      <c r="A132" s="135" t="s">
        <v>454</v>
      </c>
      <c r="B132" s="137" t="s">
        <v>422</v>
      </c>
      <c r="C132" s="137">
        <v>10</v>
      </c>
      <c r="D132" s="9">
        <v>0</v>
      </c>
      <c r="E132" s="8">
        <v>0</v>
      </c>
      <c r="F132" s="8">
        <v>0</v>
      </c>
      <c r="G132" s="18">
        <v>0</v>
      </c>
      <c r="H132" s="135" t="s">
        <v>460</v>
      </c>
      <c r="I132" s="136" t="s">
        <v>414</v>
      </c>
      <c r="J132" s="137">
        <v>2</v>
      </c>
      <c r="K132" s="150">
        <v>213.28125</v>
      </c>
      <c r="L132" s="150">
        <v>30.660000000000004</v>
      </c>
      <c r="M132" s="150">
        <v>13.118001</v>
      </c>
      <c r="N132" s="152">
        <v>27.625001000000005</v>
      </c>
    </row>
    <row r="133" spans="1:14" x14ac:dyDescent="0.3">
      <c r="A133" s="135" t="s">
        <v>454</v>
      </c>
      <c r="B133" s="137" t="s">
        <v>422</v>
      </c>
      <c r="C133" s="137">
        <v>11</v>
      </c>
      <c r="D133" s="9">
        <v>0</v>
      </c>
      <c r="E133" s="8">
        <v>0</v>
      </c>
      <c r="F133" s="8">
        <v>0</v>
      </c>
      <c r="G133" s="18">
        <v>0</v>
      </c>
      <c r="H133" s="135" t="s">
        <v>460</v>
      </c>
      <c r="I133" s="137" t="s">
        <v>414</v>
      </c>
      <c r="J133" s="137">
        <v>3</v>
      </c>
      <c r="K133" s="150">
        <v>207.8125</v>
      </c>
      <c r="L133" s="150">
        <v>29.96</v>
      </c>
      <c r="M133" s="150">
        <v>14.121333333333334</v>
      </c>
      <c r="N133" s="152">
        <v>28.833333</v>
      </c>
    </row>
    <row r="134" spans="1:14" x14ac:dyDescent="0.3">
      <c r="A134" s="135" t="s">
        <v>454</v>
      </c>
      <c r="B134" s="137" t="s">
        <v>422</v>
      </c>
      <c r="C134" s="137">
        <v>12</v>
      </c>
      <c r="D134" s="9">
        <v>0</v>
      </c>
      <c r="E134" s="8">
        <v>0</v>
      </c>
      <c r="F134" s="8">
        <v>0</v>
      </c>
      <c r="G134" s="18">
        <v>0</v>
      </c>
      <c r="H134" s="135" t="s">
        <v>460</v>
      </c>
      <c r="I134" s="137" t="s">
        <v>414</v>
      </c>
      <c r="J134" s="137">
        <v>4</v>
      </c>
      <c r="K134" s="150">
        <v>205.078124</v>
      </c>
      <c r="L134" s="150">
        <v>29.61</v>
      </c>
      <c r="M134" s="150">
        <v>14.622999999999999</v>
      </c>
      <c r="N134" s="152">
        <v>30.1875</v>
      </c>
    </row>
    <row r="135" spans="1:14" x14ac:dyDescent="0.3">
      <c r="A135" s="135" t="s">
        <v>454</v>
      </c>
      <c r="B135" s="137" t="s">
        <v>422</v>
      </c>
      <c r="C135" s="137">
        <v>13</v>
      </c>
      <c r="D135" s="9">
        <v>0</v>
      </c>
      <c r="E135" s="8">
        <v>0</v>
      </c>
      <c r="F135" s="8">
        <v>0</v>
      </c>
      <c r="G135" s="18">
        <v>0</v>
      </c>
      <c r="H135" s="142" t="s">
        <v>460</v>
      </c>
      <c r="I135" s="143" t="s">
        <v>415</v>
      </c>
      <c r="J135" s="143">
        <v>1</v>
      </c>
      <c r="K135" s="150">
        <v>229.6875</v>
      </c>
      <c r="L135" s="150">
        <v>32.76</v>
      </c>
      <c r="M135" s="150">
        <v>10.108000000000001</v>
      </c>
      <c r="N135" s="152">
        <v>52</v>
      </c>
    </row>
    <row r="136" spans="1:14" x14ac:dyDescent="0.3">
      <c r="A136" s="135" t="s">
        <v>454</v>
      </c>
      <c r="B136" s="137" t="s">
        <v>422</v>
      </c>
      <c r="C136" s="137">
        <v>14</v>
      </c>
      <c r="D136" s="9">
        <v>0</v>
      </c>
      <c r="E136" s="8">
        <v>0</v>
      </c>
      <c r="F136" s="8">
        <v>0</v>
      </c>
      <c r="G136" s="18">
        <v>0</v>
      </c>
      <c r="H136" s="135" t="s">
        <v>460</v>
      </c>
      <c r="I136" s="136" t="s">
        <v>415</v>
      </c>
      <c r="J136" s="137">
        <v>2</v>
      </c>
      <c r="K136" s="150">
        <v>213.28125</v>
      </c>
      <c r="L136" s="150">
        <v>30.660000000000004</v>
      </c>
      <c r="M136" s="150">
        <v>13.118001</v>
      </c>
      <c r="N136" s="152">
        <v>40.25</v>
      </c>
    </row>
    <row r="137" spans="1:14" x14ac:dyDescent="0.3">
      <c r="A137" s="135" t="s">
        <v>454</v>
      </c>
      <c r="B137" s="137" t="s">
        <v>422</v>
      </c>
      <c r="C137" s="137">
        <v>15</v>
      </c>
      <c r="D137" s="9">
        <v>0</v>
      </c>
      <c r="E137" s="8">
        <v>0</v>
      </c>
      <c r="F137" s="8">
        <v>0</v>
      </c>
      <c r="G137" s="18">
        <v>0</v>
      </c>
      <c r="H137" s="135" t="s">
        <v>460</v>
      </c>
      <c r="I137" s="137" t="s">
        <v>415</v>
      </c>
      <c r="J137" s="137">
        <v>3</v>
      </c>
      <c r="K137" s="150">
        <v>207.8125</v>
      </c>
      <c r="L137" s="150">
        <v>29.96</v>
      </c>
      <c r="M137" s="150">
        <v>14.121333333333334</v>
      </c>
      <c r="N137" s="152">
        <v>37.250000666666672</v>
      </c>
    </row>
    <row r="138" spans="1:14" x14ac:dyDescent="0.3">
      <c r="A138" s="135" t="s">
        <v>454</v>
      </c>
      <c r="B138" s="137" t="s">
        <v>422</v>
      </c>
      <c r="C138" s="137">
        <v>16</v>
      </c>
      <c r="D138" s="9">
        <v>0</v>
      </c>
      <c r="E138" s="8">
        <v>0</v>
      </c>
      <c r="F138" s="8">
        <v>0</v>
      </c>
      <c r="G138" s="18">
        <v>0</v>
      </c>
      <c r="H138" s="135" t="s">
        <v>460</v>
      </c>
      <c r="I138" s="137" t="s">
        <v>415</v>
      </c>
      <c r="J138" s="137">
        <v>4</v>
      </c>
      <c r="K138" s="150">
        <v>205.078124</v>
      </c>
      <c r="L138" s="150">
        <v>29.61</v>
      </c>
      <c r="M138" s="150">
        <v>14.622999999999999</v>
      </c>
      <c r="N138" s="152">
        <v>36.5</v>
      </c>
    </row>
    <row r="139" spans="1:14" x14ac:dyDescent="0.3">
      <c r="A139" s="135" t="s">
        <v>454</v>
      </c>
      <c r="B139" s="137" t="s">
        <v>422</v>
      </c>
      <c r="C139" s="137">
        <v>17</v>
      </c>
      <c r="D139" s="9">
        <v>0</v>
      </c>
      <c r="E139" s="8">
        <v>0</v>
      </c>
      <c r="F139" s="8">
        <v>0</v>
      </c>
      <c r="G139" s="18">
        <v>0</v>
      </c>
      <c r="H139" s="142" t="s">
        <v>460</v>
      </c>
      <c r="I139" s="143" t="s">
        <v>422</v>
      </c>
      <c r="J139" s="143">
        <v>1</v>
      </c>
      <c r="K139" s="150">
        <v>229.6875</v>
      </c>
      <c r="L139" s="150">
        <v>32.76</v>
      </c>
      <c r="M139" s="150">
        <v>10.108000000000001</v>
      </c>
      <c r="N139" s="152">
        <v>26.25</v>
      </c>
    </row>
    <row r="140" spans="1:14" x14ac:dyDescent="0.3">
      <c r="A140" s="135" t="s">
        <v>454</v>
      </c>
      <c r="B140" s="137" t="s">
        <v>422</v>
      </c>
      <c r="C140" s="137">
        <v>18</v>
      </c>
      <c r="D140" s="9">
        <v>0</v>
      </c>
      <c r="E140" s="8">
        <v>0</v>
      </c>
      <c r="F140" s="8">
        <v>0</v>
      </c>
      <c r="G140" s="18">
        <v>0</v>
      </c>
      <c r="H140" s="135" t="s">
        <v>460</v>
      </c>
      <c r="I140" s="136" t="s">
        <v>422</v>
      </c>
      <c r="J140" s="137">
        <v>2</v>
      </c>
      <c r="K140" s="150">
        <v>213.28125</v>
      </c>
      <c r="L140" s="150">
        <v>30.660000000000004</v>
      </c>
      <c r="M140" s="150">
        <v>13.118001</v>
      </c>
      <c r="N140" s="152">
        <v>26.999998999999995</v>
      </c>
    </row>
    <row r="141" spans="1:14" x14ac:dyDescent="0.3">
      <c r="A141" s="135" t="s">
        <v>454</v>
      </c>
      <c r="B141" s="137" t="s">
        <v>422</v>
      </c>
      <c r="C141" s="137">
        <v>19</v>
      </c>
      <c r="D141" s="9">
        <v>0</v>
      </c>
      <c r="E141" s="8">
        <v>0</v>
      </c>
      <c r="F141" s="8">
        <v>0</v>
      </c>
      <c r="G141" s="18">
        <v>0</v>
      </c>
      <c r="H141" s="135" t="s">
        <v>460</v>
      </c>
      <c r="I141" s="137" t="s">
        <v>422</v>
      </c>
      <c r="J141" s="137">
        <v>3</v>
      </c>
      <c r="K141" s="150">
        <v>207.8125</v>
      </c>
      <c r="L141" s="150">
        <v>29.96</v>
      </c>
      <c r="M141" s="150">
        <v>14.121333333333334</v>
      </c>
      <c r="N141" s="152">
        <v>28.25</v>
      </c>
    </row>
    <row r="142" spans="1:14" x14ac:dyDescent="0.3">
      <c r="A142" s="135" t="s">
        <v>454</v>
      </c>
      <c r="B142" s="137" t="s">
        <v>422</v>
      </c>
      <c r="C142" s="137">
        <v>20</v>
      </c>
      <c r="D142" s="9">
        <v>0</v>
      </c>
      <c r="E142" s="8">
        <v>0</v>
      </c>
      <c r="F142" s="8">
        <v>0</v>
      </c>
      <c r="G142" s="18">
        <v>0</v>
      </c>
      <c r="H142" s="135" t="s">
        <v>460</v>
      </c>
      <c r="I142" s="137" t="s">
        <v>422</v>
      </c>
      <c r="J142" s="137">
        <v>4</v>
      </c>
      <c r="K142" s="150">
        <v>205.078124</v>
      </c>
      <c r="L142" s="150">
        <v>29.61</v>
      </c>
      <c r="M142" s="150">
        <v>14.622999999999999</v>
      </c>
      <c r="N142" s="152">
        <v>29.5625</v>
      </c>
    </row>
    <row r="143" spans="1:14" x14ac:dyDescent="0.3">
      <c r="A143" s="135" t="s">
        <v>454</v>
      </c>
      <c r="B143" s="137" t="s">
        <v>422</v>
      </c>
      <c r="C143" s="137">
        <v>21</v>
      </c>
      <c r="D143" s="9">
        <v>0</v>
      </c>
      <c r="E143" s="8">
        <v>0</v>
      </c>
      <c r="F143" s="8">
        <v>0</v>
      </c>
      <c r="G143" s="18">
        <v>0</v>
      </c>
      <c r="H143" s="142" t="s">
        <v>461</v>
      </c>
      <c r="I143" s="143" t="s">
        <v>412</v>
      </c>
      <c r="J143" s="143">
        <v>1</v>
      </c>
      <c r="K143" s="150">
        <v>196.875</v>
      </c>
      <c r="L143" s="150">
        <v>28.56</v>
      </c>
      <c r="M143" s="150">
        <v>10.108000000000001</v>
      </c>
      <c r="N143" s="152">
        <v>55</v>
      </c>
    </row>
    <row r="144" spans="1:14" x14ac:dyDescent="0.3">
      <c r="A144" s="135" t="s">
        <v>454</v>
      </c>
      <c r="B144" s="137" t="s">
        <v>422</v>
      </c>
      <c r="C144" s="137">
        <v>22</v>
      </c>
      <c r="D144" s="9">
        <v>0</v>
      </c>
      <c r="E144" s="8">
        <v>0</v>
      </c>
      <c r="F144" s="8">
        <v>0</v>
      </c>
      <c r="G144" s="18">
        <v>0</v>
      </c>
      <c r="H144" s="135" t="s">
        <v>461</v>
      </c>
      <c r="I144" s="136" t="s">
        <v>412</v>
      </c>
      <c r="J144" s="137">
        <v>2</v>
      </c>
      <c r="K144" s="150">
        <v>196.875</v>
      </c>
      <c r="L144" s="150">
        <v>28.56</v>
      </c>
      <c r="M144" s="150">
        <v>13.118001</v>
      </c>
      <c r="N144" s="152">
        <v>42.125</v>
      </c>
    </row>
    <row r="145" spans="1:14" x14ac:dyDescent="0.3">
      <c r="A145" s="135" t="s">
        <v>454</v>
      </c>
      <c r="B145" s="137" t="s">
        <v>422</v>
      </c>
      <c r="C145" s="137">
        <v>23</v>
      </c>
      <c r="D145" s="9">
        <v>0</v>
      </c>
      <c r="E145" s="8">
        <v>0</v>
      </c>
      <c r="F145" s="8">
        <v>0</v>
      </c>
      <c r="G145" s="18">
        <v>0</v>
      </c>
      <c r="H145" s="135" t="s">
        <v>461</v>
      </c>
      <c r="I145" s="137" t="s">
        <v>412</v>
      </c>
      <c r="J145" s="137">
        <v>3</v>
      </c>
      <c r="K145" s="150">
        <v>196.875</v>
      </c>
      <c r="L145" s="150">
        <v>28.56</v>
      </c>
      <c r="M145" s="150">
        <v>14.121333333333334</v>
      </c>
      <c r="N145" s="152">
        <v>38.74999966666666</v>
      </c>
    </row>
    <row r="146" spans="1:14" x14ac:dyDescent="0.3">
      <c r="A146" s="135" t="s">
        <v>454</v>
      </c>
      <c r="B146" s="137" t="s">
        <v>422</v>
      </c>
      <c r="C146" s="137">
        <v>24</v>
      </c>
      <c r="D146" s="9">
        <v>0</v>
      </c>
      <c r="E146" s="8">
        <v>0</v>
      </c>
      <c r="F146" s="8">
        <v>0</v>
      </c>
      <c r="G146" s="18">
        <v>0</v>
      </c>
      <c r="H146" s="135" t="s">
        <v>461</v>
      </c>
      <c r="I146" s="137" t="s">
        <v>412</v>
      </c>
      <c r="J146" s="137">
        <v>4</v>
      </c>
      <c r="K146" s="150">
        <v>196.875</v>
      </c>
      <c r="L146" s="150">
        <v>28.56</v>
      </c>
      <c r="M146" s="150">
        <v>14.622999999999999</v>
      </c>
      <c r="N146" s="152">
        <v>37.75</v>
      </c>
    </row>
    <row r="147" spans="1:14" x14ac:dyDescent="0.3">
      <c r="A147" s="135" t="s">
        <v>454</v>
      </c>
      <c r="B147" s="137" t="s">
        <v>422</v>
      </c>
      <c r="C147" s="137">
        <v>25</v>
      </c>
      <c r="D147" s="9">
        <v>0</v>
      </c>
      <c r="E147" s="8">
        <v>0</v>
      </c>
      <c r="F147" s="8">
        <v>0</v>
      </c>
      <c r="G147" s="18">
        <v>0</v>
      </c>
      <c r="H147" s="142" t="s">
        <v>461</v>
      </c>
      <c r="I147" s="143" t="s">
        <v>413</v>
      </c>
      <c r="J147" s="143">
        <v>1</v>
      </c>
      <c r="K147" s="150">
        <v>196.875</v>
      </c>
      <c r="L147" s="150">
        <v>28.56</v>
      </c>
      <c r="M147" s="150">
        <v>10.108000000000001</v>
      </c>
      <c r="N147" s="152">
        <v>24.5</v>
      </c>
    </row>
    <row r="148" spans="1:14" x14ac:dyDescent="0.3">
      <c r="A148" s="135" t="s">
        <v>454</v>
      </c>
      <c r="B148" s="137" t="s">
        <v>422</v>
      </c>
      <c r="C148" s="137">
        <v>26</v>
      </c>
      <c r="D148" s="9">
        <v>0</v>
      </c>
      <c r="E148" s="8">
        <v>0</v>
      </c>
      <c r="F148" s="8">
        <v>0</v>
      </c>
      <c r="G148" s="18">
        <v>0</v>
      </c>
      <c r="H148" s="135" t="s">
        <v>461</v>
      </c>
      <c r="I148" s="136" t="s">
        <v>413</v>
      </c>
      <c r="J148" s="137">
        <v>2</v>
      </c>
      <c r="K148" s="150">
        <v>196.875</v>
      </c>
      <c r="L148" s="150">
        <v>28.56</v>
      </c>
      <c r="M148" s="150">
        <v>13.118001</v>
      </c>
      <c r="N148" s="152">
        <v>26.375001000000005</v>
      </c>
    </row>
    <row r="149" spans="1:14" x14ac:dyDescent="0.3">
      <c r="A149" s="135" t="s">
        <v>454</v>
      </c>
      <c r="B149" s="137" t="s">
        <v>422</v>
      </c>
      <c r="C149" s="137">
        <v>27</v>
      </c>
      <c r="D149" s="9">
        <v>0</v>
      </c>
      <c r="E149" s="8">
        <v>0</v>
      </c>
      <c r="F149" s="8">
        <v>0</v>
      </c>
      <c r="G149" s="18">
        <v>0</v>
      </c>
      <c r="H149" s="135" t="s">
        <v>461</v>
      </c>
      <c r="I149" s="137" t="s">
        <v>413</v>
      </c>
      <c r="J149" s="137">
        <v>3</v>
      </c>
      <c r="K149" s="150">
        <v>196.875</v>
      </c>
      <c r="L149" s="150">
        <v>28.56</v>
      </c>
      <c r="M149" s="150">
        <v>14.121333333333334</v>
      </c>
      <c r="N149" s="152">
        <v>27.999999333333331</v>
      </c>
    </row>
    <row r="150" spans="1:14" x14ac:dyDescent="0.3">
      <c r="A150" s="135" t="s">
        <v>454</v>
      </c>
      <c r="B150" s="137" t="s">
        <v>422</v>
      </c>
      <c r="C150" s="137">
        <v>28</v>
      </c>
      <c r="D150" s="9">
        <v>0</v>
      </c>
      <c r="E150" s="8">
        <v>0</v>
      </c>
      <c r="F150" s="8">
        <v>0</v>
      </c>
      <c r="G150" s="18">
        <v>0</v>
      </c>
      <c r="H150" s="135" t="s">
        <v>461</v>
      </c>
      <c r="I150" s="137" t="s">
        <v>413</v>
      </c>
      <c r="J150" s="137">
        <v>4</v>
      </c>
      <c r="K150" s="150">
        <v>196.875</v>
      </c>
      <c r="L150" s="150">
        <v>28.56</v>
      </c>
      <c r="M150" s="150">
        <v>14.622999999999999</v>
      </c>
      <c r="N150" s="152">
        <v>29.5625</v>
      </c>
    </row>
    <row r="151" spans="1:14" x14ac:dyDescent="0.3">
      <c r="A151" s="135" t="s">
        <v>454</v>
      </c>
      <c r="B151" s="137" t="s">
        <v>422</v>
      </c>
      <c r="C151" s="137">
        <v>29</v>
      </c>
      <c r="D151" s="9">
        <v>0</v>
      </c>
      <c r="E151" s="8">
        <v>0</v>
      </c>
      <c r="F151" s="8">
        <v>0</v>
      </c>
      <c r="G151" s="18">
        <v>0</v>
      </c>
      <c r="H151" s="142" t="s">
        <v>461</v>
      </c>
      <c r="I151" s="143" t="s">
        <v>414</v>
      </c>
      <c r="J151" s="143">
        <v>1</v>
      </c>
      <c r="K151" s="150">
        <v>196.875</v>
      </c>
      <c r="L151" s="150">
        <v>28.56</v>
      </c>
      <c r="M151" s="150">
        <v>10.108000000000001</v>
      </c>
      <c r="N151" s="152">
        <v>22.5</v>
      </c>
    </row>
    <row r="152" spans="1:14" x14ac:dyDescent="0.3">
      <c r="A152" s="138" t="s">
        <v>454</v>
      </c>
      <c r="B152" s="137" t="s">
        <v>422</v>
      </c>
      <c r="C152" s="137">
        <v>30</v>
      </c>
      <c r="D152" s="9">
        <v>0</v>
      </c>
      <c r="E152" s="8">
        <v>0</v>
      </c>
      <c r="F152" s="8">
        <v>0</v>
      </c>
      <c r="G152" s="18">
        <v>0</v>
      </c>
      <c r="H152" s="135" t="s">
        <v>461</v>
      </c>
      <c r="I152" s="136" t="s">
        <v>414</v>
      </c>
      <c r="J152" s="137">
        <v>2</v>
      </c>
      <c r="K152" s="150">
        <v>196.875</v>
      </c>
      <c r="L152" s="150">
        <v>28.56</v>
      </c>
      <c r="M152" s="150">
        <v>10.107999</v>
      </c>
      <c r="N152" s="152">
        <v>24.125</v>
      </c>
    </row>
    <row r="153" spans="1:14" x14ac:dyDescent="0.3">
      <c r="A153" s="141" t="s">
        <v>455</v>
      </c>
      <c r="B153" s="136" t="s">
        <v>412</v>
      </c>
      <c r="C153" s="136">
        <v>1</v>
      </c>
      <c r="D153" s="9">
        <v>0</v>
      </c>
      <c r="E153" s="8">
        <v>0</v>
      </c>
      <c r="F153" s="8">
        <v>0</v>
      </c>
      <c r="G153" s="18">
        <v>0</v>
      </c>
      <c r="H153" s="135" t="s">
        <v>461</v>
      </c>
      <c r="I153" s="137" t="s">
        <v>414</v>
      </c>
      <c r="J153" s="137">
        <v>3</v>
      </c>
      <c r="K153" s="150">
        <v>196.875</v>
      </c>
      <c r="L153" s="150">
        <v>28.56</v>
      </c>
      <c r="M153" s="150">
        <v>12.114666666666666</v>
      </c>
      <c r="N153" s="152">
        <v>25.916666000000003</v>
      </c>
    </row>
    <row r="154" spans="1:14" x14ac:dyDescent="0.3">
      <c r="A154" s="135" t="s">
        <v>455</v>
      </c>
      <c r="B154" s="136" t="s">
        <v>412</v>
      </c>
      <c r="C154" s="137">
        <v>2</v>
      </c>
      <c r="D154" s="9">
        <v>0</v>
      </c>
      <c r="E154" s="8">
        <v>0</v>
      </c>
      <c r="F154" s="8">
        <v>0</v>
      </c>
      <c r="G154" s="18">
        <v>0</v>
      </c>
      <c r="H154" s="135" t="s">
        <v>461</v>
      </c>
      <c r="I154" s="137" t="s">
        <v>414</v>
      </c>
      <c r="J154" s="137">
        <v>4</v>
      </c>
      <c r="K154" s="150">
        <v>196.875</v>
      </c>
      <c r="L154" s="150">
        <v>28.56</v>
      </c>
      <c r="M154" s="150">
        <v>13.118</v>
      </c>
      <c r="N154" s="152">
        <v>27.5625</v>
      </c>
    </row>
    <row r="155" spans="1:14" x14ac:dyDescent="0.3">
      <c r="A155" s="135" t="s">
        <v>455</v>
      </c>
      <c r="B155" s="137" t="s">
        <v>412</v>
      </c>
      <c r="C155" s="137">
        <v>3</v>
      </c>
      <c r="D155" s="9">
        <v>0</v>
      </c>
      <c r="E155" s="8">
        <v>0</v>
      </c>
      <c r="F155" s="8">
        <v>0</v>
      </c>
      <c r="G155" s="18">
        <v>0</v>
      </c>
      <c r="H155" s="142" t="s">
        <v>461</v>
      </c>
      <c r="I155" s="143" t="s">
        <v>415</v>
      </c>
      <c r="J155" s="143">
        <v>1</v>
      </c>
      <c r="K155" s="150">
        <v>196.875</v>
      </c>
      <c r="L155" s="150">
        <v>28.56</v>
      </c>
      <c r="M155" s="150">
        <v>10.108000000000001</v>
      </c>
      <c r="N155" s="152">
        <v>41.25</v>
      </c>
    </row>
    <row r="156" spans="1:14" x14ac:dyDescent="0.3">
      <c r="A156" s="135" t="s">
        <v>455</v>
      </c>
      <c r="B156" s="137" t="s">
        <v>412</v>
      </c>
      <c r="C156" s="137">
        <v>4</v>
      </c>
      <c r="D156" s="9">
        <v>0</v>
      </c>
      <c r="E156" s="8">
        <v>0</v>
      </c>
      <c r="F156" s="8">
        <v>0</v>
      </c>
      <c r="G156" s="18">
        <v>0</v>
      </c>
      <c r="H156" s="135" t="s">
        <v>461</v>
      </c>
      <c r="I156" s="136" t="s">
        <v>415</v>
      </c>
      <c r="J156" s="137">
        <v>2</v>
      </c>
      <c r="K156" s="150">
        <v>196.875</v>
      </c>
      <c r="L156" s="150">
        <v>28.56</v>
      </c>
      <c r="M156" s="150">
        <v>10.107999</v>
      </c>
      <c r="N156" s="152">
        <v>33.499998999999995</v>
      </c>
    </row>
    <row r="157" spans="1:14" x14ac:dyDescent="0.3">
      <c r="A157" s="135" t="s">
        <v>455</v>
      </c>
      <c r="B157" s="137" t="s">
        <v>412</v>
      </c>
      <c r="C157" s="137">
        <v>5</v>
      </c>
      <c r="D157" s="9">
        <v>0</v>
      </c>
      <c r="E157" s="8">
        <v>0</v>
      </c>
      <c r="F157" s="8">
        <v>0</v>
      </c>
      <c r="G157" s="18">
        <v>0</v>
      </c>
      <c r="H157" s="135" t="s">
        <v>461</v>
      </c>
      <c r="I157" s="137" t="s">
        <v>415</v>
      </c>
      <c r="J157" s="137">
        <v>3</v>
      </c>
      <c r="K157" s="150">
        <v>196.875</v>
      </c>
      <c r="L157" s="150">
        <v>28.56</v>
      </c>
      <c r="M157" s="150">
        <v>12.114666666666666</v>
      </c>
      <c r="N157" s="152">
        <v>32.249999666666668</v>
      </c>
    </row>
    <row r="158" spans="1:14" x14ac:dyDescent="0.3">
      <c r="A158" s="135" t="s">
        <v>455</v>
      </c>
      <c r="B158" s="137" t="s">
        <v>412</v>
      </c>
      <c r="C158" s="137">
        <v>6</v>
      </c>
      <c r="D158" s="9">
        <v>0</v>
      </c>
      <c r="E158" s="8">
        <v>0</v>
      </c>
      <c r="F158" s="8">
        <v>0</v>
      </c>
      <c r="G158" s="18">
        <v>0</v>
      </c>
      <c r="H158" s="135" t="s">
        <v>461</v>
      </c>
      <c r="I158" s="137" t="s">
        <v>415</v>
      </c>
      <c r="J158" s="137">
        <v>4</v>
      </c>
      <c r="K158" s="150">
        <v>196.875</v>
      </c>
      <c r="L158" s="150">
        <v>28.56</v>
      </c>
      <c r="M158" s="150">
        <v>13.118</v>
      </c>
      <c r="N158" s="152">
        <v>32.3125</v>
      </c>
    </row>
    <row r="159" spans="1:14" x14ac:dyDescent="0.3">
      <c r="A159" s="135" t="s">
        <v>455</v>
      </c>
      <c r="B159" s="137" t="s">
        <v>412</v>
      </c>
      <c r="C159" s="137">
        <v>7</v>
      </c>
      <c r="D159" s="9">
        <v>0</v>
      </c>
      <c r="E159" s="8">
        <v>0</v>
      </c>
      <c r="F159" s="8">
        <v>0</v>
      </c>
      <c r="G159" s="18">
        <v>0</v>
      </c>
      <c r="H159" s="142" t="s">
        <v>461</v>
      </c>
      <c r="I159" s="143" t="s">
        <v>422</v>
      </c>
      <c r="J159" s="143">
        <v>1</v>
      </c>
      <c r="K159" s="150">
        <v>196.875</v>
      </c>
      <c r="L159" s="150">
        <v>28.56</v>
      </c>
      <c r="M159" s="150">
        <v>10.108000000000001</v>
      </c>
      <c r="N159" s="152">
        <v>21.75</v>
      </c>
    </row>
    <row r="160" spans="1:14" x14ac:dyDescent="0.3">
      <c r="A160" s="135" t="s">
        <v>455</v>
      </c>
      <c r="B160" s="137" t="s">
        <v>412</v>
      </c>
      <c r="C160" s="137">
        <v>8</v>
      </c>
      <c r="D160" s="9">
        <v>0</v>
      </c>
      <c r="E160" s="8">
        <v>0</v>
      </c>
      <c r="F160" s="8">
        <v>0</v>
      </c>
      <c r="G160" s="18">
        <v>0</v>
      </c>
      <c r="H160" s="135" t="s">
        <v>461</v>
      </c>
      <c r="I160" s="136" t="s">
        <v>422</v>
      </c>
      <c r="J160" s="137">
        <v>2</v>
      </c>
      <c r="K160" s="150">
        <v>196.875</v>
      </c>
      <c r="L160" s="150">
        <v>28.56</v>
      </c>
      <c r="M160" s="150">
        <v>10.107999</v>
      </c>
      <c r="N160" s="152">
        <v>23.5</v>
      </c>
    </row>
    <row r="161" spans="1:14" x14ac:dyDescent="0.3">
      <c r="A161" s="135" t="s">
        <v>455</v>
      </c>
      <c r="B161" s="137" t="s">
        <v>412</v>
      </c>
      <c r="C161" s="137">
        <v>9</v>
      </c>
      <c r="D161" s="9">
        <v>0</v>
      </c>
      <c r="E161" s="8">
        <v>0</v>
      </c>
      <c r="F161" s="8">
        <v>0</v>
      </c>
      <c r="G161" s="18">
        <v>0</v>
      </c>
      <c r="H161" s="135" t="s">
        <v>461</v>
      </c>
      <c r="I161" s="137" t="s">
        <v>422</v>
      </c>
      <c r="J161" s="137">
        <v>3</v>
      </c>
      <c r="K161" s="150">
        <v>196.875</v>
      </c>
      <c r="L161" s="150">
        <v>28.56</v>
      </c>
      <c r="M161" s="150">
        <v>12.114666666666666</v>
      </c>
      <c r="N161" s="152">
        <v>25.333334333333333</v>
      </c>
    </row>
    <row r="162" spans="1:14" x14ac:dyDescent="0.3">
      <c r="A162" s="135" t="s">
        <v>455</v>
      </c>
      <c r="B162" s="137" t="s">
        <v>412</v>
      </c>
      <c r="C162" s="137">
        <v>10</v>
      </c>
      <c r="D162" s="9">
        <v>0</v>
      </c>
      <c r="E162" s="8">
        <v>0</v>
      </c>
      <c r="F162" s="8">
        <v>0</v>
      </c>
      <c r="G162" s="18">
        <v>0</v>
      </c>
      <c r="H162" s="135" t="s">
        <v>461</v>
      </c>
      <c r="I162" s="137" t="s">
        <v>422</v>
      </c>
      <c r="J162" s="137">
        <v>4</v>
      </c>
      <c r="K162" s="150">
        <v>196.875</v>
      </c>
      <c r="L162" s="150">
        <v>28.56</v>
      </c>
      <c r="M162" s="150">
        <v>13.118</v>
      </c>
      <c r="N162" s="152">
        <v>27</v>
      </c>
    </row>
    <row r="163" spans="1:14" x14ac:dyDescent="0.3">
      <c r="A163" s="135" t="s">
        <v>455</v>
      </c>
      <c r="B163" s="137" t="s">
        <v>412</v>
      </c>
      <c r="C163" s="137">
        <v>11</v>
      </c>
      <c r="D163" s="9">
        <v>0</v>
      </c>
      <c r="E163" s="8">
        <v>0</v>
      </c>
      <c r="F163" s="8">
        <v>0</v>
      </c>
      <c r="G163" s="18">
        <v>0</v>
      </c>
      <c r="H163" s="142" t="s">
        <v>462</v>
      </c>
      <c r="I163" s="143" t="s">
        <v>412</v>
      </c>
      <c r="J163" s="143">
        <v>1</v>
      </c>
      <c r="K163" s="9">
        <v>229.6875</v>
      </c>
      <c r="L163" s="8">
        <v>36.96</v>
      </c>
      <c r="M163" s="8">
        <v>16.128</v>
      </c>
      <c r="N163" s="18">
        <v>93.75</v>
      </c>
    </row>
    <row r="164" spans="1:14" x14ac:dyDescent="0.3">
      <c r="A164" s="135" t="s">
        <v>455</v>
      </c>
      <c r="B164" s="137" t="s">
        <v>412</v>
      </c>
      <c r="C164" s="137">
        <v>12</v>
      </c>
      <c r="D164" s="9">
        <v>0</v>
      </c>
      <c r="E164" s="8">
        <v>0</v>
      </c>
      <c r="F164" s="8">
        <v>0</v>
      </c>
      <c r="G164" s="18">
        <v>0</v>
      </c>
      <c r="H164" s="135" t="s">
        <v>462</v>
      </c>
      <c r="I164" s="136" t="s">
        <v>412</v>
      </c>
      <c r="J164" s="137">
        <v>2</v>
      </c>
      <c r="K164" s="9">
        <v>213.28125</v>
      </c>
      <c r="L164" s="8">
        <v>32.76</v>
      </c>
      <c r="M164" s="8">
        <v>16.128</v>
      </c>
      <c r="N164" s="18">
        <v>64.250000999999997</v>
      </c>
    </row>
    <row r="165" spans="1:14" x14ac:dyDescent="0.3">
      <c r="A165" s="135" t="s">
        <v>455</v>
      </c>
      <c r="B165" s="137" t="s">
        <v>412</v>
      </c>
      <c r="C165" s="137">
        <v>13</v>
      </c>
      <c r="D165" s="9">
        <v>0</v>
      </c>
      <c r="E165" s="8">
        <v>0</v>
      </c>
      <c r="F165" s="8">
        <v>0</v>
      </c>
      <c r="G165" s="18">
        <v>0</v>
      </c>
      <c r="H165" s="135" t="s">
        <v>462</v>
      </c>
      <c r="I165" s="137" t="s">
        <v>412</v>
      </c>
      <c r="J165" s="137">
        <v>3</v>
      </c>
      <c r="K165" s="9">
        <v>207.8125</v>
      </c>
      <c r="L165" s="8">
        <v>31.36</v>
      </c>
      <c r="M165" s="8">
        <v>18.601333333333333</v>
      </c>
      <c r="N165" s="18">
        <v>55.500000666666672</v>
      </c>
    </row>
    <row r="166" spans="1:14" x14ac:dyDescent="0.3">
      <c r="A166" s="135" t="s">
        <v>455</v>
      </c>
      <c r="B166" s="137" t="s">
        <v>412</v>
      </c>
      <c r="C166" s="137">
        <v>14</v>
      </c>
      <c r="D166" s="9">
        <v>0</v>
      </c>
      <c r="E166" s="8">
        <v>0</v>
      </c>
      <c r="F166" s="8">
        <v>0</v>
      </c>
      <c r="G166" s="18">
        <v>0</v>
      </c>
      <c r="H166" s="135" t="s">
        <v>462</v>
      </c>
      <c r="I166" s="137" t="s">
        <v>412</v>
      </c>
      <c r="J166" s="137">
        <v>4</v>
      </c>
      <c r="K166" s="9">
        <v>205.078124</v>
      </c>
      <c r="L166" s="8">
        <v>30.66</v>
      </c>
      <c r="M166" s="8">
        <v>19.838000000000001</v>
      </c>
      <c r="N166" s="18">
        <v>51.75</v>
      </c>
    </row>
    <row r="167" spans="1:14" x14ac:dyDescent="0.3">
      <c r="A167" s="135" t="s">
        <v>455</v>
      </c>
      <c r="B167" s="137" t="s">
        <v>412</v>
      </c>
      <c r="C167" s="137">
        <v>15</v>
      </c>
      <c r="D167" s="9">
        <v>0</v>
      </c>
      <c r="E167" s="8">
        <v>0</v>
      </c>
      <c r="F167" s="8">
        <v>0</v>
      </c>
      <c r="G167" s="18">
        <v>0</v>
      </c>
      <c r="H167" s="142" t="s">
        <v>462</v>
      </c>
      <c r="I167" s="143" t="s">
        <v>413</v>
      </c>
      <c r="J167" s="143">
        <v>1</v>
      </c>
      <c r="K167" s="150">
        <v>229.6875</v>
      </c>
      <c r="L167" s="150">
        <v>36.96</v>
      </c>
      <c r="M167" s="150">
        <v>16.128</v>
      </c>
      <c r="N167" s="152">
        <v>34.75</v>
      </c>
    </row>
    <row r="168" spans="1:14" x14ac:dyDescent="0.3">
      <c r="A168" s="135" t="s">
        <v>455</v>
      </c>
      <c r="B168" s="137" t="s">
        <v>412</v>
      </c>
      <c r="C168" s="137">
        <v>16</v>
      </c>
      <c r="D168" s="9">
        <v>0</v>
      </c>
      <c r="E168" s="8">
        <v>0</v>
      </c>
      <c r="F168" s="8">
        <v>0</v>
      </c>
      <c r="G168" s="18">
        <v>0</v>
      </c>
      <c r="H168" s="135" t="s">
        <v>462</v>
      </c>
      <c r="I168" s="136" t="s">
        <v>413</v>
      </c>
      <c r="J168" s="137">
        <v>2</v>
      </c>
      <c r="K168" s="150">
        <v>213.28125</v>
      </c>
      <c r="L168" s="150">
        <v>32.76</v>
      </c>
      <c r="M168" s="150">
        <v>16.128</v>
      </c>
      <c r="N168" s="152">
        <v>34.499998999999995</v>
      </c>
    </row>
    <row r="169" spans="1:14" x14ac:dyDescent="0.3">
      <c r="A169" s="135" t="s">
        <v>455</v>
      </c>
      <c r="B169" s="137" t="s">
        <v>412</v>
      </c>
      <c r="C169" s="137">
        <v>17</v>
      </c>
      <c r="D169" s="9">
        <v>0</v>
      </c>
      <c r="E169" s="8">
        <v>0</v>
      </c>
      <c r="F169" s="8">
        <v>0</v>
      </c>
      <c r="G169" s="18">
        <v>0</v>
      </c>
      <c r="H169" s="135" t="s">
        <v>462</v>
      </c>
      <c r="I169" s="137" t="s">
        <v>413</v>
      </c>
      <c r="J169" s="137">
        <v>3</v>
      </c>
      <c r="K169" s="150">
        <v>207.8125</v>
      </c>
      <c r="L169" s="150">
        <v>31.36</v>
      </c>
      <c r="M169" s="150">
        <v>18.601333333333333</v>
      </c>
      <c r="N169" s="152">
        <v>35.5</v>
      </c>
    </row>
    <row r="170" spans="1:14" x14ac:dyDescent="0.3">
      <c r="A170" s="135" t="s">
        <v>455</v>
      </c>
      <c r="B170" s="137" t="s">
        <v>412</v>
      </c>
      <c r="C170" s="137">
        <v>18</v>
      </c>
      <c r="D170" s="9">
        <v>0</v>
      </c>
      <c r="E170" s="8">
        <v>0</v>
      </c>
      <c r="F170" s="8">
        <v>0</v>
      </c>
      <c r="G170" s="18">
        <v>0</v>
      </c>
      <c r="H170" s="135" t="s">
        <v>462</v>
      </c>
      <c r="I170" s="137" t="s">
        <v>413</v>
      </c>
      <c r="J170" s="137">
        <v>4</v>
      </c>
      <c r="K170" s="150">
        <v>205.078124</v>
      </c>
      <c r="L170" s="150">
        <v>30.66</v>
      </c>
      <c r="M170" s="150">
        <v>19.838000000000001</v>
      </c>
      <c r="N170" s="152">
        <v>36.625</v>
      </c>
    </row>
    <row r="171" spans="1:14" x14ac:dyDescent="0.3">
      <c r="A171" s="135" t="s">
        <v>455</v>
      </c>
      <c r="B171" s="137" t="s">
        <v>412</v>
      </c>
      <c r="C171" s="137">
        <v>19</v>
      </c>
      <c r="D171" s="9">
        <v>0</v>
      </c>
      <c r="E171" s="8">
        <v>0</v>
      </c>
      <c r="F171" s="8">
        <v>0</v>
      </c>
      <c r="G171" s="18">
        <v>0</v>
      </c>
      <c r="H171" s="142" t="s">
        <v>462</v>
      </c>
      <c r="I171" s="143" t="s">
        <v>414</v>
      </c>
      <c r="J171" s="143">
        <v>1</v>
      </c>
      <c r="K171" s="9">
        <v>0</v>
      </c>
      <c r="L171" s="8">
        <v>0</v>
      </c>
      <c r="M171" s="8">
        <v>0</v>
      </c>
      <c r="N171" s="18">
        <v>0</v>
      </c>
    </row>
    <row r="172" spans="1:14" x14ac:dyDescent="0.3">
      <c r="A172" s="135" t="s">
        <v>455</v>
      </c>
      <c r="B172" s="137" t="s">
        <v>412</v>
      </c>
      <c r="C172" s="137">
        <v>20</v>
      </c>
      <c r="D172" s="9">
        <v>0</v>
      </c>
      <c r="E172" s="8">
        <v>0</v>
      </c>
      <c r="F172" s="8">
        <v>0</v>
      </c>
      <c r="G172" s="18">
        <v>0</v>
      </c>
      <c r="H172" s="135" t="s">
        <v>462</v>
      </c>
      <c r="I172" s="136" t="s">
        <v>414</v>
      </c>
      <c r="J172" s="137">
        <v>2</v>
      </c>
      <c r="K172" s="9">
        <v>0</v>
      </c>
      <c r="L172" s="8">
        <v>0</v>
      </c>
      <c r="M172" s="8">
        <v>0</v>
      </c>
      <c r="N172" s="18">
        <v>0</v>
      </c>
    </row>
    <row r="173" spans="1:14" x14ac:dyDescent="0.3">
      <c r="A173" s="135" t="s">
        <v>455</v>
      </c>
      <c r="B173" s="137" t="s">
        <v>412</v>
      </c>
      <c r="C173" s="137">
        <v>21</v>
      </c>
      <c r="D173" s="9">
        <v>0</v>
      </c>
      <c r="E173" s="8">
        <v>0</v>
      </c>
      <c r="F173" s="8">
        <v>0</v>
      </c>
      <c r="G173" s="18">
        <v>0</v>
      </c>
      <c r="H173" s="135" t="s">
        <v>462</v>
      </c>
      <c r="I173" s="137" t="s">
        <v>414</v>
      </c>
      <c r="J173" s="137">
        <v>3</v>
      </c>
      <c r="K173" s="9">
        <v>0</v>
      </c>
      <c r="L173" s="8">
        <v>0</v>
      </c>
      <c r="M173" s="8">
        <v>0</v>
      </c>
      <c r="N173" s="18">
        <v>0</v>
      </c>
    </row>
    <row r="174" spans="1:14" x14ac:dyDescent="0.3">
      <c r="A174" s="135" t="s">
        <v>455</v>
      </c>
      <c r="B174" s="137" t="s">
        <v>412</v>
      </c>
      <c r="C174" s="137">
        <v>22</v>
      </c>
      <c r="D174" s="9">
        <v>0</v>
      </c>
      <c r="E174" s="8">
        <v>0</v>
      </c>
      <c r="F174" s="8">
        <v>0</v>
      </c>
      <c r="G174" s="18">
        <v>0</v>
      </c>
      <c r="H174" s="135" t="s">
        <v>462</v>
      </c>
      <c r="I174" s="137" t="s">
        <v>414</v>
      </c>
      <c r="J174" s="137">
        <v>4</v>
      </c>
      <c r="K174" s="9">
        <v>0</v>
      </c>
      <c r="L174" s="8">
        <v>0</v>
      </c>
      <c r="M174" s="8">
        <v>0</v>
      </c>
      <c r="N174" s="18">
        <v>0</v>
      </c>
    </row>
    <row r="175" spans="1:14" x14ac:dyDescent="0.3">
      <c r="A175" s="135" t="s">
        <v>455</v>
      </c>
      <c r="B175" s="137" t="s">
        <v>412</v>
      </c>
      <c r="C175" s="137">
        <v>23</v>
      </c>
      <c r="D175" s="9">
        <v>0</v>
      </c>
      <c r="E175" s="8">
        <v>0</v>
      </c>
      <c r="F175" s="8">
        <v>0</v>
      </c>
      <c r="G175" s="18">
        <v>0</v>
      </c>
      <c r="H175" s="142" t="s">
        <v>462</v>
      </c>
      <c r="I175" s="143" t="s">
        <v>415</v>
      </c>
      <c r="J175" s="143">
        <v>1</v>
      </c>
      <c r="K175" s="9">
        <v>0</v>
      </c>
      <c r="L175" s="8">
        <v>0</v>
      </c>
      <c r="M175" s="8">
        <v>0</v>
      </c>
      <c r="N175" s="18">
        <v>0</v>
      </c>
    </row>
    <row r="176" spans="1:14" x14ac:dyDescent="0.3">
      <c r="A176" s="135" t="s">
        <v>455</v>
      </c>
      <c r="B176" s="137" t="s">
        <v>412</v>
      </c>
      <c r="C176" s="137">
        <v>24</v>
      </c>
      <c r="D176" s="9">
        <v>0</v>
      </c>
      <c r="E176" s="8">
        <v>0</v>
      </c>
      <c r="F176" s="8">
        <v>0</v>
      </c>
      <c r="G176" s="18">
        <v>0</v>
      </c>
      <c r="H176" s="135" t="s">
        <v>462</v>
      </c>
      <c r="I176" s="136" t="s">
        <v>415</v>
      </c>
      <c r="J176" s="137">
        <v>2</v>
      </c>
      <c r="K176" s="9">
        <v>0</v>
      </c>
      <c r="L176" s="8">
        <v>0</v>
      </c>
      <c r="M176" s="8">
        <v>0</v>
      </c>
      <c r="N176" s="18">
        <v>0</v>
      </c>
    </row>
    <row r="177" spans="1:14" x14ac:dyDescent="0.3">
      <c r="A177" s="135" t="s">
        <v>455</v>
      </c>
      <c r="B177" s="137" t="s">
        <v>412</v>
      </c>
      <c r="C177" s="137">
        <v>25</v>
      </c>
      <c r="D177" s="9">
        <v>0</v>
      </c>
      <c r="E177" s="8">
        <v>0</v>
      </c>
      <c r="F177" s="8">
        <v>0</v>
      </c>
      <c r="G177" s="18">
        <v>0</v>
      </c>
      <c r="H177" s="135" t="s">
        <v>462</v>
      </c>
      <c r="I177" s="137" t="s">
        <v>415</v>
      </c>
      <c r="J177" s="137">
        <v>3</v>
      </c>
      <c r="K177" s="9">
        <v>0</v>
      </c>
      <c r="L177" s="8">
        <v>0</v>
      </c>
      <c r="M177" s="8">
        <v>0</v>
      </c>
      <c r="N177" s="18">
        <v>0</v>
      </c>
    </row>
    <row r="178" spans="1:14" x14ac:dyDescent="0.3">
      <c r="A178" s="135" t="s">
        <v>455</v>
      </c>
      <c r="B178" s="137" t="s">
        <v>412</v>
      </c>
      <c r="C178" s="137">
        <v>26</v>
      </c>
      <c r="D178" s="9">
        <v>0</v>
      </c>
      <c r="E178" s="8">
        <v>0</v>
      </c>
      <c r="F178" s="8">
        <v>0</v>
      </c>
      <c r="G178" s="18">
        <v>0</v>
      </c>
      <c r="H178" s="135" t="s">
        <v>462</v>
      </c>
      <c r="I178" s="137" t="s">
        <v>415</v>
      </c>
      <c r="J178" s="137">
        <v>4</v>
      </c>
      <c r="K178" s="9">
        <v>0</v>
      </c>
      <c r="L178" s="8">
        <v>0</v>
      </c>
      <c r="M178" s="8">
        <v>0</v>
      </c>
      <c r="N178" s="18">
        <v>0</v>
      </c>
    </row>
    <row r="179" spans="1:14" x14ac:dyDescent="0.3">
      <c r="A179" s="135" t="s">
        <v>455</v>
      </c>
      <c r="B179" s="137" t="s">
        <v>412</v>
      </c>
      <c r="C179" s="137">
        <v>27</v>
      </c>
      <c r="D179" s="9">
        <v>0</v>
      </c>
      <c r="E179" s="8">
        <v>0</v>
      </c>
      <c r="F179" s="8">
        <v>0</v>
      </c>
      <c r="G179" s="18">
        <v>0</v>
      </c>
      <c r="H179" s="142" t="s">
        <v>462</v>
      </c>
      <c r="I179" s="143" t="s">
        <v>422</v>
      </c>
      <c r="J179" s="143">
        <v>1</v>
      </c>
      <c r="K179" s="150">
        <v>229.6875</v>
      </c>
      <c r="L179" s="150">
        <v>36.96</v>
      </c>
      <c r="M179" s="150">
        <v>16.128</v>
      </c>
      <c r="N179" s="152">
        <v>31</v>
      </c>
    </row>
    <row r="180" spans="1:14" x14ac:dyDescent="0.3">
      <c r="A180" s="135" t="s">
        <v>455</v>
      </c>
      <c r="B180" s="137" t="s">
        <v>412</v>
      </c>
      <c r="C180" s="137">
        <v>28</v>
      </c>
      <c r="D180" s="9">
        <v>0</v>
      </c>
      <c r="E180" s="8">
        <v>0</v>
      </c>
      <c r="F180" s="8">
        <v>0</v>
      </c>
      <c r="G180" s="18">
        <v>0</v>
      </c>
      <c r="H180" s="135" t="s">
        <v>462</v>
      </c>
      <c r="I180" s="136" t="s">
        <v>422</v>
      </c>
      <c r="J180" s="137">
        <v>2</v>
      </c>
      <c r="K180" s="150">
        <v>213.28125</v>
      </c>
      <c r="L180" s="150">
        <v>32.76</v>
      </c>
      <c r="M180" s="150">
        <v>16.128</v>
      </c>
      <c r="N180" s="152">
        <v>31.125001000000005</v>
      </c>
    </row>
    <row r="181" spans="1:14" x14ac:dyDescent="0.3">
      <c r="A181" s="135" t="s">
        <v>455</v>
      </c>
      <c r="B181" s="137" t="s">
        <v>412</v>
      </c>
      <c r="C181" s="137">
        <v>29</v>
      </c>
      <c r="D181" s="9">
        <v>0</v>
      </c>
      <c r="E181" s="8">
        <v>0</v>
      </c>
      <c r="F181" s="8">
        <v>0</v>
      </c>
      <c r="G181" s="18">
        <v>0</v>
      </c>
      <c r="H181" s="135" t="s">
        <v>462</v>
      </c>
      <c r="I181" s="137" t="s">
        <v>422</v>
      </c>
      <c r="J181" s="137">
        <v>3</v>
      </c>
      <c r="K181" s="150">
        <v>207.8125</v>
      </c>
      <c r="L181" s="150">
        <v>31.36</v>
      </c>
      <c r="M181" s="150">
        <v>16.128</v>
      </c>
      <c r="N181" s="152">
        <v>32.083334000000001</v>
      </c>
    </row>
    <row r="182" spans="1:14" x14ac:dyDescent="0.3">
      <c r="A182" s="138" t="s">
        <v>455</v>
      </c>
      <c r="B182" s="137" t="s">
        <v>412</v>
      </c>
      <c r="C182" s="137">
        <v>30</v>
      </c>
      <c r="D182" s="9">
        <v>0</v>
      </c>
      <c r="E182" s="8">
        <v>0</v>
      </c>
      <c r="F182" s="8">
        <v>0</v>
      </c>
      <c r="G182" s="18">
        <v>0</v>
      </c>
      <c r="H182" s="135" t="s">
        <v>462</v>
      </c>
      <c r="I182" s="137" t="s">
        <v>422</v>
      </c>
      <c r="J182" s="137">
        <v>4</v>
      </c>
      <c r="K182" s="150">
        <v>205.078124</v>
      </c>
      <c r="L182" s="150">
        <v>30.66</v>
      </c>
      <c r="M182" s="150">
        <v>17.983000000000001</v>
      </c>
      <c r="N182" s="152">
        <v>33.375</v>
      </c>
    </row>
    <row r="183" spans="1:14" x14ac:dyDescent="0.3">
      <c r="A183" s="141" t="s">
        <v>455</v>
      </c>
      <c r="B183" s="136" t="s">
        <v>413</v>
      </c>
      <c r="C183" s="136">
        <v>1</v>
      </c>
      <c r="D183" s="9">
        <v>0</v>
      </c>
      <c r="E183" s="8">
        <v>0</v>
      </c>
      <c r="F183" s="8">
        <v>0</v>
      </c>
      <c r="G183" s="18">
        <v>0</v>
      </c>
      <c r="H183" s="142" t="s">
        <v>19</v>
      </c>
      <c r="I183" s="143" t="s">
        <v>412</v>
      </c>
      <c r="J183" s="143">
        <v>1</v>
      </c>
      <c r="K183" s="150">
        <v>229.6875</v>
      </c>
      <c r="L183" s="150">
        <v>32.76</v>
      </c>
      <c r="M183" s="150">
        <v>16.128</v>
      </c>
      <c r="N183" s="152">
        <v>77</v>
      </c>
    </row>
    <row r="184" spans="1:14" x14ac:dyDescent="0.3">
      <c r="A184" s="135" t="s">
        <v>455</v>
      </c>
      <c r="B184" s="136" t="s">
        <v>413</v>
      </c>
      <c r="C184" s="137">
        <v>2</v>
      </c>
      <c r="D184" s="9">
        <v>0</v>
      </c>
      <c r="E184" s="8">
        <v>0</v>
      </c>
      <c r="F184" s="8">
        <v>0</v>
      </c>
      <c r="G184" s="18">
        <v>0</v>
      </c>
      <c r="H184" s="135" t="s">
        <v>19</v>
      </c>
      <c r="I184" s="136" t="s">
        <v>412</v>
      </c>
      <c r="J184" s="137">
        <v>2</v>
      </c>
      <c r="K184" s="150">
        <v>213.28125</v>
      </c>
      <c r="L184" s="150">
        <v>30.660000000000004</v>
      </c>
      <c r="M184" s="150">
        <v>16.128</v>
      </c>
      <c r="N184" s="152">
        <v>54.75</v>
      </c>
    </row>
    <row r="185" spans="1:14" x14ac:dyDescent="0.3">
      <c r="A185" s="135" t="s">
        <v>455</v>
      </c>
      <c r="B185" s="137" t="s">
        <v>413</v>
      </c>
      <c r="C185" s="137">
        <v>3</v>
      </c>
      <c r="D185" s="9">
        <v>0</v>
      </c>
      <c r="E185" s="8">
        <v>0</v>
      </c>
      <c r="F185" s="8">
        <v>0</v>
      </c>
      <c r="G185" s="18">
        <v>0</v>
      </c>
      <c r="H185" s="135" t="s">
        <v>19</v>
      </c>
      <c r="I185" s="137" t="s">
        <v>412</v>
      </c>
      <c r="J185" s="137">
        <v>3</v>
      </c>
      <c r="K185" s="150">
        <v>207.8125</v>
      </c>
      <c r="L185" s="150">
        <v>29.96</v>
      </c>
      <c r="M185" s="150">
        <v>16.128</v>
      </c>
      <c r="N185" s="152">
        <v>48.25000033333334</v>
      </c>
    </row>
    <row r="186" spans="1:14" x14ac:dyDescent="0.3">
      <c r="A186" s="135" t="s">
        <v>455</v>
      </c>
      <c r="B186" s="137" t="s">
        <v>413</v>
      </c>
      <c r="C186" s="137">
        <v>4</v>
      </c>
      <c r="D186" s="9">
        <v>0</v>
      </c>
      <c r="E186" s="8">
        <v>0</v>
      </c>
      <c r="F186" s="8">
        <v>0</v>
      </c>
      <c r="G186" s="18">
        <v>0</v>
      </c>
      <c r="H186" s="135" t="s">
        <v>19</v>
      </c>
      <c r="I186" s="137" t="s">
        <v>412</v>
      </c>
      <c r="J186" s="137">
        <v>4</v>
      </c>
      <c r="K186" s="150">
        <v>205.078124</v>
      </c>
      <c r="L186" s="150">
        <v>29.61</v>
      </c>
      <c r="M186" s="150">
        <v>17.983000000000001</v>
      </c>
      <c r="N186" s="152">
        <v>45.8125</v>
      </c>
    </row>
    <row r="187" spans="1:14" x14ac:dyDescent="0.3">
      <c r="A187" s="135" t="s">
        <v>455</v>
      </c>
      <c r="B187" s="137" t="s">
        <v>413</v>
      </c>
      <c r="C187" s="137">
        <v>5</v>
      </c>
      <c r="D187" s="9">
        <v>0</v>
      </c>
      <c r="E187" s="8">
        <v>0</v>
      </c>
      <c r="F187" s="8">
        <v>0</v>
      </c>
      <c r="G187" s="18">
        <v>0</v>
      </c>
      <c r="H187" s="142" t="s">
        <v>19</v>
      </c>
      <c r="I187" s="143" t="s">
        <v>413</v>
      </c>
      <c r="J187" s="143">
        <v>1</v>
      </c>
      <c r="K187" s="150">
        <v>229.6875</v>
      </c>
      <c r="L187" s="150">
        <v>32.76</v>
      </c>
      <c r="M187" s="150">
        <v>16.128</v>
      </c>
      <c r="N187" s="152">
        <v>31.75</v>
      </c>
    </row>
    <row r="188" spans="1:14" x14ac:dyDescent="0.3">
      <c r="A188" s="135" t="s">
        <v>455</v>
      </c>
      <c r="B188" s="137" t="s">
        <v>413</v>
      </c>
      <c r="C188" s="137">
        <v>6</v>
      </c>
      <c r="D188" s="9">
        <v>0</v>
      </c>
      <c r="E188" s="8">
        <v>0</v>
      </c>
      <c r="F188" s="8">
        <v>0</v>
      </c>
      <c r="G188" s="18">
        <v>0</v>
      </c>
      <c r="H188" s="135" t="s">
        <v>19</v>
      </c>
      <c r="I188" s="136" t="s">
        <v>413</v>
      </c>
      <c r="J188" s="137">
        <v>2</v>
      </c>
      <c r="K188" s="150">
        <v>213.28125</v>
      </c>
      <c r="L188" s="150">
        <v>30.660000000000004</v>
      </c>
      <c r="M188" s="150">
        <v>16.128</v>
      </c>
      <c r="N188" s="152">
        <v>31.75</v>
      </c>
    </row>
    <row r="189" spans="1:14" x14ac:dyDescent="0.3">
      <c r="A189" s="135" t="s">
        <v>455</v>
      </c>
      <c r="B189" s="137" t="s">
        <v>413</v>
      </c>
      <c r="C189" s="137">
        <v>7</v>
      </c>
      <c r="D189" s="9">
        <v>0</v>
      </c>
      <c r="E189" s="8">
        <v>0</v>
      </c>
      <c r="F189" s="8">
        <v>0</v>
      </c>
      <c r="G189" s="18">
        <v>0</v>
      </c>
      <c r="H189" s="135" t="s">
        <v>19</v>
      </c>
      <c r="I189" s="137" t="s">
        <v>413</v>
      </c>
      <c r="J189" s="137">
        <v>3</v>
      </c>
      <c r="K189" s="150">
        <v>207.8125</v>
      </c>
      <c r="L189" s="150">
        <v>29.96</v>
      </c>
      <c r="M189" s="150">
        <v>16.128</v>
      </c>
      <c r="N189" s="152">
        <v>32.750000666666672</v>
      </c>
    </row>
    <row r="190" spans="1:14" x14ac:dyDescent="0.3">
      <c r="A190" s="135" t="s">
        <v>455</v>
      </c>
      <c r="B190" s="137" t="s">
        <v>413</v>
      </c>
      <c r="C190" s="137">
        <v>8</v>
      </c>
      <c r="D190" s="9">
        <v>0</v>
      </c>
      <c r="E190" s="8">
        <v>0</v>
      </c>
      <c r="F190" s="8">
        <v>0</v>
      </c>
      <c r="G190" s="18">
        <v>0</v>
      </c>
      <c r="H190" s="135" t="s">
        <v>19</v>
      </c>
      <c r="I190" s="137" t="s">
        <v>413</v>
      </c>
      <c r="J190" s="137">
        <v>4</v>
      </c>
      <c r="K190" s="150">
        <v>205.078124</v>
      </c>
      <c r="L190" s="150">
        <v>29.61</v>
      </c>
      <c r="M190" s="150">
        <v>17.983000000000001</v>
      </c>
      <c r="N190" s="152">
        <v>34.0625</v>
      </c>
    </row>
    <row r="191" spans="1:14" x14ac:dyDescent="0.3">
      <c r="A191" s="135" t="s">
        <v>455</v>
      </c>
      <c r="B191" s="137" t="s">
        <v>413</v>
      </c>
      <c r="C191" s="137">
        <v>9</v>
      </c>
      <c r="D191" s="9">
        <v>0</v>
      </c>
      <c r="E191" s="8">
        <v>0</v>
      </c>
      <c r="F191" s="8">
        <v>0</v>
      </c>
      <c r="G191" s="18">
        <v>0</v>
      </c>
      <c r="H191" s="142" t="s">
        <v>19</v>
      </c>
      <c r="I191" s="143" t="s">
        <v>414</v>
      </c>
      <c r="J191" s="143">
        <v>1</v>
      </c>
      <c r="K191" s="9">
        <v>0</v>
      </c>
      <c r="L191" s="8">
        <v>0</v>
      </c>
      <c r="M191" s="8">
        <v>0</v>
      </c>
      <c r="N191" s="18">
        <v>0</v>
      </c>
    </row>
    <row r="192" spans="1:14" x14ac:dyDescent="0.3">
      <c r="A192" s="135" t="s">
        <v>455</v>
      </c>
      <c r="B192" s="137" t="s">
        <v>413</v>
      </c>
      <c r="C192" s="137">
        <v>10</v>
      </c>
      <c r="D192" s="9">
        <v>0</v>
      </c>
      <c r="E192" s="8">
        <v>0</v>
      </c>
      <c r="F192" s="8">
        <v>0</v>
      </c>
      <c r="G192" s="18">
        <v>0</v>
      </c>
      <c r="H192" s="135" t="s">
        <v>19</v>
      </c>
      <c r="I192" s="136" t="s">
        <v>414</v>
      </c>
      <c r="J192" s="137">
        <v>2</v>
      </c>
      <c r="K192" s="9">
        <v>0</v>
      </c>
      <c r="L192" s="8">
        <v>0</v>
      </c>
      <c r="M192" s="8">
        <v>0</v>
      </c>
      <c r="N192" s="18">
        <v>0</v>
      </c>
    </row>
    <row r="193" spans="1:14" x14ac:dyDescent="0.3">
      <c r="A193" s="135" t="s">
        <v>455</v>
      </c>
      <c r="B193" s="137" t="s">
        <v>413</v>
      </c>
      <c r="C193" s="137">
        <v>11</v>
      </c>
      <c r="D193" s="9">
        <v>0</v>
      </c>
      <c r="E193" s="8">
        <v>0</v>
      </c>
      <c r="F193" s="8">
        <v>0</v>
      </c>
      <c r="G193" s="18">
        <v>0</v>
      </c>
      <c r="H193" s="135" t="s">
        <v>19</v>
      </c>
      <c r="I193" s="137" t="s">
        <v>414</v>
      </c>
      <c r="J193" s="137">
        <v>3</v>
      </c>
      <c r="K193" s="9">
        <v>0</v>
      </c>
      <c r="L193" s="8">
        <v>0</v>
      </c>
      <c r="M193" s="8">
        <v>0</v>
      </c>
      <c r="N193" s="18">
        <v>0</v>
      </c>
    </row>
    <row r="194" spans="1:14" x14ac:dyDescent="0.3">
      <c r="A194" s="135" t="s">
        <v>455</v>
      </c>
      <c r="B194" s="137" t="s">
        <v>413</v>
      </c>
      <c r="C194" s="137">
        <v>12</v>
      </c>
      <c r="D194" s="9">
        <v>0</v>
      </c>
      <c r="E194" s="8">
        <v>0</v>
      </c>
      <c r="F194" s="8">
        <v>0</v>
      </c>
      <c r="G194" s="18">
        <v>0</v>
      </c>
      <c r="H194" s="135" t="s">
        <v>19</v>
      </c>
      <c r="I194" s="137" t="s">
        <v>414</v>
      </c>
      <c r="J194" s="137">
        <v>4</v>
      </c>
      <c r="K194" s="9">
        <v>0</v>
      </c>
      <c r="L194" s="8">
        <v>0</v>
      </c>
      <c r="M194" s="8">
        <v>0</v>
      </c>
      <c r="N194" s="18">
        <v>0</v>
      </c>
    </row>
    <row r="195" spans="1:14" x14ac:dyDescent="0.3">
      <c r="A195" s="135" t="s">
        <v>455</v>
      </c>
      <c r="B195" s="137" t="s">
        <v>413</v>
      </c>
      <c r="C195" s="137">
        <v>13</v>
      </c>
      <c r="D195" s="9">
        <v>0</v>
      </c>
      <c r="E195" s="8">
        <v>0</v>
      </c>
      <c r="F195" s="8">
        <v>0</v>
      </c>
      <c r="G195" s="18">
        <v>0</v>
      </c>
      <c r="H195" s="142" t="s">
        <v>19</v>
      </c>
      <c r="I195" s="143" t="s">
        <v>415</v>
      </c>
      <c r="J195" s="143">
        <v>1</v>
      </c>
      <c r="K195" s="9">
        <v>0</v>
      </c>
      <c r="L195" s="8">
        <v>0</v>
      </c>
      <c r="M195" s="8">
        <v>0</v>
      </c>
      <c r="N195" s="18">
        <v>0</v>
      </c>
    </row>
    <row r="196" spans="1:14" x14ac:dyDescent="0.3">
      <c r="A196" s="135" t="s">
        <v>455</v>
      </c>
      <c r="B196" s="137" t="s">
        <v>413</v>
      </c>
      <c r="C196" s="137">
        <v>14</v>
      </c>
      <c r="D196" s="9">
        <v>0</v>
      </c>
      <c r="E196" s="8">
        <v>0</v>
      </c>
      <c r="F196" s="8">
        <v>0</v>
      </c>
      <c r="G196" s="18">
        <v>0</v>
      </c>
      <c r="H196" s="135" t="s">
        <v>19</v>
      </c>
      <c r="I196" s="136" t="s">
        <v>415</v>
      </c>
      <c r="J196" s="137">
        <v>2</v>
      </c>
      <c r="K196" s="9">
        <v>0</v>
      </c>
      <c r="L196" s="8">
        <v>0</v>
      </c>
      <c r="M196" s="8">
        <v>0</v>
      </c>
      <c r="N196" s="18">
        <v>0</v>
      </c>
    </row>
    <row r="197" spans="1:14" x14ac:dyDescent="0.3">
      <c r="A197" s="135" t="s">
        <v>455</v>
      </c>
      <c r="B197" s="137" t="s">
        <v>413</v>
      </c>
      <c r="C197" s="137">
        <v>15</v>
      </c>
      <c r="D197" s="9">
        <v>0</v>
      </c>
      <c r="E197" s="8">
        <v>0</v>
      </c>
      <c r="F197" s="8">
        <v>0</v>
      </c>
      <c r="G197" s="18">
        <v>0</v>
      </c>
      <c r="H197" s="135" t="s">
        <v>19</v>
      </c>
      <c r="I197" s="137" t="s">
        <v>415</v>
      </c>
      <c r="J197" s="137">
        <v>3</v>
      </c>
      <c r="K197" s="9">
        <v>0</v>
      </c>
      <c r="L197" s="8">
        <v>0</v>
      </c>
      <c r="M197" s="8">
        <v>0</v>
      </c>
      <c r="N197" s="18">
        <v>0</v>
      </c>
    </row>
    <row r="198" spans="1:14" x14ac:dyDescent="0.3">
      <c r="A198" s="135" t="s">
        <v>455</v>
      </c>
      <c r="B198" s="137" t="s">
        <v>413</v>
      </c>
      <c r="C198" s="137">
        <v>16</v>
      </c>
      <c r="D198" s="9">
        <v>0</v>
      </c>
      <c r="E198" s="8">
        <v>0</v>
      </c>
      <c r="F198" s="8">
        <v>0</v>
      </c>
      <c r="G198" s="18">
        <v>0</v>
      </c>
      <c r="H198" s="135" t="s">
        <v>19</v>
      </c>
      <c r="I198" s="137" t="s">
        <v>415</v>
      </c>
      <c r="J198" s="137">
        <v>4</v>
      </c>
      <c r="K198" s="9">
        <v>0</v>
      </c>
      <c r="L198" s="8">
        <v>0</v>
      </c>
      <c r="M198" s="8">
        <v>0</v>
      </c>
      <c r="N198" s="18">
        <v>0</v>
      </c>
    </row>
    <row r="199" spans="1:14" x14ac:dyDescent="0.3">
      <c r="A199" s="135" t="s">
        <v>455</v>
      </c>
      <c r="B199" s="137" t="s">
        <v>413</v>
      </c>
      <c r="C199" s="137">
        <v>17</v>
      </c>
      <c r="D199" s="9">
        <v>0</v>
      </c>
      <c r="E199" s="8">
        <v>0</v>
      </c>
      <c r="F199" s="8">
        <v>0</v>
      </c>
      <c r="G199" s="18">
        <v>0</v>
      </c>
      <c r="H199" s="142" t="s">
        <v>19</v>
      </c>
      <c r="I199" s="143" t="s">
        <v>422</v>
      </c>
      <c r="J199" s="143">
        <v>1</v>
      </c>
      <c r="K199" s="150">
        <v>229.6875</v>
      </c>
      <c r="L199" s="150">
        <v>32.76</v>
      </c>
      <c r="M199" s="150">
        <v>16.128</v>
      </c>
      <c r="N199" s="152">
        <v>27.75</v>
      </c>
    </row>
    <row r="200" spans="1:14" x14ac:dyDescent="0.3">
      <c r="A200" s="135" t="s">
        <v>455</v>
      </c>
      <c r="B200" s="137" t="s">
        <v>413</v>
      </c>
      <c r="C200" s="137">
        <v>18</v>
      </c>
      <c r="D200" s="9">
        <v>0</v>
      </c>
      <c r="E200" s="8">
        <v>0</v>
      </c>
      <c r="F200" s="8">
        <v>0</v>
      </c>
      <c r="G200" s="18">
        <v>0</v>
      </c>
      <c r="H200" s="135" t="s">
        <v>19</v>
      </c>
      <c r="I200" s="136" t="s">
        <v>422</v>
      </c>
      <c r="J200" s="137">
        <v>2</v>
      </c>
      <c r="K200" s="150">
        <v>213.28125</v>
      </c>
      <c r="L200" s="150">
        <v>30.660000000000004</v>
      </c>
      <c r="M200" s="150">
        <v>16.128</v>
      </c>
      <c r="N200" s="152">
        <v>28.249998999999995</v>
      </c>
    </row>
    <row r="201" spans="1:14" x14ac:dyDescent="0.3">
      <c r="A201" s="135" t="s">
        <v>455</v>
      </c>
      <c r="B201" s="137" t="s">
        <v>413</v>
      </c>
      <c r="C201" s="137">
        <v>19</v>
      </c>
      <c r="D201" s="9">
        <v>0</v>
      </c>
      <c r="E201" s="8">
        <v>0</v>
      </c>
      <c r="F201" s="8">
        <v>0</v>
      </c>
      <c r="G201" s="18">
        <v>0</v>
      </c>
      <c r="H201" s="135" t="s">
        <v>19</v>
      </c>
      <c r="I201" s="137" t="s">
        <v>422</v>
      </c>
      <c r="J201" s="137">
        <v>3</v>
      </c>
      <c r="K201" s="150">
        <v>207.8125</v>
      </c>
      <c r="L201" s="150">
        <v>29.96</v>
      </c>
      <c r="M201" s="150">
        <v>16.128</v>
      </c>
      <c r="N201" s="152">
        <v>29.500000999999997</v>
      </c>
    </row>
    <row r="202" spans="1:14" x14ac:dyDescent="0.3">
      <c r="A202" s="135" t="s">
        <v>455</v>
      </c>
      <c r="B202" s="137" t="s">
        <v>413</v>
      </c>
      <c r="C202" s="137">
        <v>20</v>
      </c>
      <c r="D202" s="9">
        <v>0</v>
      </c>
      <c r="E202" s="8">
        <v>0</v>
      </c>
      <c r="F202" s="8">
        <v>0</v>
      </c>
      <c r="G202" s="18">
        <v>0</v>
      </c>
      <c r="H202" s="135" t="s">
        <v>19</v>
      </c>
      <c r="I202" s="137" t="s">
        <v>422</v>
      </c>
      <c r="J202" s="137">
        <v>4</v>
      </c>
      <c r="K202" s="150">
        <v>205.078124</v>
      </c>
      <c r="L202" s="150">
        <v>29.61</v>
      </c>
      <c r="M202" s="150">
        <v>16.128</v>
      </c>
      <c r="N202" s="152">
        <v>30.75</v>
      </c>
    </row>
    <row r="203" spans="1:14" x14ac:dyDescent="0.3">
      <c r="A203" s="135" t="s">
        <v>455</v>
      </c>
      <c r="B203" s="137" t="s">
        <v>413</v>
      </c>
      <c r="C203" s="137">
        <v>21</v>
      </c>
      <c r="D203" s="9">
        <v>0</v>
      </c>
      <c r="E203" s="8">
        <v>0</v>
      </c>
      <c r="F203" s="8">
        <v>0</v>
      </c>
      <c r="G203" s="18">
        <v>0</v>
      </c>
      <c r="H203" s="142" t="s">
        <v>20</v>
      </c>
      <c r="I203" s="143" t="s">
        <v>412</v>
      </c>
      <c r="J203" s="143">
        <v>1</v>
      </c>
      <c r="K203" s="150">
        <v>196.875</v>
      </c>
      <c r="L203" s="150">
        <v>28.56</v>
      </c>
      <c r="M203" s="150">
        <v>10.108000000000001</v>
      </c>
      <c r="N203" s="152">
        <v>55.25</v>
      </c>
    </row>
    <row r="204" spans="1:14" x14ac:dyDescent="0.3">
      <c r="A204" s="135" t="s">
        <v>455</v>
      </c>
      <c r="B204" s="137" t="s">
        <v>413</v>
      </c>
      <c r="C204" s="137">
        <v>22</v>
      </c>
      <c r="D204" s="9">
        <v>0</v>
      </c>
      <c r="E204" s="8">
        <v>0</v>
      </c>
      <c r="F204" s="8">
        <v>0</v>
      </c>
      <c r="G204" s="18">
        <v>0</v>
      </c>
      <c r="H204" s="135" t="s">
        <v>20</v>
      </c>
      <c r="I204" s="136" t="s">
        <v>412</v>
      </c>
      <c r="J204" s="137">
        <v>2</v>
      </c>
      <c r="K204" s="150">
        <v>196.875</v>
      </c>
      <c r="L204" s="150">
        <v>28.56</v>
      </c>
      <c r="M204" s="150">
        <v>13.118001</v>
      </c>
      <c r="N204" s="152">
        <v>42.000001000000005</v>
      </c>
    </row>
    <row r="205" spans="1:14" x14ac:dyDescent="0.3">
      <c r="A205" s="135" t="s">
        <v>455</v>
      </c>
      <c r="B205" s="137" t="s">
        <v>413</v>
      </c>
      <c r="C205" s="137">
        <v>23</v>
      </c>
      <c r="D205" s="9">
        <v>0</v>
      </c>
      <c r="E205" s="8">
        <v>0</v>
      </c>
      <c r="F205" s="8">
        <v>0</v>
      </c>
      <c r="G205" s="18">
        <v>0</v>
      </c>
      <c r="H205" s="135" t="s">
        <v>20</v>
      </c>
      <c r="I205" s="137" t="s">
        <v>412</v>
      </c>
      <c r="J205" s="137">
        <v>3</v>
      </c>
      <c r="K205" s="150">
        <v>196.875</v>
      </c>
      <c r="L205" s="150">
        <v>28.56</v>
      </c>
      <c r="M205" s="150">
        <v>14.121333333333334</v>
      </c>
      <c r="N205" s="152">
        <v>38.583333333333336</v>
      </c>
    </row>
    <row r="206" spans="1:14" x14ac:dyDescent="0.3">
      <c r="A206" s="135" t="s">
        <v>455</v>
      </c>
      <c r="B206" s="137" t="s">
        <v>413</v>
      </c>
      <c r="C206" s="137">
        <v>24</v>
      </c>
      <c r="D206" s="9">
        <v>0</v>
      </c>
      <c r="E206" s="8">
        <v>0</v>
      </c>
      <c r="F206" s="8">
        <v>0</v>
      </c>
      <c r="G206" s="18">
        <v>0</v>
      </c>
      <c r="H206" s="135" t="s">
        <v>20</v>
      </c>
      <c r="I206" s="137" t="s">
        <v>412</v>
      </c>
      <c r="J206" s="137">
        <v>4</v>
      </c>
      <c r="K206" s="150">
        <v>196.875</v>
      </c>
      <c r="L206" s="150">
        <v>28.56</v>
      </c>
      <c r="M206" s="150">
        <v>14.622999999999999</v>
      </c>
      <c r="N206" s="152">
        <v>37.5625</v>
      </c>
    </row>
    <row r="207" spans="1:14" x14ac:dyDescent="0.3">
      <c r="A207" s="135" t="s">
        <v>455</v>
      </c>
      <c r="B207" s="137" t="s">
        <v>413</v>
      </c>
      <c r="C207" s="137">
        <v>25</v>
      </c>
      <c r="D207" s="9">
        <v>0</v>
      </c>
      <c r="E207" s="8">
        <v>0</v>
      </c>
      <c r="F207" s="8">
        <v>0</v>
      </c>
      <c r="G207" s="18">
        <v>0</v>
      </c>
      <c r="H207" s="144" t="s">
        <v>20</v>
      </c>
      <c r="I207" s="145" t="s">
        <v>413</v>
      </c>
      <c r="J207" s="143">
        <v>1</v>
      </c>
      <c r="K207" s="150">
        <v>196.875</v>
      </c>
      <c r="L207" s="150">
        <v>28.56</v>
      </c>
      <c r="M207" s="150">
        <v>10.108000000000001</v>
      </c>
      <c r="N207" s="152">
        <v>28.25</v>
      </c>
    </row>
    <row r="208" spans="1:14" x14ac:dyDescent="0.3">
      <c r="A208" s="135" t="s">
        <v>455</v>
      </c>
      <c r="B208" s="137" t="s">
        <v>413</v>
      </c>
      <c r="C208" s="137">
        <v>26</v>
      </c>
      <c r="D208" s="9">
        <v>0</v>
      </c>
      <c r="E208" s="8">
        <v>0</v>
      </c>
      <c r="F208" s="8">
        <v>0</v>
      </c>
      <c r="G208" s="18">
        <v>0</v>
      </c>
      <c r="H208" s="135" t="s">
        <v>20</v>
      </c>
      <c r="I208" s="136" t="s">
        <v>413</v>
      </c>
      <c r="J208" s="137">
        <v>2</v>
      </c>
      <c r="K208" s="150">
        <v>196.875</v>
      </c>
      <c r="L208" s="150">
        <v>28.56</v>
      </c>
      <c r="M208" s="150">
        <v>13.118001</v>
      </c>
      <c r="N208" s="152">
        <v>27.75</v>
      </c>
    </row>
    <row r="209" spans="1:14" x14ac:dyDescent="0.3">
      <c r="A209" s="135" t="s">
        <v>455</v>
      </c>
      <c r="B209" s="137" t="s">
        <v>413</v>
      </c>
      <c r="C209" s="137">
        <v>27</v>
      </c>
      <c r="D209" s="9">
        <v>0</v>
      </c>
      <c r="E209" s="8">
        <v>0</v>
      </c>
      <c r="F209" s="8">
        <v>0</v>
      </c>
      <c r="G209" s="18">
        <v>0</v>
      </c>
      <c r="H209" s="135" t="s">
        <v>20</v>
      </c>
      <c r="I209" s="137" t="s">
        <v>413</v>
      </c>
      <c r="J209" s="137">
        <v>3</v>
      </c>
      <c r="K209" s="150">
        <v>196.875</v>
      </c>
      <c r="L209" s="150">
        <v>28.56</v>
      </c>
      <c r="M209" s="150">
        <v>14.121333333333334</v>
      </c>
      <c r="N209" s="152">
        <v>28.666667333333336</v>
      </c>
    </row>
    <row r="210" spans="1:14" x14ac:dyDescent="0.3">
      <c r="A210" s="135" t="s">
        <v>455</v>
      </c>
      <c r="B210" s="137" t="s">
        <v>413</v>
      </c>
      <c r="C210" s="137">
        <v>28</v>
      </c>
      <c r="D210" s="9">
        <v>0</v>
      </c>
      <c r="E210" s="8">
        <v>0</v>
      </c>
      <c r="F210" s="8">
        <v>0</v>
      </c>
      <c r="G210" s="18">
        <v>0</v>
      </c>
      <c r="H210" s="135" t="s">
        <v>20</v>
      </c>
      <c r="I210" s="137" t="s">
        <v>413</v>
      </c>
      <c r="J210" s="137">
        <v>4</v>
      </c>
      <c r="K210" s="150">
        <v>196.875</v>
      </c>
      <c r="L210" s="150">
        <v>28.56</v>
      </c>
      <c r="M210" s="150">
        <v>14.622999999999999</v>
      </c>
      <c r="N210" s="152">
        <v>29.875</v>
      </c>
    </row>
    <row r="211" spans="1:14" x14ac:dyDescent="0.3">
      <c r="A211" s="135" t="s">
        <v>455</v>
      </c>
      <c r="B211" s="137" t="s">
        <v>413</v>
      </c>
      <c r="C211" s="137">
        <v>29</v>
      </c>
      <c r="D211" s="9">
        <v>0</v>
      </c>
      <c r="E211" s="8">
        <v>0</v>
      </c>
      <c r="F211" s="8">
        <v>0</v>
      </c>
      <c r="G211" s="18">
        <v>0</v>
      </c>
      <c r="H211" s="144" t="s">
        <v>20</v>
      </c>
      <c r="I211" s="145" t="s">
        <v>414</v>
      </c>
      <c r="J211" s="143">
        <v>1</v>
      </c>
      <c r="K211" s="150">
        <v>196.875</v>
      </c>
      <c r="L211" s="150">
        <v>28.56</v>
      </c>
      <c r="M211" s="150">
        <v>10.108000000000001</v>
      </c>
      <c r="N211" s="152">
        <v>23.75</v>
      </c>
    </row>
    <row r="212" spans="1:14" x14ac:dyDescent="0.3">
      <c r="A212" s="138" t="s">
        <v>455</v>
      </c>
      <c r="B212" s="137" t="s">
        <v>413</v>
      </c>
      <c r="C212" s="137">
        <v>30</v>
      </c>
      <c r="D212" s="9">
        <v>0</v>
      </c>
      <c r="E212" s="8">
        <v>0</v>
      </c>
      <c r="F212" s="8">
        <v>0</v>
      </c>
      <c r="G212" s="18">
        <v>0</v>
      </c>
      <c r="H212" s="135" t="s">
        <v>20</v>
      </c>
      <c r="I212" s="136" t="s">
        <v>414</v>
      </c>
      <c r="J212" s="137">
        <v>2</v>
      </c>
      <c r="K212" s="150">
        <v>196.875</v>
      </c>
      <c r="L212" s="150">
        <v>28.56</v>
      </c>
      <c r="M212" s="150">
        <v>10.107999</v>
      </c>
      <c r="N212" s="152">
        <v>24.125001000000005</v>
      </c>
    </row>
    <row r="213" spans="1:14" x14ac:dyDescent="0.3">
      <c r="A213" s="141" t="s">
        <v>455</v>
      </c>
      <c r="B213" s="136" t="s">
        <v>414</v>
      </c>
      <c r="C213" s="136">
        <v>1</v>
      </c>
      <c r="D213" s="9">
        <v>0</v>
      </c>
      <c r="E213" s="8">
        <v>0</v>
      </c>
      <c r="F213" s="8">
        <v>0</v>
      </c>
      <c r="G213" s="18">
        <v>0</v>
      </c>
      <c r="H213" s="135" t="s">
        <v>20</v>
      </c>
      <c r="I213" s="137" t="s">
        <v>414</v>
      </c>
      <c r="J213" s="137">
        <v>3</v>
      </c>
      <c r="K213" s="150">
        <v>196.875</v>
      </c>
      <c r="L213" s="150">
        <v>28.56</v>
      </c>
      <c r="M213" s="150">
        <v>12.114666666666666</v>
      </c>
      <c r="N213" s="152">
        <v>25.583332333333335</v>
      </c>
    </row>
    <row r="214" spans="1:14" x14ac:dyDescent="0.3">
      <c r="A214" s="135" t="s">
        <v>455</v>
      </c>
      <c r="B214" s="136" t="s">
        <v>414</v>
      </c>
      <c r="C214" s="137">
        <v>2</v>
      </c>
      <c r="D214" s="9">
        <v>0</v>
      </c>
      <c r="E214" s="8">
        <v>0</v>
      </c>
      <c r="F214" s="8">
        <v>0</v>
      </c>
      <c r="G214" s="18">
        <v>0</v>
      </c>
      <c r="H214" s="135" t="s">
        <v>20</v>
      </c>
      <c r="I214" s="137" t="s">
        <v>414</v>
      </c>
      <c r="J214" s="137">
        <v>4</v>
      </c>
      <c r="K214" s="150">
        <v>196.875</v>
      </c>
      <c r="L214" s="150">
        <v>28.56</v>
      </c>
      <c r="M214" s="150">
        <v>13.118</v>
      </c>
      <c r="N214" s="152">
        <v>27.0625</v>
      </c>
    </row>
    <row r="215" spans="1:14" x14ac:dyDescent="0.3">
      <c r="A215" s="135" t="s">
        <v>455</v>
      </c>
      <c r="B215" s="137" t="s">
        <v>414</v>
      </c>
      <c r="C215" s="137">
        <v>3</v>
      </c>
      <c r="D215" s="9">
        <v>0</v>
      </c>
      <c r="E215" s="8">
        <v>0</v>
      </c>
      <c r="F215" s="8">
        <v>0</v>
      </c>
      <c r="G215" s="18">
        <v>0</v>
      </c>
      <c r="H215" s="144" t="s">
        <v>20</v>
      </c>
      <c r="I215" s="145" t="s">
        <v>415</v>
      </c>
      <c r="J215" s="143">
        <v>1</v>
      </c>
      <c r="K215" s="150">
        <v>196.875</v>
      </c>
      <c r="L215" s="150">
        <v>28.56</v>
      </c>
      <c r="M215" s="150">
        <v>10.108000000000001</v>
      </c>
      <c r="N215" s="152">
        <v>36.75</v>
      </c>
    </row>
    <row r="216" spans="1:14" x14ac:dyDescent="0.3">
      <c r="A216" s="135" t="s">
        <v>455</v>
      </c>
      <c r="B216" s="137" t="s">
        <v>414</v>
      </c>
      <c r="C216" s="137">
        <v>4</v>
      </c>
      <c r="D216" s="9">
        <v>0</v>
      </c>
      <c r="E216" s="8">
        <v>0</v>
      </c>
      <c r="F216" s="8">
        <v>0</v>
      </c>
      <c r="G216" s="18">
        <v>0</v>
      </c>
      <c r="H216" s="135" t="s">
        <v>20</v>
      </c>
      <c r="I216" s="136" t="s">
        <v>415</v>
      </c>
      <c r="J216" s="137">
        <v>2</v>
      </c>
      <c r="K216" s="150">
        <v>196.875</v>
      </c>
      <c r="L216" s="150">
        <v>28.56</v>
      </c>
      <c r="M216" s="150">
        <v>10.107999</v>
      </c>
      <c r="N216" s="152">
        <v>30.750001000000005</v>
      </c>
    </row>
    <row r="217" spans="1:14" x14ac:dyDescent="0.3">
      <c r="A217" s="135" t="s">
        <v>455</v>
      </c>
      <c r="B217" s="137" t="s">
        <v>414</v>
      </c>
      <c r="C217" s="137">
        <v>5</v>
      </c>
      <c r="D217" s="9">
        <v>0</v>
      </c>
      <c r="E217" s="8">
        <v>0</v>
      </c>
      <c r="F217" s="8">
        <v>0</v>
      </c>
      <c r="G217" s="18">
        <v>0</v>
      </c>
      <c r="H217" s="135" t="s">
        <v>20</v>
      </c>
      <c r="I217" s="137" t="s">
        <v>415</v>
      </c>
      <c r="J217" s="137">
        <v>3</v>
      </c>
      <c r="K217" s="150">
        <v>196.875</v>
      </c>
      <c r="L217" s="150">
        <v>28.56</v>
      </c>
      <c r="M217" s="150">
        <v>12.114666666666666</v>
      </c>
      <c r="N217" s="152">
        <v>29.916666666666668</v>
      </c>
    </row>
    <row r="218" spans="1:14" x14ac:dyDescent="0.3">
      <c r="A218" s="135" t="s">
        <v>455</v>
      </c>
      <c r="B218" s="137" t="s">
        <v>414</v>
      </c>
      <c r="C218" s="137">
        <v>6</v>
      </c>
      <c r="D218" s="9">
        <v>0</v>
      </c>
      <c r="E218" s="8">
        <v>0</v>
      </c>
      <c r="F218" s="8">
        <v>0</v>
      </c>
      <c r="G218" s="18">
        <v>0</v>
      </c>
      <c r="H218" s="135" t="s">
        <v>20</v>
      </c>
      <c r="I218" s="137" t="s">
        <v>415</v>
      </c>
      <c r="J218" s="137">
        <v>4</v>
      </c>
      <c r="K218" s="150">
        <v>196.875</v>
      </c>
      <c r="L218" s="150">
        <v>28.56</v>
      </c>
      <c r="M218" s="150">
        <v>13.118</v>
      </c>
      <c r="N218" s="152">
        <v>30.3125</v>
      </c>
    </row>
    <row r="219" spans="1:14" x14ac:dyDescent="0.3">
      <c r="A219" s="135" t="s">
        <v>455</v>
      </c>
      <c r="B219" s="137" t="s">
        <v>414</v>
      </c>
      <c r="C219" s="137">
        <v>7</v>
      </c>
      <c r="D219" s="9">
        <v>0</v>
      </c>
      <c r="E219" s="8">
        <v>0</v>
      </c>
      <c r="F219" s="8">
        <v>0</v>
      </c>
      <c r="G219" s="18">
        <v>0</v>
      </c>
      <c r="H219" s="144" t="s">
        <v>20</v>
      </c>
      <c r="I219" s="145" t="s">
        <v>422</v>
      </c>
      <c r="J219" s="143">
        <v>1</v>
      </c>
      <c r="K219" s="150">
        <v>196.875</v>
      </c>
      <c r="L219" s="150">
        <v>28.56</v>
      </c>
      <c r="M219" s="150">
        <v>10.108000000000001</v>
      </c>
      <c r="N219" s="152">
        <v>23</v>
      </c>
    </row>
    <row r="220" spans="1:14" x14ac:dyDescent="0.3">
      <c r="A220" s="135" t="s">
        <v>455</v>
      </c>
      <c r="B220" s="137" t="s">
        <v>414</v>
      </c>
      <c r="C220" s="137">
        <v>8</v>
      </c>
      <c r="D220" s="9">
        <v>0</v>
      </c>
      <c r="E220" s="8">
        <v>0</v>
      </c>
      <c r="F220" s="8">
        <v>0</v>
      </c>
      <c r="G220" s="18">
        <v>0</v>
      </c>
      <c r="H220" s="135" t="s">
        <v>20</v>
      </c>
      <c r="I220" s="136" t="s">
        <v>422</v>
      </c>
      <c r="J220" s="137">
        <v>2</v>
      </c>
      <c r="K220" s="150">
        <v>196.875</v>
      </c>
      <c r="L220" s="150">
        <v>28.56</v>
      </c>
      <c r="M220" s="150">
        <v>10.107999</v>
      </c>
      <c r="N220" s="152">
        <v>23.625001000000005</v>
      </c>
    </row>
    <row r="221" spans="1:14" x14ac:dyDescent="0.3">
      <c r="A221" s="135" t="s">
        <v>455</v>
      </c>
      <c r="B221" s="137" t="s">
        <v>414</v>
      </c>
      <c r="C221" s="137">
        <v>9</v>
      </c>
      <c r="D221" s="9">
        <v>0</v>
      </c>
      <c r="E221" s="8">
        <v>0</v>
      </c>
      <c r="F221" s="8">
        <v>0</v>
      </c>
      <c r="G221" s="18">
        <v>0</v>
      </c>
      <c r="H221" s="135" t="s">
        <v>20</v>
      </c>
      <c r="I221" s="137" t="s">
        <v>422</v>
      </c>
      <c r="J221" s="137">
        <v>3</v>
      </c>
      <c r="K221" s="150">
        <v>196.875</v>
      </c>
      <c r="L221" s="150">
        <v>28.56</v>
      </c>
      <c r="M221" s="150">
        <v>12.114666666666666</v>
      </c>
      <c r="N221" s="152">
        <v>25.083332333333335</v>
      </c>
    </row>
    <row r="222" spans="1:14" x14ac:dyDescent="0.3">
      <c r="A222" s="135" t="s">
        <v>455</v>
      </c>
      <c r="B222" s="137" t="s">
        <v>414</v>
      </c>
      <c r="C222" s="137">
        <v>10</v>
      </c>
      <c r="D222" s="9">
        <v>0</v>
      </c>
      <c r="E222" s="8">
        <v>0</v>
      </c>
      <c r="F222" s="8">
        <v>0</v>
      </c>
      <c r="G222" s="18">
        <v>0</v>
      </c>
      <c r="H222" s="135" t="s">
        <v>20</v>
      </c>
      <c r="I222" s="137" t="s">
        <v>422</v>
      </c>
      <c r="J222" s="137">
        <v>4</v>
      </c>
      <c r="K222" s="150">
        <v>196.875</v>
      </c>
      <c r="L222" s="150">
        <v>28.56</v>
      </c>
      <c r="M222" s="150">
        <v>13.118</v>
      </c>
      <c r="N222" s="152">
        <v>26.625</v>
      </c>
    </row>
    <row r="223" spans="1:14" x14ac:dyDescent="0.3">
      <c r="A223" s="135" t="s">
        <v>455</v>
      </c>
      <c r="B223" s="137" t="s">
        <v>414</v>
      </c>
      <c r="C223" s="137">
        <v>11</v>
      </c>
      <c r="D223" s="9">
        <v>0</v>
      </c>
      <c r="E223" s="8">
        <v>0</v>
      </c>
      <c r="F223" s="8">
        <v>0</v>
      </c>
      <c r="G223" s="18">
        <v>0</v>
      </c>
      <c r="H223" s="144" t="s">
        <v>464</v>
      </c>
      <c r="I223" s="145" t="s">
        <v>412</v>
      </c>
      <c r="J223" s="143">
        <v>1</v>
      </c>
      <c r="K223" s="150">
        <v>196.875</v>
      </c>
      <c r="L223" s="150">
        <v>28.56</v>
      </c>
      <c r="M223" s="150">
        <v>10.108000000000001</v>
      </c>
      <c r="N223" s="152">
        <v>55</v>
      </c>
    </row>
    <row r="224" spans="1:14" x14ac:dyDescent="0.3">
      <c r="A224" s="135" t="s">
        <v>455</v>
      </c>
      <c r="B224" s="137" t="s">
        <v>414</v>
      </c>
      <c r="C224" s="137">
        <v>12</v>
      </c>
      <c r="D224" s="9">
        <v>0</v>
      </c>
      <c r="E224" s="8">
        <v>0</v>
      </c>
      <c r="F224" s="8">
        <v>0</v>
      </c>
      <c r="G224" s="18">
        <v>0</v>
      </c>
      <c r="H224" s="135" t="s">
        <v>464</v>
      </c>
      <c r="I224" s="136" t="s">
        <v>412</v>
      </c>
      <c r="J224" s="137">
        <v>2</v>
      </c>
      <c r="K224" s="150">
        <v>196.875</v>
      </c>
      <c r="L224" s="150">
        <v>28.56</v>
      </c>
      <c r="M224" s="150">
        <v>13.118001</v>
      </c>
      <c r="N224" s="152">
        <v>42.125</v>
      </c>
    </row>
    <row r="225" spans="1:14" x14ac:dyDescent="0.3">
      <c r="A225" s="135" t="s">
        <v>455</v>
      </c>
      <c r="B225" s="137" t="s">
        <v>414</v>
      </c>
      <c r="C225" s="137">
        <v>13</v>
      </c>
      <c r="D225" s="9">
        <v>0</v>
      </c>
      <c r="E225" s="8">
        <v>0</v>
      </c>
      <c r="F225" s="8">
        <v>0</v>
      </c>
      <c r="G225" s="18">
        <v>0</v>
      </c>
      <c r="H225" s="135" t="s">
        <v>464</v>
      </c>
      <c r="I225" s="137" t="s">
        <v>412</v>
      </c>
      <c r="J225" s="137">
        <v>3</v>
      </c>
      <c r="K225" s="150">
        <v>196.875</v>
      </c>
      <c r="L225" s="150">
        <v>28.56</v>
      </c>
      <c r="M225" s="150">
        <v>14.121333333333334</v>
      </c>
      <c r="N225" s="152">
        <v>38.74999966666666</v>
      </c>
    </row>
    <row r="226" spans="1:14" x14ac:dyDescent="0.3">
      <c r="A226" s="135" t="s">
        <v>455</v>
      </c>
      <c r="B226" s="137" t="s">
        <v>414</v>
      </c>
      <c r="C226" s="137">
        <v>14</v>
      </c>
      <c r="D226" s="9">
        <v>0</v>
      </c>
      <c r="E226" s="8">
        <v>0</v>
      </c>
      <c r="F226" s="8">
        <v>0</v>
      </c>
      <c r="G226" s="18">
        <v>0</v>
      </c>
      <c r="H226" s="135" t="s">
        <v>464</v>
      </c>
      <c r="I226" s="137" t="s">
        <v>412</v>
      </c>
      <c r="J226" s="137">
        <v>4</v>
      </c>
      <c r="K226" s="150">
        <v>196.875</v>
      </c>
      <c r="L226" s="150">
        <v>28.56</v>
      </c>
      <c r="M226" s="150">
        <v>14.622999999999999</v>
      </c>
      <c r="N226" s="152">
        <v>37.75</v>
      </c>
    </row>
    <row r="227" spans="1:14" x14ac:dyDescent="0.3">
      <c r="A227" s="135" t="s">
        <v>455</v>
      </c>
      <c r="B227" s="137" t="s">
        <v>414</v>
      </c>
      <c r="C227" s="137">
        <v>15</v>
      </c>
      <c r="D227" s="9">
        <v>0</v>
      </c>
      <c r="E227" s="8">
        <v>0</v>
      </c>
      <c r="F227" s="8">
        <v>0</v>
      </c>
      <c r="G227" s="18">
        <v>0</v>
      </c>
      <c r="H227" s="144" t="s">
        <v>464</v>
      </c>
      <c r="I227" s="145" t="s">
        <v>413</v>
      </c>
      <c r="J227" s="143">
        <v>1</v>
      </c>
      <c r="K227" s="150">
        <v>196.875</v>
      </c>
      <c r="L227" s="150">
        <v>28.56</v>
      </c>
      <c r="M227" s="150">
        <v>10.108000000000001</v>
      </c>
      <c r="N227" s="152">
        <v>24.5</v>
      </c>
    </row>
    <row r="228" spans="1:14" x14ac:dyDescent="0.3">
      <c r="A228" s="135" t="s">
        <v>455</v>
      </c>
      <c r="B228" s="137" t="s">
        <v>414</v>
      </c>
      <c r="C228" s="137">
        <v>16</v>
      </c>
      <c r="D228" s="9">
        <v>0</v>
      </c>
      <c r="E228" s="8">
        <v>0</v>
      </c>
      <c r="F228" s="8">
        <v>0</v>
      </c>
      <c r="G228" s="18">
        <v>0</v>
      </c>
      <c r="H228" s="135" t="s">
        <v>464</v>
      </c>
      <c r="I228" s="136" t="s">
        <v>413</v>
      </c>
      <c r="J228" s="137">
        <v>2</v>
      </c>
      <c r="K228" s="150">
        <v>196.875</v>
      </c>
      <c r="L228" s="150">
        <v>28.56</v>
      </c>
      <c r="M228" s="150">
        <v>13.118001</v>
      </c>
      <c r="N228" s="152">
        <v>26.375001000000005</v>
      </c>
    </row>
    <row r="229" spans="1:14" x14ac:dyDescent="0.3">
      <c r="A229" s="135" t="s">
        <v>455</v>
      </c>
      <c r="B229" s="137" t="s">
        <v>414</v>
      </c>
      <c r="C229" s="137">
        <v>17</v>
      </c>
      <c r="D229" s="9">
        <v>0</v>
      </c>
      <c r="E229" s="8">
        <v>0</v>
      </c>
      <c r="F229" s="8">
        <v>0</v>
      </c>
      <c r="G229" s="18">
        <v>0</v>
      </c>
      <c r="H229" s="135" t="s">
        <v>464</v>
      </c>
      <c r="I229" s="137" t="s">
        <v>413</v>
      </c>
      <c r="J229" s="137">
        <v>3</v>
      </c>
      <c r="K229" s="150">
        <v>196.875</v>
      </c>
      <c r="L229" s="150">
        <v>28.56</v>
      </c>
      <c r="M229" s="150">
        <v>14.121333333333334</v>
      </c>
      <c r="N229" s="152">
        <v>27.999999333333331</v>
      </c>
    </row>
    <row r="230" spans="1:14" x14ac:dyDescent="0.3">
      <c r="A230" s="135" t="s">
        <v>455</v>
      </c>
      <c r="B230" s="137" t="s">
        <v>414</v>
      </c>
      <c r="C230" s="137">
        <v>18</v>
      </c>
      <c r="D230" s="9">
        <v>0</v>
      </c>
      <c r="E230" s="8">
        <v>0</v>
      </c>
      <c r="F230" s="8">
        <v>0</v>
      </c>
      <c r="G230" s="18">
        <v>0</v>
      </c>
      <c r="H230" s="135" t="s">
        <v>464</v>
      </c>
      <c r="I230" s="137" t="s">
        <v>413</v>
      </c>
      <c r="J230" s="137">
        <v>4</v>
      </c>
      <c r="K230" s="150">
        <v>196.875</v>
      </c>
      <c r="L230" s="150">
        <v>28.56</v>
      </c>
      <c r="M230" s="150">
        <v>14.622999999999999</v>
      </c>
      <c r="N230" s="152">
        <v>29.5625</v>
      </c>
    </row>
    <row r="231" spans="1:14" x14ac:dyDescent="0.3">
      <c r="A231" s="135" t="s">
        <v>455</v>
      </c>
      <c r="B231" s="137" t="s">
        <v>414</v>
      </c>
      <c r="C231" s="137">
        <v>19</v>
      </c>
      <c r="D231" s="9">
        <v>0</v>
      </c>
      <c r="E231" s="8">
        <v>0</v>
      </c>
      <c r="F231" s="8">
        <v>0</v>
      </c>
      <c r="G231" s="18">
        <v>0</v>
      </c>
      <c r="H231" s="144" t="s">
        <v>464</v>
      </c>
      <c r="I231" s="145" t="s">
        <v>414</v>
      </c>
      <c r="J231" s="145">
        <v>1</v>
      </c>
      <c r="K231" s="150">
        <v>196.875</v>
      </c>
      <c r="L231" s="150">
        <v>28.56</v>
      </c>
      <c r="M231" s="150">
        <v>10.108000000000001</v>
      </c>
      <c r="N231" s="152">
        <v>22.5</v>
      </c>
    </row>
    <row r="232" spans="1:14" x14ac:dyDescent="0.3">
      <c r="A232" s="135" t="s">
        <v>455</v>
      </c>
      <c r="B232" s="137" t="s">
        <v>414</v>
      </c>
      <c r="C232" s="137">
        <v>20</v>
      </c>
      <c r="D232" s="9">
        <v>0</v>
      </c>
      <c r="E232" s="8">
        <v>0</v>
      </c>
      <c r="F232" s="8">
        <v>0</v>
      </c>
      <c r="G232" s="18">
        <v>0</v>
      </c>
      <c r="H232" s="135" t="s">
        <v>464</v>
      </c>
      <c r="I232" s="136" t="s">
        <v>414</v>
      </c>
      <c r="J232" s="136">
        <v>2</v>
      </c>
      <c r="K232" s="150">
        <v>196.875</v>
      </c>
      <c r="L232" s="150">
        <v>28.56</v>
      </c>
      <c r="M232" s="150">
        <v>10.107999</v>
      </c>
      <c r="N232" s="152">
        <v>24.125</v>
      </c>
    </row>
    <row r="233" spans="1:14" x14ac:dyDescent="0.3">
      <c r="A233" s="135" t="s">
        <v>455</v>
      </c>
      <c r="B233" s="137" t="s">
        <v>414</v>
      </c>
      <c r="C233" s="137">
        <v>21</v>
      </c>
      <c r="D233" s="9">
        <v>0</v>
      </c>
      <c r="E233" s="8">
        <v>0</v>
      </c>
      <c r="F233" s="8">
        <v>0</v>
      </c>
      <c r="G233" s="18">
        <v>0</v>
      </c>
      <c r="H233" s="135" t="s">
        <v>464</v>
      </c>
      <c r="I233" s="137" t="s">
        <v>414</v>
      </c>
      <c r="J233" s="137">
        <v>3</v>
      </c>
      <c r="K233" s="150">
        <v>196.875</v>
      </c>
      <c r="L233" s="150">
        <v>28.56</v>
      </c>
      <c r="M233" s="150">
        <v>12.114666666666666</v>
      </c>
      <c r="N233" s="152">
        <v>25.916666000000003</v>
      </c>
    </row>
    <row r="234" spans="1:14" x14ac:dyDescent="0.3">
      <c r="A234" s="135" t="s">
        <v>455</v>
      </c>
      <c r="B234" s="137" t="s">
        <v>414</v>
      </c>
      <c r="C234" s="137">
        <v>22</v>
      </c>
      <c r="D234" s="9">
        <v>0</v>
      </c>
      <c r="E234" s="8">
        <v>0</v>
      </c>
      <c r="F234" s="8">
        <v>0</v>
      </c>
      <c r="G234" s="18">
        <v>0</v>
      </c>
      <c r="H234" s="135" t="s">
        <v>464</v>
      </c>
      <c r="I234" s="137" t="s">
        <v>414</v>
      </c>
      <c r="J234" s="137">
        <v>4</v>
      </c>
      <c r="K234" s="150">
        <v>196.875</v>
      </c>
      <c r="L234" s="150">
        <v>28.56</v>
      </c>
      <c r="M234" s="150">
        <v>13.118</v>
      </c>
      <c r="N234" s="152">
        <v>27.5625</v>
      </c>
    </row>
    <row r="235" spans="1:14" x14ac:dyDescent="0.3">
      <c r="A235" s="135" t="s">
        <v>455</v>
      </c>
      <c r="B235" s="137" t="s">
        <v>414</v>
      </c>
      <c r="C235" s="137">
        <v>23</v>
      </c>
      <c r="D235" s="9">
        <v>0</v>
      </c>
      <c r="E235" s="8">
        <v>0</v>
      </c>
      <c r="F235" s="8">
        <v>0</v>
      </c>
      <c r="G235" s="18">
        <v>0</v>
      </c>
      <c r="H235" s="144" t="s">
        <v>464</v>
      </c>
      <c r="I235" s="145" t="s">
        <v>415</v>
      </c>
      <c r="J235" s="145">
        <v>1</v>
      </c>
      <c r="K235" s="150">
        <v>196.875</v>
      </c>
      <c r="L235" s="150">
        <v>28.56</v>
      </c>
      <c r="M235" s="150">
        <v>10.108000000000001</v>
      </c>
      <c r="N235" s="152">
        <v>41.25</v>
      </c>
    </row>
    <row r="236" spans="1:14" x14ac:dyDescent="0.3">
      <c r="A236" s="135" t="s">
        <v>455</v>
      </c>
      <c r="B236" s="137" t="s">
        <v>414</v>
      </c>
      <c r="C236" s="137">
        <v>24</v>
      </c>
      <c r="D236" s="9">
        <v>0</v>
      </c>
      <c r="E236" s="8">
        <v>0</v>
      </c>
      <c r="F236" s="8">
        <v>0</v>
      </c>
      <c r="G236" s="18">
        <v>0</v>
      </c>
      <c r="H236" s="135" t="s">
        <v>464</v>
      </c>
      <c r="I236" s="136" t="s">
        <v>415</v>
      </c>
      <c r="J236" s="136">
        <v>2</v>
      </c>
      <c r="K236" s="150">
        <v>196.875</v>
      </c>
      <c r="L236" s="150">
        <v>28.56</v>
      </c>
      <c r="M236" s="150">
        <v>10.107999</v>
      </c>
      <c r="N236" s="152">
        <v>33.499998999999995</v>
      </c>
    </row>
    <row r="237" spans="1:14" x14ac:dyDescent="0.3">
      <c r="A237" s="135" t="s">
        <v>455</v>
      </c>
      <c r="B237" s="137" t="s">
        <v>414</v>
      </c>
      <c r="C237" s="137">
        <v>25</v>
      </c>
      <c r="D237" s="9">
        <v>0</v>
      </c>
      <c r="E237" s="8">
        <v>0</v>
      </c>
      <c r="F237" s="8">
        <v>0</v>
      </c>
      <c r="G237" s="18">
        <v>0</v>
      </c>
      <c r="H237" s="135" t="s">
        <v>464</v>
      </c>
      <c r="I237" s="137" t="s">
        <v>415</v>
      </c>
      <c r="J237" s="137">
        <v>3</v>
      </c>
      <c r="K237" s="150">
        <v>196.875</v>
      </c>
      <c r="L237" s="150">
        <v>28.56</v>
      </c>
      <c r="M237" s="150">
        <v>12.114666666666666</v>
      </c>
      <c r="N237" s="152">
        <v>32.249999666666668</v>
      </c>
    </row>
    <row r="238" spans="1:14" x14ac:dyDescent="0.3">
      <c r="A238" s="135" t="s">
        <v>455</v>
      </c>
      <c r="B238" s="137" t="s">
        <v>414</v>
      </c>
      <c r="C238" s="137">
        <v>26</v>
      </c>
      <c r="D238" s="9">
        <v>0</v>
      </c>
      <c r="E238" s="8">
        <v>0</v>
      </c>
      <c r="F238" s="8">
        <v>0</v>
      </c>
      <c r="G238" s="18">
        <v>0</v>
      </c>
      <c r="H238" s="135" t="s">
        <v>464</v>
      </c>
      <c r="I238" s="137" t="s">
        <v>415</v>
      </c>
      <c r="J238" s="137">
        <v>4</v>
      </c>
      <c r="K238" s="150">
        <v>196.875</v>
      </c>
      <c r="L238" s="150">
        <v>28.56</v>
      </c>
      <c r="M238" s="150">
        <v>13.118</v>
      </c>
      <c r="N238" s="152">
        <v>32.3125</v>
      </c>
    </row>
    <row r="239" spans="1:14" x14ac:dyDescent="0.3">
      <c r="A239" s="135" t="s">
        <v>455</v>
      </c>
      <c r="B239" s="137" t="s">
        <v>414</v>
      </c>
      <c r="C239" s="137">
        <v>27</v>
      </c>
      <c r="D239" s="9">
        <v>0</v>
      </c>
      <c r="E239" s="8">
        <v>0</v>
      </c>
      <c r="F239" s="8">
        <v>0</v>
      </c>
      <c r="G239" s="18">
        <v>0</v>
      </c>
      <c r="H239" s="135" t="s">
        <v>464</v>
      </c>
      <c r="I239" s="137" t="s">
        <v>422</v>
      </c>
      <c r="J239" s="137">
        <v>1</v>
      </c>
      <c r="K239" s="150">
        <v>196.875</v>
      </c>
      <c r="L239" s="150">
        <v>28.56</v>
      </c>
      <c r="M239" s="150">
        <v>10.108000000000001</v>
      </c>
      <c r="N239" s="152">
        <v>21.75</v>
      </c>
    </row>
    <row r="240" spans="1:14" x14ac:dyDescent="0.3">
      <c r="A240" s="135" t="s">
        <v>455</v>
      </c>
      <c r="B240" s="137" t="s">
        <v>414</v>
      </c>
      <c r="C240" s="137">
        <v>28</v>
      </c>
      <c r="D240" s="9">
        <v>0</v>
      </c>
      <c r="E240" s="8">
        <v>0</v>
      </c>
      <c r="F240" s="8">
        <v>0</v>
      </c>
      <c r="G240" s="18">
        <v>0</v>
      </c>
      <c r="H240" s="135" t="s">
        <v>464</v>
      </c>
      <c r="I240" s="136" t="s">
        <v>422</v>
      </c>
      <c r="J240" s="137">
        <v>2</v>
      </c>
      <c r="K240" s="150">
        <v>196.875</v>
      </c>
      <c r="L240" s="150">
        <v>28.56</v>
      </c>
      <c r="M240" s="150">
        <v>10.107999</v>
      </c>
      <c r="N240" s="152">
        <v>23.5</v>
      </c>
    </row>
    <row r="241" spans="1:14" x14ac:dyDescent="0.3">
      <c r="A241" s="135" t="s">
        <v>455</v>
      </c>
      <c r="B241" s="137" t="s">
        <v>414</v>
      </c>
      <c r="C241" s="137">
        <v>29</v>
      </c>
      <c r="D241" s="9">
        <v>0</v>
      </c>
      <c r="E241" s="8">
        <v>0</v>
      </c>
      <c r="F241" s="8">
        <v>0</v>
      </c>
      <c r="G241" s="18">
        <v>0</v>
      </c>
      <c r="H241" s="135" t="s">
        <v>464</v>
      </c>
      <c r="I241" s="137" t="s">
        <v>422</v>
      </c>
      <c r="J241" s="137">
        <v>3</v>
      </c>
      <c r="K241" s="150">
        <v>196.875</v>
      </c>
      <c r="L241" s="150">
        <v>28.56</v>
      </c>
      <c r="M241" s="150">
        <v>12.114666666666666</v>
      </c>
      <c r="N241" s="152">
        <v>25.333334333333333</v>
      </c>
    </row>
    <row r="242" spans="1:14" ht="15" thickBot="1" x14ac:dyDescent="0.35">
      <c r="A242" s="138" t="s">
        <v>455</v>
      </c>
      <c r="B242" s="137" t="s">
        <v>414</v>
      </c>
      <c r="C242" s="137">
        <v>30</v>
      </c>
      <c r="D242" s="9">
        <v>0</v>
      </c>
      <c r="E242" s="8">
        <v>0</v>
      </c>
      <c r="F242" s="8">
        <v>0</v>
      </c>
      <c r="G242" s="18">
        <v>0</v>
      </c>
      <c r="H242" s="146" t="s">
        <v>464</v>
      </c>
      <c r="I242" s="147" t="s">
        <v>422</v>
      </c>
      <c r="J242" s="147">
        <v>4</v>
      </c>
      <c r="K242" s="153">
        <v>196.875</v>
      </c>
      <c r="L242" s="153">
        <v>28.56</v>
      </c>
      <c r="M242" s="153">
        <v>13.118</v>
      </c>
      <c r="N242" s="154">
        <v>27</v>
      </c>
    </row>
    <row r="243" spans="1:14" x14ac:dyDescent="0.3">
      <c r="A243" s="141" t="s">
        <v>455</v>
      </c>
      <c r="B243" s="136" t="s">
        <v>415</v>
      </c>
      <c r="C243" s="136">
        <v>1</v>
      </c>
      <c r="D243" s="9">
        <v>0</v>
      </c>
      <c r="E243" s="8">
        <v>0</v>
      </c>
      <c r="F243" s="8">
        <v>0</v>
      </c>
      <c r="G243" s="18">
        <v>0</v>
      </c>
      <c r="H243" s="240">
        <v>0</v>
      </c>
      <c r="I243" s="240">
        <v>0</v>
      </c>
      <c r="J243" s="240">
        <v>0</v>
      </c>
      <c r="K243" s="240">
        <v>0</v>
      </c>
      <c r="L243" s="240">
        <v>0</v>
      </c>
      <c r="M243" s="240">
        <v>0</v>
      </c>
      <c r="N243" s="240">
        <v>0</v>
      </c>
    </row>
    <row r="244" spans="1:14" x14ac:dyDescent="0.3">
      <c r="A244" s="135" t="s">
        <v>455</v>
      </c>
      <c r="B244" s="136" t="s">
        <v>415</v>
      </c>
      <c r="C244" s="137">
        <v>2</v>
      </c>
      <c r="D244" s="9">
        <v>0</v>
      </c>
      <c r="E244" s="8">
        <v>0</v>
      </c>
      <c r="F244" s="8">
        <v>0</v>
      </c>
      <c r="G244" s="18">
        <v>0</v>
      </c>
      <c r="H244" s="240">
        <v>0</v>
      </c>
      <c r="I244" s="240">
        <v>0</v>
      </c>
      <c r="J244" s="240">
        <v>0</v>
      </c>
      <c r="K244" s="240">
        <v>0</v>
      </c>
      <c r="L244" s="240">
        <v>0</v>
      </c>
      <c r="M244" s="240">
        <v>0</v>
      </c>
      <c r="N244" s="240">
        <v>0</v>
      </c>
    </row>
    <row r="245" spans="1:14" x14ac:dyDescent="0.3">
      <c r="A245" s="135" t="s">
        <v>455</v>
      </c>
      <c r="B245" s="137" t="s">
        <v>415</v>
      </c>
      <c r="C245" s="137">
        <v>3</v>
      </c>
      <c r="D245" s="9">
        <v>0</v>
      </c>
      <c r="E245" s="8">
        <v>0</v>
      </c>
      <c r="F245" s="8">
        <v>0</v>
      </c>
      <c r="G245" s="18">
        <v>0</v>
      </c>
      <c r="H245" s="240">
        <v>0</v>
      </c>
      <c r="I245" s="240">
        <v>0</v>
      </c>
      <c r="J245" s="240">
        <v>0</v>
      </c>
      <c r="K245" s="240">
        <v>0</v>
      </c>
      <c r="L245" s="240">
        <v>0</v>
      </c>
      <c r="M245" s="240">
        <v>0</v>
      </c>
      <c r="N245" s="240">
        <v>0</v>
      </c>
    </row>
    <row r="246" spans="1:14" x14ac:dyDescent="0.3">
      <c r="A246" s="135" t="s">
        <v>455</v>
      </c>
      <c r="B246" s="137" t="s">
        <v>415</v>
      </c>
      <c r="C246" s="137">
        <v>4</v>
      </c>
      <c r="D246" s="9">
        <v>0</v>
      </c>
      <c r="E246" s="8">
        <v>0</v>
      </c>
      <c r="F246" s="8">
        <v>0</v>
      </c>
      <c r="G246" s="18">
        <v>0</v>
      </c>
      <c r="H246" s="240">
        <v>0</v>
      </c>
      <c r="I246" s="240">
        <v>0</v>
      </c>
      <c r="J246" s="240">
        <v>0</v>
      </c>
      <c r="K246" s="240">
        <v>0</v>
      </c>
      <c r="L246" s="240">
        <v>0</v>
      </c>
      <c r="M246" s="240">
        <v>0</v>
      </c>
      <c r="N246" s="240">
        <v>0</v>
      </c>
    </row>
    <row r="247" spans="1:14" x14ac:dyDescent="0.3">
      <c r="A247" s="135" t="s">
        <v>455</v>
      </c>
      <c r="B247" s="137" t="s">
        <v>415</v>
      </c>
      <c r="C247" s="137">
        <v>5</v>
      </c>
      <c r="D247" s="9">
        <v>0</v>
      </c>
      <c r="E247" s="8">
        <v>0</v>
      </c>
      <c r="F247" s="8">
        <v>0</v>
      </c>
      <c r="G247" s="18">
        <v>0</v>
      </c>
      <c r="H247" s="240">
        <v>0</v>
      </c>
      <c r="I247" s="240">
        <v>0</v>
      </c>
      <c r="J247" s="240">
        <v>0</v>
      </c>
      <c r="K247" s="240">
        <v>0</v>
      </c>
      <c r="L247" s="240">
        <v>0</v>
      </c>
      <c r="M247" s="240">
        <v>0</v>
      </c>
      <c r="N247" s="240">
        <v>0</v>
      </c>
    </row>
    <row r="248" spans="1:14" x14ac:dyDescent="0.3">
      <c r="A248" s="135" t="s">
        <v>455</v>
      </c>
      <c r="B248" s="137" t="s">
        <v>415</v>
      </c>
      <c r="C248" s="137">
        <v>6</v>
      </c>
      <c r="D248" s="9">
        <v>0</v>
      </c>
      <c r="E248" s="8">
        <v>0</v>
      </c>
      <c r="F248" s="8">
        <v>0</v>
      </c>
      <c r="G248" s="18">
        <v>0</v>
      </c>
      <c r="H248" s="240">
        <v>0</v>
      </c>
      <c r="I248" s="240">
        <v>0</v>
      </c>
      <c r="J248" s="240">
        <v>0</v>
      </c>
      <c r="K248" s="240">
        <v>0</v>
      </c>
      <c r="L248" s="240">
        <v>0</v>
      </c>
      <c r="M248" s="240">
        <v>0</v>
      </c>
      <c r="N248" s="240">
        <v>0</v>
      </c>
    </row>
    <row r="249" spans="1:14" x14ac:dyDescent="0.3">
      <c r="A249" s="135" t="s">
        <v>455</v>
      </c>
      <c r="B249" s="137" t="s">
        <v>415</v>
      </c>
      <c r="C249" s="137">
        <v>7</v>
      </c>
      <c r="D249" s="9">
        <v>0</v>
      </c>
      <c r="E249" s="8">
        <v>0</v>
      </c>
      <c r="F249" s="8">
        <v>0</v>
      </c>
      <c r="G249" s="18">
        <v>0</v>
      </c>
      <c r="H249" s="240">
        <v>0</v>
      </c>
      <c r="I249" s="240">
        <v>0</v>
      </c>
      <c r="J249" s="240">
        <v>0</v>
      </c>
      <c r="K249" s="240">
        <v>0</v>
      </c>
      <c r="L249" s="240">
        <v>0</v>
      </c>
      <c r="M249" s="240">
        <v>0</v>
      </c>
      <c r="N249" s="240">
        <v>0</v>
      </c>
    </row>
    <row r="250" spans="1:14" x14ac:dyDescent="0.3">
      <c r="A250" s="135" t="s">
        <v>455</v>
      </c>
      <c r="B250" s="137" t="s">
        <v>415</v>
      </c>
      <c r="C250" s="137">
        <v>8</v>
      </c>
      <c r="D250" s="9">
        <v>0</v>
      </c>
      <c r="E250" s="8">
        <v>0</v>
      </c>
      <c r="F250" s="8">
        <v>0</v>
      </c>
      <c r="G250" s="18">
        <v>0</v>
      </c>
      <c r="H250" s="240">
        <v>0</v>
      </c>
      <c r="I250" s="240">
        <v>0</v>
      </c>
      <c r="J250" s="240">
        <v>0</v>
      </c>
      <c r="K250" s="240">
        <v>0</v>
      </c>
      <c r="L250" s="240">
        <v>0</v>
      </c>
      <c r="M250" s="240">
        <v>0</v>
      </c>
      <c r="N250" s="240">
        <v>0</v>
      </c>
    </row>
    <row r="251" spans="1:14" x14ac:dyDescent="0.3">
      <c r="A251" s="135" t="s">
        <v>455</v>
      </c>
      <c r="B251" s="137" t="s">
        <v>415</v>
      </c>
      <c r="C251" s="137">
        <v>9</v>
      </c>
      <c r="D251" s="9">
        <v>0</v>
      </c>
      <c r="E251" s="8">
        <v>0</v>
      </c>
      <c r="F251" s="8">
        <v>0</v>
      </c>
      <c r="G251" s="18">
        <v>0</v>
      </c>
      <c r="H251" s="240">
        <v>0</v>
      </c>
      <c r="I251" s="240">
        <v>0</v>
      </c>
      <c r="J251" s="240">
        <v>0</v>
      </c>
      <c r="K251" s="240">
        <v>0</v>
      </c>
      <c r="L251" s="240">
        <v>0</v>
      </c>
      <c r="M251" s="240">
        <v>0</v>
      </c>
      <c r="N251" s="240">
        <v>0</v>
      </c>
    </row>
    <row r="252" spans="1:14" x14ac:dyDescent="0.3">
      <c r="A252" s="135" t="s">
        <v>455</v>
      </c>
      <c r="B252" s="137" t="s">
        <v>415</v>
      </c>
      <c r="C252" s="137">
        <v>10</v>
      </c>
      <c r="D252" s="9">
        <v>0</v>
      </c>
      <c r="E252" s="8">
        <v>0</v>
      </c>
      <c r="F252" s="8">
        <v>0</v>
      </c>
      <c r="G252" s="18">
        <v>0</v>
      </c>
      <c r="H252" s="240">
        <v>0</v>
      </c>
      <c r="I252" s="240">
        <v>0</v>
      </c>
      <c r="J252" s="240">
        <v>0</v>
      </c>
      <c r="K252" s="240">
        <v>0</v>
      </c>
      <c r="L252" s="240">
        <v>0</v>
      </c>
      <c r="M252" s="240">
        <v>0</v>
      </c>
      <c r="N252" s="240">
        <v>0</v>
      </c>
    </row>
    <row r="253" spans="1:14" x14ac:dyDescent="0.3">
      <c r="A253" s="135" t="s">
        <v>455</v>
      </c>
      <c r="B253" s="137" t="s">
        <v>415</v>
      </c>
      <c r="C253" s="137">
        <v>11</v>
      </c>
      <c r="D253" s="9">
        <v>0</v>
      </c>
      <c r="E253" s="8">
        <v>0</v>
      </c>
      <c r="F253" s="8">
        <v>0</v>
      </c>
      <c r="G253" s="18">
        <v>0</v>
      </c>
      <c r="H253" s="240">
        <v>0</v>
      </c>
      <c r="I253" s="240">
        <v>0</v>
      </c>
      <c r="J253" s="240">
        <v>0</v>
      </c>
      <c r="K253" s="240">
        <v>0</v>
      </c>
      <c r="L253" s="240">
        <v>0</v>
      </c>
      <c r="M253" s="240">
        <v>0</v>
      </c>
      <c r="N253" s="240">
        <v>0</v>
      </c>
    </row>
    <row r="254" spans="1:14" x14ac:dyDescent="0.3">
      <c r="A254" s="135" t="s">
        <v>455</v>
      </c>
      <c r="B254" s="137" t="s">
        <v>415</v>
      </c>
      <c r="C254" s="137">
        <v>12</v>
      </c>
      <c r="D254" s="9">
        <v>0</v>
      </c>
      <c r="E254" s="8">
        <v>0</v>
      </c>
      <c r="F254" s="8">
        <v>0</v>
      </c>
      <c r="G254" s="18">
        <v>0</v>
      </c>
      <c r="H254" s="240">
        <v>0</v>
      </c>
      <c r="I254" s="240">
        <v>0</v>
      </c>
      <c r="J254" s="240">
        <v>0</v>
      </c>
      <c r="K254" s="240">
        <v>0</v>
      </c>
      <c r="L254" s="240">
        <v>0</v>
      </c>
      <c r="M254" s="240">
        <v>0</v>
      </c>
      <c r="N254" s="240">
        <v>0</v>
      </c>
    </row>
    <row r="255" spans="1:14" x14ac:dyDescent="0.3">
      <c r="A255" s="135" t="s">
        <v>455</v>
      </c>
      <c r="B255" s="137" t="s">
        <v>415</v>
      </c>
      <c r="C255" s="137">
        <v>13</v>
      </c>
      <c r="D255" s="9">
        <v>0</v>
      </c>
      <c r="E255" s="8">
        <v>0</v>
      </c>
      <c r="F255" s="8">
        <v>0</v>
      </c>
      <c r="G255" s="18">
        <v>0</v>
      </c>
      <c r="H255" s="240">
        <v>0</v>
      </c>
      <c r="I255" s="240">
        <v>0</v>
      </c>
      <c r="J255" s="240">
        <v>0</v>
      </c>
      <c r="K255" s="240">
        <v>0</v>
      </c>
      <c r="L255" s="240">
        <v>0</v>
      </c>
      <c r="M255" s="240">
        <v>0</v>
      </c>
      <c r="N255" s="240">
        <v>0</v>
      </c>
    </row>
    <row r="256" spans="1:14" x14ac:dyDescent="0.3">
      <c r="A256" s="135" t="s">
        <v>455</v>
      </c>
      <c r="B256" s="137" t="s">
        <v>415</v>
      </c>
      <c r="C256" s="137">
        <v>14</v>
      </c>
      <c r="D256" s="9">
        <v>0</v>
      </c>
      <c r="E256" s="8">
        <v>0</v>
      </c>
      <c r="F256" s="8">
        <v>0</v>
      </c>
      <c r="G256" s="18">
        <v>0</v>
      </c>
      <c r="H256" s="240">
        <v>0</v>
      </c>
      <c r="I256" s="240">
        <v>0</v>
      </c>
      <c r="J256" s="240">
        <v>0</v>
      </c>
      <c r="K256" s="240">
        <v>0</v>
      </c>
      <c r="L256" s="240">
        <v>0</v>
      </c>
      <c r="M256" s="240">
        <v>0</v>
      </c>
      <c r="N256" s="240">
        <v>0</v>
      </c>
    </row>
    <row r="257" spans="1:14" x14ac:dyDescent="0.3">
      <c r="A257" s="135" t="s">
        <v>455</v>
      </c>
      <c r="B257" s="137" t="s">
        <v>415</v>
      </c>
      <c r="C257" s="137">
        <v>15</v>
      </c>
      <c r="D257" s="9">
        <v>0</v>
      </c>
      <c r="E257" s="8">
        <v>0</v>
      </c>
      <c r="F257" s="8">
        <v>0</v>
      </c>
      <c r="G257" s="18">
        <v>0</v>
      </c>
      <c r="H257" s="240">
        <v>0</v>
      </c>
      <c r="I257" s="240">
        <v>0</v>
      </c>
      <c r="J257" s="240">
        <v>0</v>
      </c>
      <c r="K257" s="240">
        <v>0</v>
      </c>
      <c r="L257" s="240">
        <v>0</v>
      </c>
      <c r="M257" s="240">
        <v>0</v>
      </c>
      <c r="N257" s="240">
        <v>0</v>
      </c>
    </row>
    <row r="258" spans="1:14" x14ac:dyDescent="0.3">
      <c r="A258" s="135" t="s">
        <v>455</v>
      </c>
      <c r="B258" s="137" t="s">
        <v>415</v>
      </c>
      <c r="C258" s="137">
        <v>16</v>
      </c>
      <c r="D258" s="9">
        <v>0</v>
      </c>
      <c r="E258" s="8">
        <v>0</v>
      </c>
      <c r="F258" s="8">
        <v>0</v>
      </c>
      <c r="G258" s="18">
        <v>0</v>
      </c>
      <c r="H258" s="240">
        <v>0</v>
      </c>
      <c r="I258" s="240">
        <v>0</v>
      </c>
      <c r="J258" s="240">
        <v>0</v>
      </c>
      <c r="K258" s="240">
        <v>0</v>
      </c>
      <c r="L258" s="240">
        <v>0</v>
      </c>
      <c r="M258" s="240">
        <v>0</v>
      </c>
      <c r="N258" s="240">
        <v>0</v>
      </c>
    </row>
    <row r="259" spans="1:14" x14ac:dyDescent="0.3">
      <c r="A259" s="135" t="s">
        <v>455</v>
      </c>
      <c r="B259" s="137" t="s">
        <v>415</v>
      </c>
      <c r="C259" s="137">
        <v>17</v>
      </c>
      <c r="D259" s="9">
        <v>0</v>
      </c>
      <c r="E259" s="8">
        <v>0</v>
      </c>
      <c r="F259" s="8">
        <v>0</v>
      </c>
      <c r="G259" s="18">
        <v>0</v>
      </c>
      <c r="H259" s="240">
        <v>0</v>
      </c>
      <c r="I259" s="240">
        <v>0</v>
      </c>
      <c r="J259" s="240">
        <v>0</v>
      </c>
      <c r="K259" s="240">
        <v>0</v>
      </c>
      <c r="L259" s="240">
        <v>0</v>
      </c>
      <c r="M259" s="240">
        <v>0</v>
      </c>
      <c r="N259" s="240">
        <v>0</v>
      </c>
    </row>
    <row r="260" spans="1:14" x14ac:dyDescent="0.3">
      <c r="A260" s="135" t="s">
        <v>455</v>
      </c>
      <c r="B260" s="137" t="s">
        <v>415</v>
      </c>
      <c r="C260" s="137">
        <v>18</v>
      </c>
      <c r="D260" s="9">
        <v>0</v>
      </c>
      <c r="E260" s="8">
        <v>0</v>
      </c>
      <c r="F260" s="8">
        <v>0</v>
      </c>
      <c r="G260" s="18">
        <v>0</v>
      </c>
      <c r="H260" s="240">
        <v>0</v>
      </c>
      <c r="I260" s="240">
        <v>0</v>
      </c>
      <c r="J260" s="240">
        <v>0</v>
      </c>
      <c r="K260" s="240">
        <v>0</v>
      </c>
      <c r="L260" s="240">
        <v>0</v>
      </c>
      <c r="M260" s="240">
        <v>0</v>
      </c>
      <c r="N260" s="240">
        <v>0</v>
      </c>
    </row>
    <row r="261" spans="1:14" x14ac:dyDescent="0.3">
      <c r="A261" s="135" t="s">
        <v>455</v>
      </c>
      <c r="B261" s="137" t="s">
        <v>415</v>
      </c>
      <c r="C261" s="137">
        <v>19</v>
      </c>
      <c r="D261" s="9">
        <v>0</v>
      </c>
      <c r="E261" s="8">
        <v>0</v>
      </c>
      <c r="F261" s="8">
        <v>0</v>
      </c>
      <c r="G261" s="18">
        <v>0</v>
      </c>
      <c r="H261" s="240">
        <v>0</v>
      </c>
      <c r="I261" s="240">
        <v>0</v>
      </c>
      <c r="J261" s="240">
        <v>0</v>
      </c>
      <c r="K261" s="240">
        <v>0</v>
      </c>
      <c r="L261" s="240">
        <v>0</v>
      </c>
      <c r="M261" s="240">
        <v>0</v>
      </c>
      <c r="N261" s="240">
        <v>0</v>
      </c>
    </row>
    <row r="262" spans="1:14" x14ac:dyDescent="0.3">
      <c r="A262" s="135" t="s">
        <v>455</v>
      </c>
      <c r="B262" s="137" t="s">
        <v>415</v>
      </c>
      <c r="C262" s="137">
        <v>20</v>
      </c>
      <c r="D262" s="9">
        <v>0</v>
      </c>
      <c r="E262" s="8">
        <v>0</v>
      </c>
      <c r="F262" s="8">
        <v>0</v>
      </c>
      <c r="G262" s="18">
        <v>0</v>
      </c>
      <c r="H262" s="240">
        <v>0</v>
      </c>
      <c r="I262" s="240">
        <v>0</v>
      </c>
      <c r="J262" s="240">
        <v>0</v>
      </c>
      <c r="K262" s="240">
        <v>0</v>
      </c>
      <c r="L262" s="240">
        <v>0</v>
      </c>
      <c r="M262" s="240">
        <v>0</v>
      </c>
      <c r="N262" s="240">
        <v>0</v>
      </c>
    </row>
    <row r="263" spans="1:14" x14ac:dyDescent="0.3">
      <c r="A263" s="135" t="s">
        <v>455</v>
      </c>
      <c r="B263" s="137" t="s">
        <v>415</v>
      </c>
      <c r="C263" s="137">
        <v>21</v>
      </c>
      <c r="D263" s="9">
        <v>0</v>
      </c>
      <c r="E263" s="8">
        <v>0</v>
      </c>
      <c r="F263" s="8">
        <v>0</v>
      </c>
      <c r="G263" s="18">
        <v>0</v>
      </c>
      <c r="H263" s="240">
        <v>0</v>
      </c>
      <c r="I263" s="240">
        <v>0</v>
      </c>
      <c r="J263" s="240">
        <v>0</v>
      </c>
      <c r="K263" s="240">
        <v>0</v>
      </c>
      <c r="L263" s="240">
        <v>0</v>
      </c>
      <c r="M263" s="240">
        <v>0</v>
      </c>
      <c r="N263" s="240">
        <v>0</v>
      </c>
    </row>
    <row r="264" spans="1:14" x14ac:dyDescent="0.3">
      <c r="A264" s="135" t="s">
        <v>455</v>
      </c>
      <c r="B264" s="137" t="s">
        <v>415</v>
      </c>
      <c r="C264" s="137">
        <v>22</v>
      </c>
      <c r="D264" s="9">
        <v>0</v>
      </c>
      <c r="E264" s="8">
        <v>0</v>
      </c>
      <c r="F264" s="8">
        <v>0</v>
      </c>
      <c r="G264" s="18">
        <v>0</v>
      </c>
      <c r="H264" s="240">
        <v>0</v>
      </c>
      <c r="I264" s="240">
        <v>0</v>
      </c>
      <c r="J264" s="240">
        <v>0</v>
      </c>
      <c r="K264" s="240">
        <v>0</v>
      </c>
      <c r="L264" s="240">
        <v>0</v>
      </c>
      <c r="M264" s="240">
        <v>0</v>
      </c>
      <c r="N264" s="240">
        <v>0</v>
      </c>
    </row>
    <row r="265" spans="1:14" x14ac:dyDescent="0.3">
      <c r="A265" s="135" t="s">
        <v>455</v>
      </c>
      <c r="B265" s="137" t="s">
        <v>415</v>
      </c>
      <c r="C265" s="137">
        <v>23</v>
      </c>
      <c r="D265" s="9">
        <v>0</v>
      </c>
      <c r="E265" s="8">
        <v>0</v>
      </c>
      <c r="F265" s="8">
        <v>0</v>
      </c>
      <c r="G265" s="18">
        <v>0</v>
      </c>
      <c r="H265" s="240">
        <v>0</v>
      </c>
      <c r="I265" s="240">
        <v>0</v>
      </c>
      <c r="J265" s="240">
        <v>0</v>
      </c>
      <c r="K265" s="240">
        <v>0</v>
      </c>
      <c r="L265" s="240">
        <v>0</v>
      </c>
      <c r="M265" s="240">
        <v>0</v>
      </c>
      <c r="N265" s="240">
        <v>0</v>
      </c>
    </row>
    <row r="266" spans="1:14" x14ac:dyDescent="0.3">
      <c r="A266" s="135" t="s">
        <v>455</v>
      </c>
      <c r="B266" s="137" t="s">
        <v>415</v>
      </c>
      <c r="C266" s="137">
        <v>24</v>
      </c>
      <c r="D266" s="9">
        <v>0</v>
      </c>
      <c r="E266" s="8">
        <v>0</v>
      </c>
      <c r="F266" s="8">
        <v>0</v>
      </c>
      <c r="G266" s="18">
        <v>0</v>
      </c>
      <c r="H266" s="240">
        <v>0</v>
      </c>
      <c r="I266" s="240">
        <v>0</v>
      </c>
      <c r="J266" s="240">
        <v>0</v>
      </c>
      <c r="K266" s="240">
        <v>0</v>
      </c>
      <c r="L266" s="240">
        <v>0</v>
      </c>
      <c r="M266" s="240">
        <v>0</v>
      </c>
      <c r="N266" s="240">
        <v>0</v>
      </c>
    </row>
    <row r="267" spans="1:14" x14ac:dyDescent="0.3">
      <c r="A267" s="135" t="s">
        <v>455</v>
      </c>
      <c r="B267" s="137" t="s">
        <v>415</v>
      </c>
      <c r="C267" s="137">
        <v>25</v>
      </c>
      <c r="D267" s="9">
        <v>0</v>
      </c>
      <c r="E267" s="8">
        <v>0</v>
      </c>
      <c r="F267" s="8">
        <v>0</v>
      </c>
      <c r="G267" s="18">
        <v>0</v>
      </c>
      <c r="H267" s="240">
        <v>0</v>
      </c>
      <c r="I267" s="240">
        <v>0</v>
      </c>
      <c r="J267" s="240">
        <v>0</v>
      </c>
      <c r="K267" s="240">
        <v>0</v>
      </c>
      <c r="L267" s="240">
        <v>0</v>
      </c>
      <c r="M267" s="240">
        <v>0</v>
      </c>
      <c r="N267" s="240">
        <v>0</v>
      </c>
    </row>
    <row r="268" spans="1:14" x14ac:dyDescent="0.3">
      <c r="A268" s="135" t="s">
        <v>455</v>
      </c>
      <c r="B268" s="137" t="s">
        <v>415</v>
      </c>
      <c r="C268" s="137">
        <v>26</v>
      </c>
      <c r="D268" s="9">
        <v>0</v>
      </c>
      <c r="E268" s="8">
        <v>0</v>
      </c>
      <c r="F268" s="8">
        <v>0</v>
      </c>
      <c r="G268" s="18">
        <v>0</v>
      </c>
      <c r="H268" s="240">
        <v>0</v>
      </c>
      <c r="I268" s="240">
        <v>0</v>
      </c>
      <c r="J268" s="240">
        <v>0</v>
      </c>
      <c r="K268" s="240">
        <v>0</v>
      </c>
      <c r="L268" s="240">
        <v>0</v>
      </c>
      <c r="M268" s="240">
        <v>0</v>
      </c>
      <c r="N268" s="240">
        <v>0</v>
      </c>
    </row>
    <row r="269" spans="1:14" x14ac:dyDescent="0.3">
      <c r="A269" s="135" t="s">
        <v>455</v>
      </c>
      <c r="B269" s="137" t="s">
        <v>415</v>
      </c>
      <c r="C269" s="137">
        <v>27</v>
      </c>
      <c r="D269" s="9">
        <v>0</v>
      </c>
      <c r="E269" s="8">
        <v>0</v>
      </c>
      <c r="F269" s="8">
        <v>0</v>
      </c>
      <c r="G269" s="18">
        <v>0</v>
      </c>
      <c r="H269" s="240">
        <v>0</v>
      </c>
      <c r="I269" s="240">
        <v>0</v>
      </c>
      <c r="J269" s="240">
        <v>0</v>
      </c>
      <c r="K269" s="240">
        <v>0</v>
      </c>
      <c r="L269" s="240">
        <v>0</v>
      </c>
      <c r="M269" s="240">
        <v>0</v>
      </c>
      <c r="N269" s="240">
        <v>0</v>
      </c>
    </row>
    <row r="270" spans="1:14" x14ac:dyDescent="0.3">
      <c r="A270" s="135" t="s">
        <v>455</v>
      </c>
      <c r="B270" s="137" t="s">
        <v>415</v>
      </c>
      <c r="C270" s="137">
        <v>28</v>
      </c>
      <c r="D270" s="9">
        <v>0</v>
      </c>
      <c r="E270" s="8">
        <v>0</v>
      </c>
      <c r="F270" s="8">
        <v>0</v>
      </c>
      <c r="G270" s="18">
        <v>0</v>
      </c>
      <c r="H270" s="240">
        <v>0</v>
      </c>
      <c r="I270" s="240">
        <v>0</v>
      </c>
      <c r="J270" s="240">
        <v>0</v>
      </c>
      <c r="K270" s="240">
        <v>0</v>
      </c>
      <c r="L270" s="240">
        <v>0</v>
      </c>
      <c r="M270" s="240">
        <v>0</v>
      </c>
      <c r="N270" s="240">
        <v>0</v>
      </c>
    </row>
    <row r="271" spans="1:14" x14ac:dyDescent="0.3">
      <c r="A271" s="135" t="s">
        <v>455</v>
      </c>
      <c r="B271" s="137" t="s">
        <v>415</v>
      </c>
      <c r="C271" s="137">
        <v>29</v>
      </c>
      <c r="D271" s="9">
        <v>0</v>
      </c>
      <c r="E271" s="8">
        <v>0</v>
      </c>
      <c r="F271" s="8">
        <v>0</v>
      </c>
      <c r="G271" s="18">
        <v>0</v>
      </c>
      <c r="H271" s="240">
        <v>0</v>
      </c>
      <c r="I271" s="240">
        <v>0</v>
      </c>
      <c r="J271" s="240">
        <v>0</v>
      </c>
      <c r="K271" s="240">
        <v>0</v>
      </c>
      <c r="L271" s="240">
        <v>0</v>
      </c>
      <c r="M271" s="240">
        <v>0</v>
      </c>
      <c r="N271" s="240">
        <v>0</v>
      </c>
    </row>
    <row r="272" spans="1:14" x14ac:dyDescent="0.3">
      <c r="A272" s="138" t="s">
        <v>455</v>
      </c>
      <c r="B272" s="137" t="s">
        <v>415</v>
      </c>
      <c r="C272" s="137">
        <v>30</v>
      </c>
      <c r="D272" s="9">
        <v>0</v>
      </c>
      <c r="E272" s="8">
        <v>0</v>
      </c>
      <c r="F272" s="8">
        <v>0</v>
      </c>
      <c r="G272" s="18">
        <v>0</v>
      </c>
      <c r="H272" s="240">
        <v>0</v>
      </c>
      <c r="I272" s="240">
        <v>0</v>
      </c>
      <c r="J272" s="240">
        <v>0</v>
      </c>
      <c r="K272" s="240">
        <v>0</v>
      </c>
      <c r="L272" s="240">
        <v>0</v>
      </c>
      <c r="M272" s="240">
        <v>0</v>
      </c>
      <c r="N272" s="240">
        <v>0</v>
      </c>
    </row>
    <row r="273" spans="1:14" x14ac:dyDescent="0.3">
      <c r="A273" s="141" t="s">
        <v>455</v>
      </c>
      <c r="B273" s="136" t="s">
        <v>422</v>
      </c>
      <c r="C273" s="136">
        <v>1</v>
      </c>
      <c r="D273" s="9">
        <v>0</v>
      </c>
      <c r="E273" s="8">
        <v>0</v>
      </c>
      <c r="F273" s="8">
        <v>0</v>
      </c>
      <c r="G273" s="18">
        <v>0</v>
      </c>
      <c r="H273" s="240">
        <v>0</v>
      </c>
      <c r="I273" s="240">
        <v>0</v>
      </c>
      <c r="J273" s="240">
        <v>0</v>
      </c>
      <c r="K273" s="240">
        <v>0</v>
      </c>
      <c r="L273" s="240">
        <v>0</v>
      </c>
      <c r="M273" s="240">
        <v>0</v>
      </c>
      <c r="N273" s="240">
        <v>0</v>
      </c>
    </row>
    <row r="274" spans="1:14" x14ac:dyDescent="0.3">
      <c r="A274" s="135" t="s">
        <v>455</v>
      </c>
      <c r="B274" s="136" t="s">
        <v>422</v>
      </c>
      <c r="C274" s="137">
        <v>2</v>
      </c>
      <c r="D274" s="9">
        <v>0</v>
      </c>
      <c r="E274" s="8">
        <v>0</v>
      </c>
      <c r="F274" s="8">
        <v>0</v>
      </c>
      <c r="G274" s="18">
        <v>0</v>
      </c>
      <c r="H274" s="240">
        <v>0</v>
      </c>
      <c r="I274" s="240">
        <v>0</v>
      </c>
      <c r="J274" s="240">
        <v>0</v>
      </c>
      <c r="K274" s="240">
        <v>0</v>
      </c>
      <c r="L274" s="240">
        <v>0</v>
      </c>
      <c r="M274" s="240">
        <v>0</v>
      </c>
      <c r="N274" s="240">
        <v>0</v>
      </c>
    </row>
    <row r="275" spans="1:14" x14ac:dyDescent="0.3">
      <c r="A275" s="135" t="s">
        <v>455</v>
      </c>
      <c r="B275" s="137" t="s">
        <v>422</v>
      </c>
      <c r="C275" s="137">
        <v>3</v>
      </c>
      <c r="D275" s="9">
        <v>0</v>
      </c>
      <c r="E275" s="8">
        <v>0</v>
      </c>
      <c r="F275" s="8">
        <v>0</v>
      </c>
      <c r="G275" s="18">
        <v>0</v>
      </c>
      <c r="H275" s="240">
        <v>0</v>
      </c>
      <c r="I275" s="240">
        <v>0</v>
      </c>
      <c r="J275" s="240">
        <v>0</v>
      </c>
      <c r="K275" s="240">
        <v>0</v>
      </c>
      <c r="L275" s="240">
        <v>0</v>
      </c>
      <c r="M275" s="240">
        <v>0</v>
      </c>
      <c r="N275" s="240">
        <v>0</v>
      </c>
    </row>
    <row r="276" spans="1:14" x14ac:dyDescent="0.3">
      <c r="A276" s="135" t="s">
        <v>455</v>
      </c>
      <c r="B276" s="137" t="s">
        <v>422</v>
      </c>
      <c r="C276" s="137">
        <v>4</v>
      </c>
      <c r="D276" s="9">
        <v>0</v>
      </c>
      <c r="E276" s="8">
        <v>0</v>
      </c>
      <c r="F276" s="8">
        <v>0</v>
      </c>
      <c r="G276" s="18">
        <v>0</v>
      </c>
      <c r="H276" s="240">
        <v>0</v>
      </c>
      <c r="I276" s="240">
        <v>0</v>
      </c>
      <c r="J276" s="240">
        <v>0</v>
      </c>
      <c r="K276" s="240">
        <v>0</v>
      </c>
      <c r="L276" s="240">
        <v>0</v>
      </c>
      <c r="M276" s="240">
        <v>0</v>
      </c>
      <c r="N276" s="240">
        <v>0</v>
      </c>
    </row>
    <row r="277" spans="1:14" x14ac:dyDescent="0.3">
      <c r="A277" s="135" t="s">
        <v>455</v>
      </c>
      <c r="B277" s="137" t="s">
        <v>422</v>
      </c>
      <c r="C277" s="137">
        <v>5</v>
      </c>
      <c r="D277" s="9">
        <v>0</v>
      </c>
      <c r="E277" s="8">
        <v>0</v>
      </c>
      <c r="F277" s="8">
        <v>0</v>
      </c>
      <c r="G277" s="18">
        <v>0</v>
      </c>
      <c r="H277" s="240">
        <v>0</v>
      </c>
      <c r="I277" s="240">
        <v>0</v>
      </c>
      <c r="J277" s="240">
        <v>0</v>
      </c>
      <c r="K277" s="240">
        <v>0</v>
      </c>
      <c r="L277" s="240">
        <v>0</v>
      </c>
      <c r="M277" s="240">
        <v>0</v>
      </c>
      <c r="N277" s="240">
        <v>0</v>
      </c>
    </row>
    <row r="278" spans="1:14" x14ac:dyDescent="0.3">
      <c r="A278" s="135" t="s">
        <v>455</v>
      </c>
      <c r="B278" s="137" t="s">
        <v>422</v>
      </c>
      <c r="C278" s="137">
        <v>6</v>
      </c>
      <c r="D278" s="9">
        <v>0</v>
      </c>
      <c r="E278" s="8">
        <v>0</v>
      </c>
      <c r="F278" s="8">
        <v>0</v>
      </c>
      <c r="G278" s="18">
        <v>0</v>
      </c>
      <c r="H278" s="240">
        <v>0</v>
      </c>
      <c r="I278" s="240">
        <v>0</v>
      </c>
      <c r="J278" s="240">
        <v>0</v>
      </c>
      <c r="K278" s="240">
        <v>0</v>
      </c>
      <c r="L278" s="240">
        <v>0</v>
      </c>
      <c r="M278" s="240">
        <v>0</v>
      </c>
      <c r="N278" s="240">
        <v>0</v>
      </c>
    </row>
    <row r="279" spans="1:14" x14ac:dyDescent="0.3">
      <c r="A279" s="135" t="s">
        <v>455</v>
      </c>
      <c r="B279" s="137" t="s">
        <v>422</v>
      </c>
      <c r="C279" s="137">
        <v>7</v>
      </c>
      <c r="D279" s="9">
        <v>0</v>
      </c>
      <c r="E279" s="8">
        <v>0</v>
      </c>
      <c r="F279" s="8">
        <v>0</v>
      </c>
      <c r="G279" s="18">
        <v>0</v>
      </c>
      <c r="H279" s="240">
        <v>0</v>
      </c>
      <c r="I279" s="240">
        <v>0</v>
      </c>
      <c r="J279" s="240">
        <v>0</v>
      </c>
      <c r="K279" s="240">
        <v>0</v>
      </c>
      <c r="L279" s="240">
        <v>0</v>
      </c>
      <c r="M279" s="240">
        <v>0</v>
      </c>
      <c r="N279" s="240">
        <v>0</v>
      </c>
    </row>
    <row r="280" spans="1:14" x14ac:dyDescent="0.3">
      <c r="A280" s="135" t="s">
        <v>455</v>
      </c>
      <c r="B280" s="137" t="s">
        <v>422</v>
      </c>
      <c r="C280" s="137">
        <v>8</v>
      </c>
      <c r="D280" s="9">
        <v>0</v>
      </c>
      <c r="E280" s="8">
        <v>0</v>
      </c>
      <c r="F280" s="8">
        <v>0</v>
      </c>
      <c r="G280" s="18">
        <v>0</v>
      </c>
      <c r="H280" s="240">
        <v>0</v>
      </c>
      <c r="I280" s="240">
        <v>0</v>
      </c>
      <c r="J280" s="240">
        <v>0</v>
      </c>
      <c r="K280" s="240">
        <v>0</v>
      </c>
      <c r="L280" s="240">
        <v>0</v>
      </c>
      <c r="M280" s="240">
        <v>0</v>
      </c>
      <c r="N280" s="240">
        <v>0</v>
      </c>
    </row>
    <row r="281" spans="1:14" x14ac:dyDescent="0.3">
      <c r="A281" s="135" t="s">
        <v>455</v>
      </c>
      <c r="B281" s="137" t="s">
        <v>422</v>
      </c>
      <c r="C281" s="137">
        <v>9</v>
      </c>
      <c r="D281" s="9">
        <v>0</v>
      </c>
      <c r="E281" s="8">
        <v>0</v>
      </c>
      <c r="F281" s="8">
        <v>0</v>
      </c>
      <c r="G281" s="18">
        <v>0</v>
      </c>
      <c r="H281" s="240">
        <v>0</v>
      </c>
      <c r="I281" s="240">
        <v>0</v>
      </c>
      <c r="J281" s="240">
        <v>0</v>
      </c>
      <c r="K281" s="240">
        <v>0</v>
      </c>
      <c r="L281" s="240">
        <v>0</v>
      </c>
      <c r="M281" s="240">
        <v>0</v>
      </c>
      <c r="N281" s="240">
        <v>0</v>
      </c>
    </row>
    <row r="282" spans="1:14" x14ac:dyDescent="0.3">
      <c r="A282" s="135" t="s">
        <v>455</v>
      </c>
      <c r="B282" s="137" t="s">
        <v>422</v>
      </c>
      <c r="C282" s="137">
        <v>10</v>
      </c>
      <c r="D282" s="9">
        <v>0</v>
      </c>
      <c r="E282" s="8">
        <v>0</v>
      </c>
      <c r="F282" s="8">
        <v>0</v>
      </c>
      <c r="G282" s="18">
        <v>0</v>
      </c>
      <c r="H282" s="240">
        <v>0</v>
      </c>
      <c r="I282" s="240">
        <v>0</v>
      </c>
      <c r="J282" s="240">
        <v>0</v>
      </c>
      <c r="K282" s="240">
        <v>0</v>
      </c>
      <c r="L282" s="240">
        <v>0</v>
      </c>
      <c r="M282" s="240">
        <v>0</v>
      </c>
      <c r="N282" s="240">
        <v>0</v>
      </c>
    </row>
    <row r="283" spans="1:14" x14ac:dyDescent="0.3">
      <c r="A283" s="135" t="s">
        <v>455</v>
      </c>
      <c r="B283" s="137" t="s">
        <v>422</v>
      </c>
      <c r="C283" s="137">
        <v>11</v>
      </c>
      <c r="D283" s="9">
        <v>0</v>
      </c>
      <c r="E283" s="8">
        <v>0</v>
      </c>
      <c r="F283" s="8">
        <v>0</v>
      </c>
      <c r="G283" s="18">
        <v>0</v>
      </c>
      <c r="H283" s="240">
        <v>0</v>
      </c>
      <c r="I283" s="240">
        <v>0</v>
      </c>
      <c r="J283" s="240">
        <v>0</v>
      </c>
      <c r="K283" s="240">
        <v>0</v>
      </c>
      <c r="L283" s="240">
        <v>0</v>
      </c>
      <c r="M283" s="240">
        <v>0</v>
      </c>
      <c r="N283" s="240">
        <v>0</v>
      </c>
    </row>
    <row r="284" spans="1:14" x14ac:dyDescent="0.3">
      <c r="A284" s="135" t="s">
        <v>455</v>
      </c>
      <c r="B284" s="137" t="s">
        <v>422</v>
      </c>
      <c r="C284" s="137">
        <v>12</v>
      </c>
      <c r="D284" s="9">
        <v>0</v>
      </c>
      <c r="E284" s="8">
        <v>0</v>
      </c>
      <c r="F284" s="8">
        <v>0</v>
      </c>
      <c r="G284" s="18">
        <v>0</v>
      </c>
      <c r="H284" s="240">
        <v>0</v>
      </c>
      <c r="I284" s="240">
        <v>0</v>
      </c>
      <c r="J284" s="240">
        <v>0</v>
      </c>
      <c r="K284" s="240">
        <v>0</v>
      </c>
      <c r="L284" s="240">
        <v>0</v>
      </c>
      <c r="M284" s="240">
        <v>0</v>
      </c>
      <c r="N284" s="240">
        <v>0</v>
      </c>
    </row>
    <row r="285" spans="1:14" x14ac:dyDescent="0.3">
      <c r="A285" s="135" t="s">
        <v>455</v>
      </c>
      <c r="B285" s="137" t="s">
        <v>422</v>
      </c>
      <c r="C285" s="137">
        <v>13</v>
      </c>
      <c r="D285" s="9">
        <v>0</v>
      </c>
      <c r="E285" s="8">
        <v>0</v>
      </c>
      <c r="F285" s="8">
        <v>0</v>
      </c>
      <c r="G285" s="18">
        <v>0</v>
      </c>
      <c r="H285" s="240">
        <v>0</v>
      </c>
      <c r="I285" s="240">
        <v>0</v>
      </c>
      <c r="J285" s="240">
        <v>0</v>
      </c>
      <c r="K285" s="240">
        <v>0</v>
      </c>
      <c r="L285" s="240">
        <v>0</v>
      </c>
      <c r="M285" s="240">
        <v>0</v>
      </c>
      <c r="N285" s="240">
        <v>0</v>
      </c>
    </row>
    <row r="286" spans="1:14" x14ac:dyDescent="0.3">
      <c r="A286" s="135" t="s">
        <v>455</v>
      </c>
      <c r="B286" s="137" t="s">
        <v>422</v>
      </c>
      <c r="C286" s="137">
        <v>14</v>
      </c>
      <c r="D286" s="9">
        <v>0</v>
      </c>
      <c r="E286" s="8">
        <v>0</v>
      </c>
      <c r="F286" s="8">
        <v>0</v>
      </c>
      <c r="G286" s="18">
        <v>0</v>
      </c>
      <c r="H286" s="240">
        <v>0</v>
      </c>
      <c r="I286" s="240">
        <v>0</v>
      </c>
      <c r="J286" s="240">
        <v>0</v>
      </c>
      <c r="K286" s="240">
        <v>0</v>
      </c>
      <c r="L286" s="240">
        <v>0</v>
      </c>
      <c r="M286" s="240">
        <v>0</v>
      </c>
      <c r="N286" s="240">
        <v>0</v>
      </c>
    </row>
    <row r="287" spans="1:14" x14ac:dyDescent="0.3">
      <c r="A287" s="135" t="s">
        <v>455</v>
      </c>
      <c r="B287" s="137" t="s">
        <v>422</v>
      </c>
      <c r="C287" s="137">
        <v>15</v>
      </c>
      <c r="D287" s="9">
        <v>0</v>
      </c>
      <c r="E287" s="8">
        <v>0</v>
      </c>
      <c r="F287" s="8">
        <v>0</v>
      </c>
      <c r="G287" s="18">
        <v>0</v>
      </c>
      <c r="H287" s="240">
        <v>0</v>
      </c>
      <c r="I287" s="240">
        <v>0</v>
      </c>
      <c r="J287" s="240">
        <v>0</v>
      </c>
      <c r="K287" s="240">
        <v>0</v>
      </c>
      <c r="L287" s="240">
        <v>0</v>
      </c>
      <c r="M287" s="240">
        <v>0</v>
      </c>
      <c r="N287" s="240">
        <v>0</v>
      </c>
    </row>
    <row r="288" spans="1:14" x14ac:dyDescent="0.3">
      <c r="A288" s="135" t="s">
        <v>455</v>
      </c>
      <c r="B288" s="137" t="s">
        <v>422</v>
      </c>
      <c r="C288" s="137">
        <v>16</v>
      </c>
      <c r="D288" s="9">
        <v>0</v>
      </c>
      <c r="E288" s="8">
        <v>0</v>
      </c>
      <c r="F288" s="8">
        <v>0</v>
      </c>
      <c r="G288" s="18">
        <v>0</v>
      </c>
      <c r="H288" s="240">
        <v>0</v>
      </c>
      <c r="I288" s="240">
        <v>0</v>
      </c>
      <c r="J288" s="240">
        <v>0</v>
      </c>
      <c r="K288" s="240">
        <v>0</v>
      </c>
      <c r="L288" s="240">
        <v>0</v>
      </c>
      <c r="M288" s="240">
        <v>0</v>
      </c>
      <c r="N288" s="240">
        <v>0</v>
      </c>
    </row>
    <row r="289" spans="1:14" x14ac:dyDescent="0.3">
      <c r="A289" s="135" t="s">
        <v>455</v>
      </c>
      <c r="B289" s="137" t="s">
        <v>422</v>
      </c>
      <c r="C289" s="137">
        <v>17</v>
      </c>
      <c r="D289" s="9">
        <v>0</v>
      </c>
      <c r="E289" s="8">
        <v>0</v>
      </c>
      <c r="F289" s="8">
        <v>0</v>
      </c>
      <c r="G289" s="18">
        <v>0</v>
      </c>
      <c r="H289" s="240">
        <v>0</v>
      </c>
      <c r="I289" s="240">
        <v>0</v>
      </c>
      <c r="J289" s="240">
        <v>0</v>
      </c>
      <c r="K289" s="240">
        <v>0</v>
      </c>
      <c r="L289" s="240">
        <v>0</v>
      </c>
      <c r="M289" s="240">
        <v>0</v>
      </c>
      <c r="N289" s="240">
        <v>0</v>
      </c>
    </row>
    <row r="290" spans="1:14" x14ac:dyDescent="0.3">
      <c r="A290" s="135" t="s">
        <v>455</v>
      </c>
      <c r="B290" s="137" t="s">
        <v>422</v>
      </c>
      <c r="C290" s="137">
        <v>18</v>
      </c>
      <c r="D290" s="9">
        <v>0</v>
      </c>
      <c r="E290" s="8">
        <v>0</v>
      </c>
      <c r="F290" s="8">
        <v>0</v>
      </c>
      <c r="G290" s="18">
        <v>0</v>
      </c>
      <c r="H290" s="240">
        <v>0</v>
      </c>
      <c r="I290" s="240">
        <v>0</v>
      </c>
      <c r="J290" s="240">
        <v>0</v>
      </c>
      <c r="K290" s="240">
        <v>0</v>
      </c>
      <c r="L290" s="240">
        <v>0</v>
      </c>
      <c r="M290" s="240">
        <v>0</v>
      </c>
      <c r="N290" s="240">
        <v>0</v>
      </c>
    </row>
    <row r="291" spans="1:14" x14ac:dyDescent="0.3">
      <c r="A291" s="135" t="s">
        <v>455</v>
      </c>
      <c r="B291" s="137" t="s">
        <v>422</v>
      </c>
      <c r="C291" s="137">
        <v>19</v>
      </c>
      <c r="D291" s="9">
        <v>0</v>
      </c>
      <c r="E291" s="8">
        <v>0</v>
      </c>
      <c r="F291" s="8">
        <v>0</v>
      </c>
      <c r="G291" s="18">
        <v>0</v>
      </c>
      <c r="H291" s="240">
        <v>0</v>
      </c>
      <c r="I291" s="240">
        <v>0</v>
      </c>
      <c r="J291" s="240">
        <v>0</v>
      </c>
      <c r="K291" s="240">
        <v>0</v>
      </c>
      <c r="L291" s="240">
        <v>0</v>
      </c>
      <c r="M291" s="240">
        <v>0</v>
      </c>
      <c r="N291" s="240">
        <v>0</v>
      </c>
    </row>
    <row r="292" spans="1:14" x14ac:dyDescent="0.3">
      <c r="A292" s="135" t="s">
        <v>455</v>
      </c>
      <c r="B292" s="137" t="s">
        <v>422</v>
      </c>
      <c r="C292" s="137">
        <v>20</v>
      </c>
      <c r="D292" s="9">
        <v>0</v>
      </c>
      <c r="E292" s="8">
        <v>0</v>
      </c>
      <c r="F292" s="8">
        <v>0</v>
      </c>
      <c r="G292" s="18">
        <v>0</v>
      </c>
      <c r="H292" s="240">
        <v>0</v>
      </c>
      <c r="I292" s="240">
        <v>0</v>
      </c>
      <c r="J292" s="240">
        <v>0</v>
      </c>
      <c r="K292" s="240">
        <v>0</v>
      </c>
      <c r="L292" s="240">
        <v>0</v>
      </c>
      <c r="M292" s="240">
        <v>0</v>
      </c>
      <c r="N292" s="240">
        <v>0</v>
      </c>
    </row>
    <row r="293" spans="1:14" x14ac:dyDescent="0.3">
      <c r="A293" s="135" t="s">
        <v>455</v>
      </c>
      <c r="B293" s="137" t="s">
        <v>422</v>
      </c>
      <c r="C293" s="137">
        <v>21</v>
      </c>
      <c r="D293" s="9">
        <v>0</v>
      </c>
      <c r="E293" s="8">
        <v>0</v>
      </c>
      <c r="F293" s="8">
        <v>0</v>
      </c>
      <c r="G293" s="18">
        <v>0</v>
      </c>
      <c r="H293" s="240">
        <v>0</v>
      </c>
      <c r="I293" s="240">
        <v>0</v>
      </c>
      <c r="J293" s="240">
        <v>0</v>
      </c>
      <c r="K293" s="240">
        <v>0</v>
      </c>
      <c r="L293" s="240">
        <v>0</v>
      </c>
      <c r="M293" s="240">
        <v>0</v>
      </c>
      <c r="N293" s="240">
        <v>0</v>
      </c>
    </row>
    <row r="294" spans="1:14" x14ac:dyDescent="0.3">
      <c r="A294" s="135" t="s">
        <v>455</v>
      </c>
      <c r="B294" s="137" t="s">
        <v>422</v>
      </c>
      <c r="C294" s="137">
        <v>22</v>
      </c>
      <c r="D294" s="9">
        <v>0</v>
      </c>
      <c r="E294" s="8">
        <v>0</v>
      </c>
      <c r="F294" s="8">
        <v>0</v>
      </c>
      <c r="G294" s="18">
        <v>0</v>
      </c>
      <c r="H294" s="240">
        <v>0</v>
      </c>
      <c r="I294" s="240">
        <v>0</v>
      </c>
      <c r="J294" s="240">
        <v>0</v>
      </c>
      <c r="K294" s="240">
        <v>0</v>
      </c>
      <c r="L294" s="240">
        <v>0</v>
      </c>
      <c r="M294" s="240">
        <v>0</v>
      </c>
      <c r="N294" s="240">
        <v>0</v>
      </c>
    </row>
    <row r="295" spans="1:14" x14ac:dyDescent="0.3">
      <c r="A295" s="135" t="s">
        <v>455</v>
      </c>
      <c r="B295" s="137" t="s">
        <v>422</v>
      </c>
      <c r="C295" s="137">
        <v>23</v>
      </c>
      <c r="D295" s="9">
        <v>0</v>
      </c>
      <c r="E295" s="8">
        <v>0</v>
      </c>
      <c r="F295" s="8">
        <v>0</v>
      </c>
      <c r="G295" s="18">
        <v>0</v>
      </c>
      <c r="H295" s="240">
        <v>0</v>
      </c>
      <c r="I295" s="240">
        <v>0</v>
      </c>
      <c r="J295" s="240">
        <v>0</v>
      </c>
      <c r="K295" s="240">
        <v>0</v>
      </c>
      <c r="L295" s="240">
        <v>0</v>
      </c>
      <c r="M295" s="240">
        <v>0</v>
      </c>
      <c r="N295" s="240">
        <v>0</v>
      </c>
    </row>
    <row r="296" spans="1:14" x14ac:dyDescent="0.3">
      <c r="A296" s="135" t="s">
        <v>455</v>
      </c>
      <c r="B296" s="137" t="s">
        <v>422</v>
      </c>
      <c r="C296" s="137">
        <v>24</v>
      </c>
      <c r="D296" s="9">
        <v>0</v>
      </c>
      <c r="E296" s="8">
        <v>0</v>
      </c>
      <c r="F296" s="8">
        <v>0</v>
      </c>
      <c r="G296" s="18">
        <v>0</v>
      </c>
      <c r="H296" s="240">
        <v>0</v>
      </c>
      <c r="I296" s="240">
        <v>0</v>
      </c>
      <c r="J296" s="240">
        <v>0</v>
      </c>
      <c r="K296" s="240">
        <v>0</v>
      </c>
      <c r="L296" s="240">
        <v>0</v>
      </c>
      <c r="M296" s="240">
        <v>0</v>
      </c>
      <c r="N296" s="240">
        <v>0</v>
      </c>
    </row>
    <row r="297" spans="1:14" x14ac:dyDescent="0.3">
      <c r="A297" s="135" t="s">
        <v>455</v>
      </c>
      <c r="B297" s="137" t="s">
        <v>422</v>
      </c>
      <c r="C297" s="137">
        <v>25</v>
      </c>
      <c r="D297" s="9">
        <v>0</v>
      </c>
      <c r="E297" s="8">
        <v>0</v>
      </c>
      <c r="F297" s="8">
        <v>0</v>
      </c>
      <c r="G297" s="18">
        <v>0</v>
      </c>
      <c r="H297" s="240">
        <v>0</v>
      </c>
      <c r="I297" s="240">
        <v>0</v>
      </c>
      <c r="J297" s="240">
        <v>0</v>
      </c>
      <c r="K297" s="240">
        <v>0</v>
      </c>
      <c r="L297" s="240">
        <v>0</v>
      </c>
      <c r="M297" s="240">
        <v>0</v>
      </c>
      <c r="N297" s="240">
        <v>0</v>
      </c>
    </row>
    <row r="298" spans="1:14" x14ac:dyDescent="0.3">
      <c r="A298" s="135" t="s">
        <v>455</v>
      </c>
      <c r="B298" s="137" t="s">
        <v>422</v>
      </c>
      <c r="C298" s="137">
        <v>26</v>
      </c>
      <c r="D298" s="9">
        <v>0</v>
      </c>
      <c r="E298" s="8">
        <v>0</v>
      </c>
      <c r="F298" s="8">
        <v>0</v>
      </c>
      <c r="G298" s="18">
        <v>0</v>
      </c>
      <c r="H298" s="240">
        <v>0</v>
      </c>
      <c r="I298" s="240">
        <v>0</v>
      </c>
      <c r="J298" s="240">
        <v>0</v>
      </c>
      <c r="K298" s="240">
        <v>0</v>
      </c>
      <c r="L298" s="240">
        <v>0</v>
      </c>
      <c r="M298" s="240">
        <v>0</v>
      </c>
      <c r="N298" s="240">
        <v>0</v>
      </c>
    </row>
    <row r="299" spans="1:14" x14ac:dyDescent="0.3">
      <c r="A299" s="135" t="s">
        <v>455</v>
      </c>
      <c r="B299" s="137" t="s">
        <v>422</v>
      </c>
      <c r="C299" s="137">
        <v>27</v>
      </c>
      <c r="D299" s="9">
        <v>0</v>
      </c>
      <c r="E299" s="8">
        <v>0</v>
      </c>
      <c r="F299" s="8">
        <v>0</v>
      </c>
      <c r="G299" s="18">
        <v>0</v>
      </c>
      <c r="H299" s="240">
        <v>0</v>
      </c>
      <c r="I299" s="240">
        <v>0</v>
      </c>
      <c r="J299" s="240">
        <v>0</v>
      </c>
      <c r="K299" s="240">
        <v>0</v>
      </c>
      <c r="L299" s="240">
        <v>0</v>
      </c>
      <c r="M299" s="240">
        <v>0</v>
      </c>
      <c r="N299" s="240">
        <v>0</v>
      </c>
    </row>
    <row r="300" spans="1:14" x14ac:dyDescent="0.3">
      <c r="A300" s="135" t="s">
        <v>455</v>
      </c>
      <c r="B300" s="137" t="s">
        <v>422</v>
      </c>
      <c r="C300" s="137">
        <v>28</v>
      </c>
      <c r="D300" s="9">
        <v>0</v>
      </c>
      <c r="E300" s="8">
        <v>0</v>
      </c>
      <c r="F300" s="8">
        <v>0</v>
      </c>
      <c r="G300" s="18">
        <v>0</v>
      </c>
      <c r="H300" s="240">
        <v>0</v>
      </c>
      <c r="I300" s="240">
        <v>0</v>
      </c>
      <c r="J300" s="240">
        <v>0</v>
      </c>
      <c r="K300" s="240">
        <v>0</v>
      </c>
      <c r="L300" s="240">
        <v>0</v>
      </c>
      <c r="M300" s="240">
        <v>0</v>
      </c>
      <c r="N300" s="240">
        <v>0</v>
      </c>
    </row>
    <row r="301" spans="1:14" x14ac:dyDescent="0.3">
      <c r="A301" s="135" t="s">
        <v>455</v>
      </c>
      <c r="B301" s="137" t="s">
        <v>422</v>
      </c>
      <c r="C301" s="137">
        <v>29</v>
      </c>
      <c r="D301" s="9">
        <v>0</v>
      </c>
      <c r="E301" s="8">
        <v>0</v>
      </c>
      <c r="F301" s="8">
        <v>0</v>
      </c>
      <c r="G301" s="18">
        <v>0</v>
      </c>
      <c r="H301" s="240">
        <v>0</v>
      </c>
      <c r="I301" s="240">
        <v>0</v>
      </c>
      <c r="J301" s="240">
        <v>0</v>
      </c>
      <c r="K301" s="240">
        <v>0</v>
      </c>
      <c r="L301" s="240">
        <v>0</v>
      </c>
      <c r="M301" s="240">
        <v>0</v>
      </c>
      <c r="N301" s="240">
        <v>0</v>
      </c>
    </row>
    <row r="302" spans="1:14" x14ac:dyDescent="0.3">
      <c r="A302" s="138" t="s">
        <v>455</v>
      </c>
      <c r="B302" s="137" t="s">
        <v>422</v>
      </c>
      <c r="C302" s="137">
        <v>30</v>
      </c>
      <c r="D302" s="9">
        <v>0</v>
      </c>
      <c r="E302" s="8">
        <v>0</v>
      </c>
      <c r="F302" s="8">
        <v>0</v>
      </c>
      <c r="G302" s="18">
        <v>0</v>
      </c>
      <c r="H302" s="240">
        <v>0</v>
      </c>
      <c r="I302" s="240">
        <v>0</v>
      </c>
      <c r="J302" s="240">
        <v>0</v>
      </c>
      <c r="K302" s="240">
        <v>0</v>
      </c>
      <c r="L302" s="240">
        <v>0</v>
      </c>
      <c r="M302" s="240">
        <v>0</v>
      </c>
      <c r="N302" s="240">
        <v>0</v>
      </c>
    </row>
    <row r="303" spans="1:14" x14ac:dyDescent="0.3">
      <c r="A303" s="142" t="s">
        <v>456</v>
      </c>
      <c r="B303" s="143" t="s">
        <v>412</v>
      </c>
      <c r="C303" s="143">
        <v>1</v>
      </c>
      <c r="D303" s="9">
        <v>70.2</v>
      </c>
      <c r="E303" s="8">
        <v>0</v>
      </c>
      <c r="F303" s="8">
        <v>70.875</v>
      </c>
      <c r="G303" s="18">
        <v>4.25</v>
      </c>
      <c r="H303" s="240">
        <v>0</v>
      </c>
      <c r="I303" s="240">
        <v>0</v>
      </c>
      <c r="J303" s="240">
        <v>0</v>
      </c>
      <c r="K303" s="240">
        <v>0</v>
      </c>
      <c r="L303" s="240">
        <v>0</v>
      </c>
      <c r="M303" s="240">
        <v>0</v>
      </c>
      <c r="N303" s="240">
        <v>0</v>
      </c>
    </row>
    <row r="304" spans="1:14" x14ac:dyDescent="0.3">
      <c r="A304" s="135" t="s">
        <v>456</v>
      </c>
      <c r="B304" s="136" t="s">
        <v>412</v>
      </c>
      <c r="C304" s="137">
        <v>2</v>
      </c>
      <c r="D304" s="9">
        <v>70.2</v>
      </c>
      <c r="E304" s="8">
        <v>0</v>
      </c>
      <c r="F304" s="8">
        <v>70.875</v>
      </c>
      <c r="G304" s="18">
        <v>4.125</v>
      </c>
      <c r="H304" s="240">
        <v>0</v>
      </c>
      <c r="I304" s="240">
        <v>0</v>
      </c>
      <c r="J304" s="240">
        <v>0</v>
      </c>
      <c r="K304" s="240">
        <v>0</v>
      </c>
      <c r="L304" s="240">
        <v>0</v>
      </c>
      <c r="M304" s="240">
        <v>0</v>
      </c>
      <c r="N304" s="240">
        <v>0</v>
      </c>
    </row>
    <row r="305" spans="1:14" x14ac:dyDescent="0.3">
      <c r="A305" s="135" t="s">
        <v>456</v>
      </c>
      <c r="B305" s="137" t="s">
        <v>412</v>
      </c>
      <c r="C305" s="137">
        <v>3</v>
      </c>
      <c r="D305" s="9">
        <v>70.2</v>
      </c>
      <c r="E305" s="8">
        <v>0</v>
      </c>
      <c r="F305" s="8">
        <v>70.875</v>
      </c>
      <c r="G305" s="18">
        <v>4.4166670000000003</v>
      </c>
      <c r="H305" s="240">
        <v>0</v>
      </c>
      <c r="I305" s="240">
        <v>0</v>
      </c>
      <c r="J305" s="240">
        <v>0</v>
      </c>
      <c r="K305" s="240">
        <v>0</v>
      </c>
      <c r="L305" s="240">
        <v>0</v>
      </c>
      <c r="M305" s="240">
        <v>0</v>
      </c>
      <c r="N305" s="240">
        <v>0</v>
      </c>
    </row>
    <row r="306" spans="1:14" x14ac:dyDescent="0.3">
      <c r="A306" s="135" t="s">
        <v>456</v>
      </c>
      <c r="B306" s="137" t="s">
        <v>412</v>
      </c>
      <c r="C306" s="137">
        <v>4</v>
      </c>
      <c r="D306" s="9">
        <v>70.2</v>
      </c>
      <c r="E306" s="8">
        <v>0</v>
      </c>
      <c r="F306" s="8">
        <v>70.875</v>
      </c>
      <c r="G306" s="18">
        <v>4.75</v>
      </c>
      <c r="H306" s="240">
        <v>0</v>
      </c>
      <c r="I306" s="240">
        <v>0</v>
      </c>
      <c r="J306" s="240">
        <v>0</v>
      </c>
      <c r="K306" s="240">
        <v>0</v>
      </c>
      <c r="L306" s="240">
        <v>0</v>
      </c>
      <c r="M306" s="240">
        <v>0</v>
      </c>
      <c r="N306" s="240">
        <v>0</v>
      </c>
    </row>
    <row r="307" spans="1:14" x14ac:dyDescent="0.3">
      <c r="A307" s="135" t="s">
        <v>456</v>
      </c>
      <c r="B307" s="137" t="s">
        <v>412</v>
      </c>
      <c r="C307" s="137">
        <v>5</v>
      </c>
      <c r="D307" s="9">
        <v>70.2</v>
      </c>
      <c r="E307" s="8">
        <v>0</v>
      </c>
      <c r="F307" s="8">
        <v>70.875</v>
      </c>
      <c r="G307" s="18">
        <v>5.05</v>
      </c>
      <c r="H307" s="240">
        <v>0</v>
      </c>
      <c r="I307" s="240">
        <v>0</v>
      </c>
      <c r="J307" s="240">
        <v>0</v>
      </c>
      <c r="K307" s="240">
        <v>0</v>
      </c>
      <c r="L307" s="240">
        <v>0</v>
      </c>
      <c r="M307" s="240">
        <v>0</v>
      </c>
      <c r="N307" s="240">
        <v>0</v>
      </c>
    </row>
    <row r="308" spans="1:14" x14ac:dyDescent="0.3">
      <c r="A308" s="135" t="s">
        <v>456</v>
      </c>
      <c r="B308" s="137" t="s">
        <v>412</v>
      </c>
      <c r="C308" s="137">
        <v>6</v>
      </c>
      <c r="D308" s="9">
        <v>70.2</v>
      </c>
      <c r="E308" s="8">
        <v>0</v>
      </c>
      <c r="F308" s="8">
        <v>70.875</v>
      </c>
      <c r="G308" s="18">
        <v>5.3333329999999997</v>
      </c>
      <c r="H308" s="240">
        <v>0</v>
      </c>
      <c r="I308" s="240">
        <v>0</v>
      </c>
      <c r="J308" s="240">
        <v>0</v>
      </c>
      <c r="K308" s="240">
        <v>0</v>
      </c>
      <c r="L308" s="240">
        <v>0</v>
      </c>
      <c r="M308" s="240">
        <v>0</v>
      </c>
      <c r="N308" s="240">
        <v>0</v>
      </c>
    </row>
    <row r="309" spans="1:14" x14ac:dyDescent="0.3">
      <c r="A309" s="135" t="s">
        <v>456</v>
      </c>
      <c r="B309" s="137" t="s">
        <v>412</v>
      </c>
      <c r="C309" s="137">
        <v>7</v>
      </c>
      <c r="D309" s="9">
        <v>70.2</v>
      </c>
      <c r="E309" s="8">
        <v>0</v>
      </c>
      <c r="F309" s="8">
        <v>70.875</v>
      </c>
      <c r="G309" s="18">
        <v>5.6428570000000002</v>
      </c>
      <c r="H309" s="240">
        <v>0</v>
      </c>
      <c r="I309" s="240">
        <v>0</v>
      </c>
      <c r="J309" s="240">
        <v>0</v>
      </c>
      <c r="K309" s="240">
        <v>0</v>
      </c>
      <c r="L309" s="240">
        <v>0</v>
      </c>
      <c r="M309" s="240">
        <v>0</v>
      </c>
      <c r="N309" s="240">
        <v>0</v>
      </c>
    </row>
    <row r="310" spans="1:14" x14ac:dyDescent="0.3">
      <c r="A310" s="135" t="s">
        <v>456</v>
      </c>
      <c r="B310" s="137" t="s">
        <v>412</v>
      </c>
      <c r="C310" s="137">
        <v>8</v>
      </c>
      <c r="D310" s="9">
        <v>70.2</v>
      </c>
      <c r="E310" s="8">
        <v>0</v>
      </c>
      <c r="F310" s="8">
        <v>70.875</v>
      </c>
      <c r="G310" s="18">
        <v>5.90625</v>
      </c>
      <c r="H310" s="240">
        <v>0</v>
      </c>
      <c r="I310" s="240">
        <v>0</v>
      </c>
      <c r="J310" s="240">
        <v>0</v>
      </c>
      <c r="K310" s="240">
        <v>0</v>
      </c>
      <c r="L310" s="240">
        <v>0</v>
      </c>
      <c r="M310" s="240">
        <v>0</v>
      </c>
      <c r="N310" s="240">
        <v>0</v>
      </c>
    </row>
    <row r="311" spans="1:14" x14ac:dyDescent="0.3">
      <c r="A311" s="135" t="s">
        <v>456</v>
      </c>
      <c r="B311" s="137" t="s">
        <v>412</v>
      </c>
      <c r="C311" s="137">
        <v>9</v>
      </c>
      <c r="D311" s="9">
        <v>70.2</v>
      </c>
      <c r="E311" s="8">
        <v>0</v>
      </c>
      <c r="F311" s="8">
        <v>70.875</v>
      </c>
      <c r="G311" s="18">
        <v>6.1666670000000003</v>
      </c>
      <c r="H311" s="240">
        <v>0</v>
      </c>
      <c r="I311" s="240">
        <v>0</v>
      </c>
      <c r="J311" s="240">
        <v>0</v>
      </c>
      <c r="K311" s="240">
        <v>0</v>
      </c>
      <c r="L311" s="240">
        <v>0</v>
      </c>
      <c r="M311" s="240">
        <v>0</v>
      </c>
      <c r="N311" s="240">
        <v>0</v>
      </c>
    </row>
    <row r="312" spans="1:14" x14ac:dyDescent="0.3">
      <c r="A312" s="135" t="s">
        <v>456</v>
      </c>
      <c r="B312" s="137" t="s">
        <v>412</v>
      </c>
      <c r="C312" s="137">
        <v>10</v>
      </c>
      <c r="D312" s="9">
        <v>70.2</v>
      </c>
      <c r="E312" s="8">
        <v>0</v>
      </c>
      <c r="F312" s="8">
        <v>73.237499999999997</v>
      </c>
      <c r="G312" s="18">
        <v>6.5250000000000004</v>
      </c>
      <c r="H312" s="240">
        <v>0</v>
      </c>
      <c r="I312" s="240">
        <v>0</v>
      </c>
      <c r="J312" s="240">
        <v>0</v>
      </c>
      <c r="K312" s="240">
        <v>0</v>
      </c>
      <c r="L312" s="240">
        <v>0</v>
      </c>
      <c r="M312" s="240">
        <v>0</v>
      </c>
      <c r="N312" s="240">
        <v>0</v>
      </c>
    </row>
    <row r="313" spans="1:14" x14ac:dyDescent="0.3">
      <c r="A313" s="135" t="s">
        <v>456</v>
      </c>
      <c r="B313" s="137" t="s">
        <v>412</v>
      </c>
      <c r="C313" s="137">
        <v>11</v>
      </c>
      <c r="D313" s="9">
        <v>70.2</v>
      </c>
      <c r="E313" s="8">
        <v>0</v>
      </c>
      <c r="F313" s="8">
        <v>75.170455000000004</v>
      </c>
      <c r="G313" s="18">
        <v>6.8636359999999996</v>
      </c>
      <c r="H313" s="240">
        <v>0</v>
      </c>
      <c r="I313" s="240">
        <v>0</v>
      </c>
      <c r="J313" s="240">
        <v>0</v>
      </c>
      <c r="K313" s="240">
        <v>0</v>
      </c>
      <c r="L313" s="240">
        <v>0</v>
      </c>
      <c r="M313" s="240">
        <v>0</v>
      </c>
      <c r="N313" s="240">
        <v>0</v>
      </c>
    </row>
    <row r="314" spans="1:14" x14ac:dyDescent="0.3">
      <c r="A314" s="135" t="s">
        <v>456</v>
      </c>
      <c r="B314" s="137" t="s">
        <v>412</v>
      </c>
      <c r="C314" s="137">
        <v>12</v>
      </c>
      <c r="D314" s="9">
        <v>70.2</v>
      </c>
      <c r="E314" s="8">
        <v>0</v>
      </c>
      <c r="F314" s="8">
        <v>76.78125</v>
      </c>
      <c r="G314" s="18">
        <v>7.1666670000000003</v>
      </c>
      <c r="H314" s="240">
        <v>0</v>
      </c>
      <c r="I314" s="240">
        <v>0</v>
      </c>
      <c r="J314" s="240">
        <v>0</v>
      </c>
      <c r="K314" s="240">
        <v>0</v>
      </c>
      <c r="L314" s="240">
        <v>0</v>
      </c>
      <c r="M314" s="240">
        <v>0</v>
      </c>
      <c r="N314" s="240">
        <v>0</v>
      </c>
    </row>
    <row r="315" spans="1:14" x14ac:dyDescent="0.3">
      <c r="A315" s="135" t="s">
        <v>456</v>
      </c>
      <c r="B315" s="137" t="s">
        <v>412</v>
      </c>
      <c r="C315" s="137">
        <v>13</v>
      </c>
      <c r="D315" s="9">
        <v>70.2</v>
      </c>
      <c r="E315" s="8">
        <v>0</v>
      </c>
      <c r="F315" s="8">
        <v>78.144231000000005</v>
      </c>
      <c r="G315" s="18">
        <v>7.461538</v>
      </c>
      <c r="H315" s="240">
        <v>0</v>
      </c>
      <c r="I315" s="240">
        <v>0</v>
      </c>
      <c r="J315" s="240">
        <v>0</v>
      </c>
      <c r="K315" s="240">
        <v>0</v>
      </c>
      <c r="L315" s="240">
        <v>0</v>
      </c>
      <c r="M315" s="240">
        <v>0</v>
      </c>
      <c r="N315" s="240">
        <v>0</v>
      </c>
    </row>
    <row r="316" spans="1:14" x14ac:dyDescent="0.3">
      <c r="A316" s="135" t="s">
        <v>456</v>
      </c>
      <c r="B316" s="137" t="s">
        <v>412</v>
      </c>
      <c r="C316" s="137">
        <v>14</v>
      </c>
      <c r="D316" s="9">
        <v>70.2</v>
      </c>
      <c r="E316" s="8">
        <v>0</v>
      </c>
      <c r="F316" s="8">
        <v>79.3125</v>
      </c>
      <c r="G316" s="18">
        <v>7.7678570000000002</v>
      </c>
      <c r="H316" s="240">
        <v>0</v>
      </c>
      <c r="I316" s="240">
        <v>0</v>
      </c>
      <c r="J316" s="240">
        <v>0</v>
      </c>
      <c r="K316" s="240">
        <v>0</v>
      </c>
      <c r="L316" s="240">
        <v>0</v>
      </c>
      <c r="M316" s="240">
        <v>0</v>
      </c>
      <c r="N316" s="240">
        <v>0</v>
      </c>
    </row>
    <row r="317" spans="1:14" x14ac:dyDescent="0.3">
      <c r="A317" s="135" t="s">
        <v>456</v>
      </c>
      <c r="B317" s="137" t="s">
        <v>412</v>
      </c>
      <c r="C317" s="137">
        <v>15</v>
      </c>
      <c r="D317" s="9">
        <v>70.2</v>
      </c>
      <c r="E317" s="8">
        <v>0</v>
      </c>
      <c r="F317" s="8">
        <v>80.325000000000003</v>
      </c>
      <c r="G317" s="18">
        <v>8.0333330000000007</v>
      </c>
      <c r="H317" s="240">
        <v>0</v>
      </c>
      <c r="I317" s="240">
        <v>0</v>
      </c>
      <c r="J317" s="240">
        <v>0</v>
      </c>
      <c r="K317" s="240">
        <v>0</v>
      </c>
      <c r="L317" s="240">
        <v>0</v>
      </c>
      <c r="M317" s="240">
        <v>0</v>
      </c>
      <c r="N317" s="240">
        <v>0</v>
      </c>
    </row>
    <row r="318" spans="1:14" x14ac:dyDescent="0.3">
      <c r="A318" s="135" t="s">
        <v>456</v>
      </c>
      <c r="B318" s="137" t="s">
        <v>412</v>
      </c>
      <c r="C318" s="137">
        <v>16</v>
      </c>
      <c r="D318" s="9">
        <v>70.2</v>
      </c>
      <c r="E318" s="8">
        <v>0</v>
      </c>
      <c r="F318" s="8">
        <v>81.210937000000001</v>
      </c>
      <c r="G318" s="18">
        <v>8.3125</v>
      </c>
      <c r="H318" s="240">
        <v>0</v>
      </c>
      <c r="I318" s="240">
        <v>0</v>
      </c>
      <c r="J318" s="240">
        <v>0</v>
      </c>
      <c r="K318" s="240">
        <v>0</v>
      </c>
      <c r="L318" s="240">
        <v>0</v>
      </c>
      <c r="M318" s="240">
        <v>0</v>
      </c>
      <c r="N318" s="240">
        <v>0</v>
      </c>
    </row>
    <row r="319" spans="1:14" x14ac:dyDescent="0.3">
      <c r="A319" s="135" t="s">
        <v>456</v>
      </c>
      <c r="B319" s="137" t="s">
        <v>412</v>
      </c>
      <c r="C319" s="137">
        <v>17</v>
      </c>
      <c r="D319" s="9">
        <v>70.2</v>
      </c>
      <c r="E319" s="8">
        <v>0</v>
      </c>
      <c r="F319" s="8">
        <v>81.992647000000005</v>
      </c>
      <c r="G319" s="18">
        <v>8.5735290000000006</v>
      </c>
      <c r="H319" s="240">
        <v>0</v>
      </c>
      <c r="I319" s="240">
        <v>0</v>
      </c>
      <c r="J319" s="240">
        <v>0</v>
      </c>
      <c r="K319" s="240">
        <v>0</v>
      </c>
      <c r="L319" s="240">
        <v>0</v>
      </c>
      <c r="M319" s="240">
        <v>0</v>
      </c>
      <c r="N319" s="240">
        <v>0</v>
      </c>
    </row>
    <row r="320" spans="1:14" x14ac:dyDescent="0.3">
      <c r="A320" s="135" t="s">
        <v>456</v>
      </c>
      <c r="B320" s="137" t="s">
        <v>412</v>
      </c>
      <c r="C320" s="137">
        <v>18</v>
      </c>
      <c r="D320" s="9">
        <v>70.2</v>
      </c>
      <c r="E320" s="8">
        <v>0</v>
      </c>
      <c r="F320" s="8">
        <v>82.6875</v>
      </c>
      <c r="G320" s="18">
        <v>8.8333329999999997</v>
      </c>
      <c r="H320" s="240">
        <v>0</v>
      </c>
      <c r="I320" s="240">
        <v>0</v>
      </c>
      <c r="J320" s="240">
        <v>0</v>
      </c>
      <c r="K320" s="240">
        <v>0</v>
      </c>
      <c r="L320" s="240">
        <v>0</v>
      </c>
      <c r="M320" s="240">
        <v>0</v>
      </c>
      <c r="N320" s="240">
        <v>0</v>
      </c>
    </row>
    <row r="321" spans="1:14" x14ac:dyDescent="0.3">
      <c r="A321" s="135" t="s">
        <v>456</v>
      </c>
      <c r="B321" s="137" t="s">
        <v>412</v>
      </c>
      <c r="C321" s="137">
        <v>19</v>
      </c>
      <c r="D321" s="9">
        <v>70.2</v>
      </c>
      <c r="E321" s="8">
        <v>0</v>
      </c>
      <c r="F321" s="8">
        <v>83.309211000000005</v>
      </c>
      <c r="G321" s="18">
        <v>9.0789469999999994</v>
      </c>
      <c r="H321" s="240">
        <v>0</v>
      </c>
      <c r="I321" s="240">
        <v>0</v>
      </c>
      <c r="J321" s="240">
        <v>0</v>
      </c>
      <c r="K321" s="240">
        <v>0</v>
      </c>
      <c r="L321" s="240">
        <v>0</v>
      </c>
      <c r="M321" s="240">
        <v>0</v>
      </c>
      <c r="N321" s="240">
        <v>0</v>
      </c>
    </row>
    <row r="322" spans="1:14" x14ac:dyDescent="0.3">
      <c r="A322" s="135" t="s">
        <v>456</v>
      </c>
      <c r="B322" s="137" t="s">
        <v>412</v>
      </c>
      <c r="C322" s="137">
        <v>20</v>
      </c>
      <c r="D322" s="9">
        <v>70.2</v>
      </c>
      <c r="E322" s="8">
        <v>0</v>
      </c>
      <c r="F322" s="8">
        <v>83.868750000000006</v>
      </c>
      <c r="G322" s="18">
        <v>9.3125</v>
      </c>
      <c r="H322" s="240">
        <v>0</v>
      </c>
      <c r="I322" s="240">
        <v>0</v>
      </c>
      <c r="J322" s="240">
        <v>0</v>
      </c>
      <c r="K322" s="240">
        <v>0</v>
      </c>
      <c r="L322" s="240">
        <v>0</v>
      </c>
      <c r="M322" s="240">
        <v>0</v>
      </c>
      <c r="N322" s="240">
        <v>0</v>
      </c>
    </row>
    <row r="323" spans="1:14" x14ac:dyDescent="0.3">
      <c r="A323" s="135" t="s">
        <v>456</v>
      </c>
      <c r="B323" s="137" t="s">
        <v>412</v>
      </c>
      <c r="C323" s="137">
        <v>21</v>
      </c>
      <c r="D323" s="9">
        <v>70.2</v>
      </c>
      <c r="E323" s="8">
        <v>0</v>
      </c>
      <c r="F323" s="8">
        <v>85.5</v>
      </c>
      <c r="G323" s="18">
        <v>9.6071430000000007</v>
      </c>
      <c r="H323" s="240">
        <v>0</v>
      </c>
      <c r="I323" s="240">
        <v>0</v>
      </c>
      <c r="J323" s="240">
        <v>0</v>
      </c>
      <c r="K323" s="240">
        <v>0</v>
      </c>
      <c r="L323" s="240">
        <v>0</v>
      </c>
      <c r="M323" s="240">
        <v>0</v>
      </c>
      <c r="N323" s="240">
        <v>0</v>
      </c>
    </row>
    <row r="324" spans="1:14" x14ac:dyDescent="0.3">
      <c r="A324" s="135" t="s">
        <v>456</v>
      </c>
      <c r="B324" s="137" t="s">
        <v>412</v>
      </c>
      <c r="C324" s="137">
        <v>22</v>
      </c>
      <c r="D324" s="9">
        <v>70.2</v>
      </c>
      <c r="E324" s="8">
        <v>0</v>
      </c>
      <c r="F324" s="8">
        <v>86.982955000000004</v>
      </c>
      <c r="G324" s="18">
        <v>9.8977269999999997</v>
      </c>
      <c r="H324" s="240">
        <v>0</v>
      </c>
      <c r="I324" s="240">
        <v>0</v>
      </c>
      <c r="J324" s="240">
        <v>0</v>
      </c>
      <c r="K324" s="240">
        <v>0</v>
      </c>
      <c r="L324" s="240">
        <v>0</v>
      </c>
      <c r="M324" s="240">
        <v>0</v>
      </c>
      <c r="N324" s="240">
        <v>0</v>
      </c>
    </row>
    <row r="325" spans="1:14" x14ac:dyDescent="0.3">
      <c r="A325" s="135" t="s">
        <v>456</v>
      </c>
      <c r="B325" s="137" t="s">
        <v>412</v>
      </c>
      <c r="C325" s="137">
        <v>23</v>
      </c>
      <c r="D325" s="9">
        <v>70.2</v>
      </c>
      <c r="E325" s="8">
        <v>0</v>
      </c>
      <c r="F325" s="8">
        <v>88.336956999999998</v>
      </c>
      <c r="G325" s="18">
        <v>10.184782999999999</v>
      </c>
      <c r="H325" s="240">
        <v>0</v>
      </c>
      <c r="I325" s="240">
        <v>0</v>
      </c>
      <c r="J325" s="240">
        <v>0</v>
      </c>
      <c r="K325" s="240">
        <v>0</v>
      </c>
      <c r="L325" s="240">
        <v>0</v>
      </c>
      <c r="M325" s="240">
        <v>0</v>
      </c>
      <c r="N325" s="240">
        <v>0</v>
      </c>
    </row>
    <row r="326" spans="1:14" x14ac:dyDescent="0.3">
      <c r="A326" s="135" t="s">
        <v>456</v>
      </c>
      <c r="B326" s="137" t="s">
        <v>412</v>
      </c>
      <c r="C326" s="137">
        <v>24</v>
      </c>
      <c r="D326" s="9">
        <v>70.2</v>
      </c>
      <c r="E326" s="8">
        <v>0</v>
      </c>
      <c r="F326" s="8">
        <v>89.578125</v>
      </c>
      <c r="G326" s="18">
        <v>10.458333</v>
      </c>
      <c r="H326" s="240">
        <v>0</v>
      </c>
      <c r="I326" s="240">
        <v>0</v>
      </c>
      <c r="J326" s="240">
        <v>0</v>
      </c>
      <c r="K326" s="240">
        <v>0</v>
      </c>
      <c r="L326" s="240">
        <v>0</v>
      </c>
      <c r="M326" s="240">
        <v>0</v>
      </c>
      <c r="N326" s="240">
        <v>0</v>
      </c>
    </row>
    <row r="327" spans="1:14" x14ac:dyDescent="0.3">
      <c r="A327" s="135" t="s">
        <v>456</v>
      </c>
      <c r="B327" s="137" t="s">
        <v>412</v>
      </c>
      <c r="C327" s="137">
        <v>25</v>
      </c>
      <c r="D327" s="9">
        <v>70.2</v>
      </c>
      <c r="E327" s="8">
        <v>0</v>
      </c>
      <c r="F327" s="8">
        <v>90.72</v>
      </c>
      <c r="G327" s="18">
        <v>10.73</v>
      </c>
      <c r="H327" s="240">
        <v>0</v>
      </c>
      <c r="I327" s="240">
        <v>0</v>
      </c>
      <c r="J327" s="240">
        <v>0</v>
      </c>
      <c r="K327" s="240">
        <v>0</v>
      </c>
      <c r="L327" s="240">
        <v>0</v>
      </c>
      <c r="M327" s="240">
        <v>0</v>
      </c>
      <c r="N327" s="240">
        <v>0</v>
      </c>
    </row>
    <row r="328" spans="1:14" x14ac:dyDescent="0.3">
      <c r="A328" s="135" t="s">
        <v>456</v>
      </c>
      <c r="B328" s="137" t="s">
        <v>412</v>
      </c>
      <c r="C328" s="137">
        <v>26</v>
      </c>
      <c r="D328" s="9">
        <v>70.2</v>
      </c>
      <c r="E328" s="8">
        <v>0</v>
      </c>
      <c r="F328" s="8">
        <v>91.774038000000004</v>
      </c>
      <c r="G328" s="18">
        <v>10.990385</v>
      </c>
      <c r="H328" s="240">
        <v>0</v>
      </c>
      <c r="I328" s="240">
        <v>0</v>
      </c>
      <c r="J328" s="240">
        <v>0</v>
      </c>
      <c r="K328" s="240">
        <v>0</v>
      </c>
      <c r="L328" s="240">
        <v>0</v>
      </c>
      <c r="M328" s="240">
        <v>0</v>
      </c>
      <c r="N328" s="240">
        <v>0</v>
      </c>
    </row>
    <row r="329" spans="1:14" x14ac:dyDescent="0.3">
      <c r="A329" s="135" t="s">
        <v>456</v>
      </c>
      <c r="B329" s="137" t="s">
        <v>412</v>
      </c>
      <c r="C329" s="137">
        <v>27</v>
      </c>
      <c r="D329" s="9">
        <v>70.2</v>
      </c>
      <c r="E329" s="8">
        <v>0</v>
      </c>
      <c r="F329" s="8">
        <v>92.75</v>
      </c>
      <c r="G329" s="18">
        <v>11.240741</v>
      </c>
      <c r="H329" s="240">
        <v>0</v>
      </c>
      <c r="I329" s="240">
        <v>0</v>
      </c>
      <c r="J329" s="240">
        <v>0</v>
      </c>
      <c r="K329" s="240">
        <v>0</v>
      </c>
      <c r="L329" s="240">
        <v>0</v>
      </c>
      <c r="M329" s="240">
        <v>0</v>
      </c>
      <c r="N329" s="240">
        <v>0</v>
      </c>
    </row>
    <row r="330" spans="1:14" x14ac:dyDescent="0.3">
      <c r="A330" s="135" t="s">
        <v>456</v>
      </c>
      <c r="B330" s="137" t="s">
        <v>412</v>
      </c>
      <c r="C330" s="137">
        <v>28</v>
      </c>
      <c r="D330" s="9">
        <v>70.2</v>
      </c>
      <c r="E330" s="8">
        <v>0</v>
      </c>
      <c r="F330" s="8">
        <v>93.65625</v>
      </c>
      <c r="G330" s="18">
        <v>11.491071</v>
      </c>
      <c r="H330" s="240">
        <v>0</v>
      </c>
      <c r="I330" s="240">
        <v>0</v>
      </c>
      <c r="J330" s="240">
        <v>0</v>
      </c>
      <c r="K330" s="240">
        <v>0</v>
      </c>
      <c r="L330" s="240">
        <v>0</v>
      </c>
      <c r="M330" s="240">
        <v>0</v>
      </c>
      <c r="N330" s="240">
        <v>0</v>
      </c>
    </row>
    <row r="331" spans="1:14" x14ac:dyDescent="0.3">
      <c r="A331" s="135" t="s">
        <v>456</v>
      </c>
      <c r="B331" s="137" t="s">
        <v>412</v>
      </c>
      <c r="C331" s="137">
        <v>29</v>
      </c>
      <c r="D331" s="9">
        <v>70.2</v>
      </c>
      <c r="E331" s="8">
        <v>0</v>
      </c>
      <c r="F331" s="8">
        <v>94.5</v>
      </c>
      <c r="G331" s="18">
        <v>11.741379</v>
      </c>
      <c r="H331" s="240">
        <v>0</v>
      </c>
      <c r="I331" s="240">
        <v>0</v>
      </c>
      <c r="J331" s="240">
        <v>0</v>
      </c>
      <c r="K331" s="240">
        <v>0</v>
      </c>
      <c r="L331" s="240">
        <v>0</v>
      </c>
      <c r="M331" s="240">
        <v>0</v>
      </c>
      <c r="N331" s="240">
        <v>0</v>
      </c>
    </row>
    <row r="332" spans="1:14" x14ac:dyDescent="0.3">
      <c r="A332" s="138" t="s">
        <v>456</v>
      </c>
      <c r="B332" s="137" t="s">
        <v>412</v>
      </c>
      <c r="C332" s="137">
        <v>30</v>
      </c>
      <c r="D332" s="9">
        <v>70.2</v>
      </c>
      <c r="E332" s="8">
        <v>0</v>
      </c>
      <c r="F332" s="8">
        <v>95.287499999999994</v>
      </c>
      <c r="G332" s="18">
        <v>11.975</v>
      </c>
      <c r="H332" s="240">
        <v>0</v>
      </c>
      <c r="I332" s="240">
        <v>0</v>
      </c>
      <c r="J332" s="240">
        <v>0</v>
      </c>
      <c r="K332" s="240">
        <v>0</v>
      </c>
      <c r="L332" s="240">
        <v>0</v>
      </c>
      <c r="M332" s="240">
        <v>0</v>
      </c>
      <c r="N332" s="240">
        <v>0</v>
      </c>
    </row>
    <row r="333" spans="1:14" x14ac:dyDescent="0.3">
      <c r="A333" s="142" t="s">
        <v>456</v>
      </c>
      <c r="B333" s="143" t="s">
        <v>413</v>
      </c>
      <c r="C333" s="143">
        <v>1</v>
      </c>
      <c r="D333" s="9">
        <v>70.2</v>
      </c>
      <c r="E333" s="8">
        <v>24.795000000000002</v>
      </c>
      <c r="F333" s="8">
        <v>7.056</v>
      </c>
      <c r="G333" s="18">
        <v>8.5</v>
      </c>
      <c r="H333" s="240">
        <v>0</v>
      </c>
      <c r="I333" s="240">
        <v>0</v>
      </c>
      <c r="J333" s="240">
        <v>0</v>
      </c>
      <c r="K333" s="240">
        <v>0</v>
      </c>
      <c r="L333" s="240">
        <v>0</v>
      </c>
      <c r="M333" s="240">
        <v>0</v>
      </c>
      <c r="N333" s="240">
        <v>0</v>
      </c>
    </row>
    <row r="334" spans="1:14" x14ac:dyDescent="0.3">
      <c r="A334" s="135" t="s">
        <v>456</v>
      </c>
      <c r="B334" s="136" t="s">
        <v>413</v>
      </c>
      <c r="C334" s="137">
        <v>2</v>
      </c>
      <c r="D334" s="9">
        <v>70.2</v>
      </c>
      <c r="E334" s="8">
        <v>24.795000000000002</v>
      </c>
      <c r="F334" s="8">
        <v>7.056</v>
      </c>
      <c r="G334" s="18">
        <v>7.875</v>
      </c>
      <c r="H334" s="240">
        <v>0</v>
      </c>
      <c r="I334" s="240">
        <v>0</v>
      </c>
      <c r="J334" s="240">
        <v>0</v>
      </c>
      <c r="K334" s="240">
        <v>0</v>
      </c>
      <c r="L334" s="240">
        <v>0</v>
      </c>
      <c r="M334" s="240">
        <v>0</v>
      </c>
      <c r="N334" s="240">
        <v>0</v>
      </c>
    </row>
    <row r="335" spans="1:14" x14ac:dyDescent="0.3">
      <c r="A335" s="135" t="s">
        <v>456</v>
      </c>
      <c r="B335" s="137" t="s">
        <v>413</v>
      </c>
      <c r="C335" s="137">
        <v>3</v>
      </c>
      <c r="D335" s="9">
        <v>70.2</v>
      </c>
      <c r="E335" s="8">
        <v>24.795000000000002</v>
      </c>
      <c r="F335" s="8">
        <v>7.056</v>
      </c>
      <c r="G335" s="18">
        <v>8.1666670000000003</v>
      </c>
      <c r="H335" s="240">
        <v>0</v>
      </c>
      <c r="I335" s="240">
        <v>0</v>
      </c>
      <c r="J335" s="240">
        <v>0</v>
      </c>
      <c r="K335" s="240">
        <v>0</v>
      </c>
      <c r="L335" s="240">
        <v>0</v>
      </c>
      <c r="M335" s="240">
        <v>0</v>
      </c>
      <c r="N335" s="240">
        <v>0</v>
      </c>
    </row>
    <row r="336" spans="1:14" x14ac:dyDescent="0.3">
      <c r="A336" s="135" t="s">
        <v>456</v>
      </c>
      <c r="B336" s="137" t="s">
        <v>413</v>
      </c>
      <c r="C336" s="137">
        <v>4</v>
      </c>
      <c r="D336" s="9">
        <v>70.2</v>
      </c>
      <c r="E336" s="8">
        <v>24.795000000000002</v>
      </c>
      <c r="F336" s="8">
        <v>7.056</v>
      </c>
      <c r="G336" s="18">
        <v>8.625</v>
      </c>
      <c r="H336" s="240">
        <v>0</v>
      </c>
      <c r="I336" s="240">
        <v>0</v>
      </c>
      <c r="J336" s="240">
        <v>0</v>
      </c>
      <c r="K336" s="240">
        <v>0</v>
      </c>
      <c r="L336" s="240">
        <v>0</v>
      </c>
      <c r="M336" s="240">
        <v>0</v>
      </c>
      <c r="N336" s="240">
        <v>0</v>
      </c>
    </row>
    <row r="337" spans="1:14" x14ac:dyDescent="0.3">
      <c r="A337" s="135" t="s">
        <v>456</v>
      </c>
      <c r="B337" s="137" t="s">
        <v>413</v>
      </c>
      <c r="C337" s="137">
        <v>5</v>
      </c>
      <c r="D337" s="9">
        <v>70.2</v>
      </c>
      <c r="E337" s="8">
        <v>24.795000000000002</v>
      </c>
      <c r="F337" s="8">
        <v>8.2439999999999998</v>
      </c>
      <c r="G337" s="18">
        <v>9.1999999999999993</v>
      </c>
      <c r="H337" s="240">
        <v>0</v>
      </c>
      <c r="I337" s="240">
        <v>0</v>
      </c>
      <c r="J337" s="240">
        <v>0</v>
      </c>
      <c r="K337" s="240">
        <v>0</v>
      </c>
      <c r="L337" s="240">
        <v>0</v>
      </c>
      <c r="M337" s="240">
        <v>0</v>
      </c>
      <c r="N337" s="240">
        <v>0</v>
      </c>
    </row>
    <row r="338" spans="1:14" x14ac:dyDescent="0.3">
      <c r="A338" s="135" t="s">
        <v>456</v>
      </c>
      <c r="B338" s="137" t="s">
        <v>413</v>
      </c>
      <c r="C338" s="137">
        <v>6</v>
      </c>
      <c r="D338" s="9">
        <v>70.2</v>
      </c>
      <c r="E338" s="8">
        <v>24.795000000000002</v>
      </c>
      <c r="F338" s="8">
        <v>9.0359999999999996</v>
      </c>
      <c r="G338" s="18">
        <v>9.75</v>
      </c>
      <c r="H338" s="240">
        <v>0</v>
      </c>
      <c r="I338" s="240">
        <v>0</v>
      </c>
      <c r="J338" s="240">
        <v>0</v>
      </c>
      <c r="K338" s="240">
        <v>0</v>
      </c>
      <c r="L338" s="240">
        <v>0</v>
      </c>
      <c r="M338" s="240">
        <v>0</v>
      </c>
      <c r="N338" s="240">
        <v>0</v>
      </c>
    </row>
    <row r="339" spans="1:14" x14ac:dyDescent="0.3">
      <c r="A339" s="135" t="s">
        <v>456</v>
      </c>
      <c r="B339" s="137" t="s">
        <v>413</v>
      </c>
      <c r="C339" s="137">
        <v>7</v>
      </c>
      <c r="D339" s="9">
        <v>70.2</v>
      </c>
      <c r="E339" s="8">
        <v>24.795000000000002</v>
      </c>
      <c r="F339" s="8">
        <v>9.6017139999999994</v>
      </c>
      <c r="G339" s="18">
        <v>10.285714</v>
      </c>
      <c r="H339" s="240">
        <v>0</v>
      </c>
      <c r="I339" s="240">
        <v>0</v>
      </c>
      <c r="J339" s="240">
        <v>0</v>
      </c>
      <c r="K339" s="240">
        <v>0</v>
      </c>
      <c r="L339" s="240">
        <v>0</v>
      </c>
      <c r="M339" s="240">
        <v>0</v>
      </c>
      <c r="N339" s="240">
        <v>0</v>
      </c>
    </row>
    <row r="340" spans="1:14" x14ac:dyDescent="0.3">
      <c r="A340" s="135" t="s">
        <v>456</v>
      </c>
      <c r="B340" s="137" t="s">
        <v>413</v>
      </c>
      <c r="C340" s="137">
        <v>8</v>
      </c>
      <c r="D340" s="9">
        <v>70.2</v>
      </c>
      <c r="E340" s="8">
        <v>24.795000000000002</v>
      </c>
      <c r="F340" s="8">
        <v>10.026</v>
      </c>
      <c r="G340" s="18">
        <v>10.78125</v>
      </c>
      <c r="H340" s="240">
        <v>0</v>
      </c>
      <c r="I340" s="240">
        <v>0</v>
      </c>
      <c r="J340" s="240">
        <v>0</v>
      </c>
      <c r="K340" s="240">
        <v>0</v>
      </c>
      <c r="L340" s="240">
        <v>0</v>
      </c>
      <c r="M340" s="240">
        <v>0</v>
      </c>
      <c r="N340" s="240">
        <v>0</v>
      </c>
    </row>
    <row r="341" spans="1:14" x14ac:dyDescent="0.3">
      <c r="A341" s="135" t="s">
        <v>456</v>
      </c>
      <c r="B341" s="137" t="s">
        <v>413</v>
      </c>
      <c r="C341" s="137">
        <v>9</v>
      </c>
      <c r="D341" s="9">
        <v>70.2</v>
      </c>
      <c r="E341" s="8">
        <v>24.795000000000002</v>
      </c>
      <c r="F341" s="8">
        <v>10.356</v>
      </c>
      <c r="G341" s="18">
        <v>11.277778</v>
      </c>
      <c r="H341" s="240">
        <v>0</v>
      </c>
      <c r="I341" s="240">
        <v>0</v>
      </c>
      <c r="J341" s="240">
        <v>0</v>
      </c>
      <c r="K341" s="240">
        <v>0</v>
      </c>
      <c r="L341" s="240">
        <v>0</v>
      </c>
      <c r="M341" s="240">
        <v>0</v>
      </c>
      <c r="N341" s="240">
        <v>0</v>
      </c>
    </row>
    <row r="342" spans="1:14" x14ac:dyDescent="0.3">
      <c r="A342" s="135" t="s">
        <v>456</v>
      </c>
      <c r="B342" s="137" t="s">
        <v>413</v>
      </c>
      <c r="C342" s="137">
        <v>10</v>
      </c>
      <c r="D342" s="9">
        <v>70.2</v>
      </c>
      <c r="E342" s="8">
        <v>24.795000000000002</v>
      </c>
      <c r="F342" s="8">
        <v>11.394</v>
      </c>
      <c r="G342" s="18">
        <v>11.8</v>
      </c>
      <c r="H342" s="240">
        <v>0</v>
      </c>
      <c r="I342" s="240">
        <v>0</v>
      </c>
      <c r="J342" s="240">
        <v>0</v>
      </c>
      <c r="K342" s="240">
        <v>0</v>
      </c>
      <c r="L342" s="240">
        <v>0</v>
      </c>
      <c r="M342" s="240">
        <v>0</v>
      </c>
      <c r="N342" s="240">
        <v>0</v>
      </c>
    </row>
    <row r="343" spans="1:14" x14ac:dyDescent="0.3">
      <c r="A343" s="135" t="s">
        <v>456</v>
      </c>
      <c r="B343" s="137" t="s">
        <v>413</v>
      </c>
      <c r="C343" s="137">
        <v>11</v>
      </c>
      <c r="D343" s="9">
        <v>70.2</v>
      </c>
      <c r="E343" s="8">
        <v>24.795000000000002</v>
      </c>
      <c r="F343" s="8">
        <v>12.243273</v>
      </c>
      <c r="G343" s="18">
        <v>12.318182</v>
      </c>
      <c r="H343" s="240">
        <v>0</v>
      </c>
      <c r="I343" s="240">
        <v>0</v>
      </c>
      <c r="J343" s="240">
        <v>0</v>
      </c>
      <c r="K343" s="240">
        <v>0</v>
      </c>
      <c r="L343" s="240">
        <v>0</v>
      </c>
      <c r="M343" s="240">
        <v>0</v>
      </c>
      <c r="N343" s="240">
        <v>0</v>
      </c>
    </row>
    <row r="344" spans="1:14" x14ac:dyDescent="0.3">
      <c r="A344" s="135" t="s">
        <v>456</v>
      </c>
      <c r="B344" s="137" t="s">
        <v>413</v>
      </c>
      <c r="C344" s="137">
        <v>12</v>
      </c>
      <c r="D344" s="9">
        <v>70.2</v>
      </c>
      <c r="E344" s="8">
        <v>24.795000000000002</v>
      </c>
      <c r="F344" s="8">
        <v>12.951000000000001</v>
      </c>
      <c r="G344" s="18">
        <v>12.791667</v>
      </c>
      <c r="H344" s="240">
        <v>0</v>
      </c>
      <c r="I344" s="240">
        <v>0</v>
      </c>
      <c r="J344" s="240">
        <v>0</v>
      </c>
      <c r="K344" s="240">
        <v>0</v>
      </c>
      <c r="L344" s="240">
        <v>0</v>
      </c>
      <c r="M344" s="240">
        <v>0</v>
      </c>
      <c r="N344" s="240">
        <v>0</v>
      </c>
    </row>
    <row r="345" spans="1:14" x14ac:dyDescent="0.3">
      <c r="A345" s="135" t="s">
        <v>456</v>
      </c>
      <c r="B345" s="137" t="s">
        <v>413</v>
      </c>
      <c r="C345" s="137">
        <v>13</v>
      </c>
      <c r="D345" s="9">
        <v>70.2</v>
      </c>
      <c r="E345" s="8">
        <v>24.795000000000002</v>
      </c>
      <c r="F345" s="8">
        <v>13.549846000000001</v>
      </c>
      <c r="G345" s="18">
        <v>13.269231</v>
      </c>
      <c r="H345" s="240">
        <v>0</v>
      </c>
      <c r="I345" s="240">
        <v>0</v>
      </c>
      <c r="J345" s="240">
        <v>0</v>
      </c>
      <c r="K345" s="240">
        <v>0</v>
      </c>
      <c r="L345" s="240">
        <v>0</v>
      </c>
      <c r="M345" s="240">
        <v>0</v>
      </c>
      <c r="N345" s="240">
        <v>0</v>
      </c>
    </row>
    <row r="346" spans="1:14" x14ac:dyDescent="0.3">
      <c r="A346" s="135" t="s">
        <v>456</v>
      </c>
      <c r="B346" s="137" t="s">
        <v>413</v>
      </c>
      <c r="C346" s="137">
        <v>14</v>
      </c>
      <c r="D346" s="9">
        <v>70.2</v>
      </c>
      <c r="E346" s="8">
        <v>24.795000000000002</v>
      </c>
      <c r="F346" s="8">
        <v>14.063143</v>
      </c>
      <c r="G346" s="18">
        <v>13.732143000000001</v>
      </c>
      <c r="H346" s="240">
        <v>0</v>
      </c>
      <c r="I346" s="240">
        <v>0</v>
      </c>
      <c r="J346" s="240">
        <v>0</v>
      </c>
      <c r="K346" s="240">
        <v>0</v>
      </c>
      <c r="L346" s="240">
        <v>0</v>
      </c>
      <c r="M346" s="240">
        <v>0</v>
      </c>
      <c r="N346" s="240">
        <v>0</v>
      </c>
    </row>
    <row r="347" spans="1:14" x14ac:dyDescent="0.3">
      <c r="A347" s="135" t="s">
        <v>456</v>
      </c>
      <c r="B347" s="137" t="s">
        <v>413</v>
      </c>
      <c r="C347" s="137">
        <v>15</v>
      </c>
      <c r="D347" s="9">
        <v>70.2</v>
      </c>
      <c r="E347" s="8">
        <v>24.795000000000002</v>
      </c>
      <c r="F347" s="8">
        <v>14.507999999999999</v>
      </c>
      <c r="G347" s="18">
        <v>14.166667</v>
      </c>
      <c r="H347" s="240">
        <v>0</v>
      </c>
      <c r="I347" s="240">
        <v>0</v>
      </c>
      <c r="J347" s="240">
        <v>0</v>
      </c>
      <c r="K347" s="240">
        <v>0</v>
      </c>
      <c r="L347" s="240">
        <v>0</v>
      </c>
      <c r="M347" s="240">
        <v>0</v>
      </c>
      <c r="N347" s="240">
        <v>0</v>
      </c>
    </row>
    <row r="348" spans="1:14" x14ac:dyDescent="0.3">
      <c r="A348" s="135" t="s">
        <v>456</v>
      </c>
      <c r="B348" s="137" t="s">
        <v>413</v>
      </c>
      <c r="C348" s="137">
        <v>16</v>
      </c>
      <c r="D348" s="9">
        <v>70.2</v>
      </c>
      <c r="E348" s="8">
        <v>24.795000000000002</v>
      </c>
      <c r="F348" s="8">
        <v>14.89725</v>
      </c>
      <c r="G348" s="18">
        <v>14.59375</v>
      </c>
      <c r="H348" s="240">
        <v>0</v>
      </c>
      <c r="I348" s="240">
        <v>0</v>
      </c>
      <c r="J348" s="240">
        <v>0</v>
      </c>
      <c r="K348" s="240">
        <v>0</v>
      </c>
      <c r="L348" s="240">
        <v>0</v>
      </c>
      <c r="M348" s="240">
        <v>0</v>
      </c>
      <c r="N348" s="240">
        <v>0</v>
      </c>
    </row>
    <row r="349" spans="1:14" x14ac:dyDescent="0.3">
      <c r="A349" s="135" t="s">
        <v>456</v>
      </c>
      <c r="B349" s="137" t="s">
        <v>413</v>
      </c>
      <c r="C349" s="137">
        <v>17</v>
      </c>
      <c r="D349" s="9">
        <v>70.2</v>
      </c>
      <c r="E349" s="8">
        <v>24.795000000000002</v>
      </c>
      <c r="F349" s="8">
        <v>15.801882000000001</v>
      </c>
      <c r="G349" s="18">
        <v>15.073529000000001</v>
      </c>
      <c r="H349" s="240">
        <v>0</v>
      </c>
      <c r="I349" s="240">
        <v>0</v>
      </c>
      <c r="J349" s="240">
        <v>0</v>
      </c>
      <c r="K349" s="240">
        <v>0</v>
      </c>
      <c r="L349" s="240">
        <v>0</v>
      </c>
      <c r="M349" s="240">
        <v>0</v>
      </c>
      <c r="N349" s="240">
        <v>0</v>
      </c>
    </row>
    <row r="350" spans="1:14" x14ac:dyDescent="0.3">
      <c r="A350" s="135" t="s">
        <v>456</v>
      </c>
      <c r="B350" s="137" t="s">
        <v>413</v>
      </c>
      <c r="C350" s="137">
        <v>18</v>
      </c>
      <c r="D350" s="9">
        <v>70.2</v>
      </c>
      <c r="E350" s="8">
        <v>24.795000000000002</v>
      </c>
      <c r="F350" s="8">
        <v>16.606000000000002</v>
      </c>
      <c r="G350" s="18">
        <v>15.527778</v>
      </c>
      <c r="H350" s="240">
        <v>0</v>
      </c>
      <c r="I350" s="240">
        <v>0</v>
      </c>
      <c r="J350" s="240">
        <v>0</v>
      </c>
      <c r="K350" s="240">
        <v>0</v>
      </c>
      <c r="L350" s="240">
        <v>0</v>
      </c>
      <c r="M350" s="240">
        <v>0</v>
      </c>
      <c r="N350" s="240">
        <v>0</v>
      </c>
    </row>
    <row r="351" spans="1:14" x14ac:dyDescent="0.3">
      <c r="A351" s="135" t="s">
        <v>456</v>
      </c>
      <c r="B351" s="137" t="s">
        <v>413</v>
      </c>
      <c r="C351" s="137">
        <v>19</v>
      </c>
      <c r="D351" s="9">
        <v>70.2</v>
      </c>
      <c r="E351" s="8">
        <v>24.795000000000002</v>
      </c>
      <c r="F351" s="8">
        <v>17.325474</v>
      </c>
      <c r="G351" s="18">
        <v>15.986841999999999</v>
      </c>
      <c r="H351" s="240">
        <v>0</v>
      </c>
      <c r="I351" s="240">
        <v>0</v>
      </c>
      <c r="J351" s="240">
        <v>0</v>
      </c>
      <c r="K351" s="240">
        <v>0</v>
      </c>
      <c r="L351" s="240">
        <v>0</v>
      </c>
      <c r="M351" s="240">
        <v>0</v>
      </c>
      <c r="N351" s="240">
        <v>0</v>
      </c>
    </row>
    <row r="352" spans="1:14" x14ac:dyDescent="0.3">
      <c r="A352" s="135" t="s">
        <v>456</v>
      </c>
      <c r="B352" s="137" t="s">
        <v>413</v>
      </c>
      <c r="C352" s="137">
        <v>20</v>
      </c>
      <c r="D352" s="9">
        <v>70.2</v>
      </c>
      <c r="E352" s="8">
        <v>24.795000000000002</v>
      </c>
      <c r="F352" s="8">
        <v>17.972999999999999</v>
      </c>
      <c r="G352" s="18">
        <v>16.412500000000001</v>
      </c>
      <c r="H352" s="240">
        <v>0</v>
      </c>
      <c r="I352" s="240">
        <v>0</v>
      </c>
      <c r="J352" s="240">
        <v>0</v>
      </c>
      <c r="K352" s="240">
        <v>0</v>
      </c>
      <c r="L352" s="240">
        <v>0</v>
      </c>
      <c r="M352" s="240">
        <v>0</v>
      </c>
      <c r="N352" s="240">
        <v>0</v>
      </c>
    </row>
    <row r="353" spans="1:14" x14ac:dyDescent="0.3">
      <c r="A353" s="135" t="s">
        <v>456</v>
      </c>
      <c r="B353" s="137" t="s">
        <v>413</v>
      </c>
      <c r="C353" s="137">
        <v>21</v>
      </c>
      <c r="D353" s="9">
        <v>70.2</v>
      </c>
      <c r="E353" s="8">
        <v>24.795000000000002</v>
      </c>
      <c r="F353" s="8">
        <v>18.558857</v>
      </c>
      <c r="G353" s="18">
        <v>16.845237999999998</v>
      </c>
      <c r="H353" s="240">
        <v>0</v>
      </c>
      <c r="I353" s="240">
        <v>0</v>
      </c>
      <c r="J353" s="240">
        <v>0</v>
      </c>
      <c r="K353" s="240">
        <v>0</v>
      </c>
      <c r="L353" s="240">
        <v>0</v>
      </c>
      <c r="M353" s="240">
        <v>0</v>
      </c>
      <c r="N353" s="240">
        <v>0</v>
      </c>
    </row>
    <row r="354" spans="1:14" x14ac:dyDescent="0.3">
      <c r="A354" s="135" t="s">
        <v>456</v>
      </c>
      <c r="B354" s="137" t="s">
        <v>413</v>
      </c>
      <c r="C354" s="137">
        <v>22</v>
      </c>
      <c r="D354" s="9">
        <v>70.2</v>
      </c>
      <c r="E354" s="8">
        <v>24.795000000000002</v>
      </c>
      <c r="F354" s="8">
        <v>19.091455</v>
      </c>
      <c r="G354" s="18">
        <v>17.25</v>
      </c>
      <c r="H354" s="240">
        <v>0</v>
      </c>
      <c r="I354" s="240">
        <v>0</v>
      </c>
      <c r="J354" s="240">
        <v>0</v>
      </c>
      <c r="K354" s="240">
        <v>0</v>
      </c>
      <c r="L354" s="240">
        <v>0</v>
      </c>
      <c r="M354" s="240">
        <v>0</v>
      </c>
      <c r="N354" s="240">
        <v>0</v>
      </c>
    </row>
    <row r="355" spans="1:14" x14ac:dyDescent="0.3">
      <c r="A355" s="135" t="s">
        <v>456</v>
      </c>
      <c r="B355" s="137" t="s">
        <v>413</v>
      </c>
      <c r="C355" s="137">
        <v>23</v>
      </c>
      <c r="D355" s="9">
        <v>70.2</v>
      </c>
      <c r="E355" s="8">
        <v>24.795000000000002</v>
      </c>
      <c r="F355" s="8">
        <v>19.577739000000001</v>
      </c>
      <c r="G355" s="18">
        <v>17.663042999999998</v>
      </c>
      <c r="H355" s="240">
        <v>0</v>
      </c>
      <c r="I355" s="240">
        <v>0</v>
      </c>
      <c r="J355" s="240">
        <v>0</v>
      </c>
      <c r="K355" s="240">
        <v>0</v>
      </c>
      <c r="L355" s="240">
        <v>0</v>
      </c>
      <c r="M355" s="240">
        <v>0</v>
      </c>
      <c r="N355" s="240">
        <v>0</v>
      </c>
    </row>
    <row r="356" spans="1:14" x14ac:dyDescent="0.3">
      <c r="A356" s="135" t="s">
        <v>456</v>
      </c>
      <c r="B356" s="137" t="s">
        <v>413</v>
      </c>
      <c r="C356" s="137">
        <v>24</v>
      </c>
      <c r="D356" s="9">
        <v>70.2</v>
      </c>
      <c r="E356" s="8">
        <v>24.795000000000002</v>
      </c>
      <c r="F356" s="8">
        <v>20.023499999999999</v>
      </c>
      <c r="G356" s="18">
        <v>18.052083</v>
      </c>
      <c r="H356" s="240">
        <v>0</v>
      </c>
      <c r="I356" s="240">
        <v>0</v>
      </c>
      <c r="J356" s="240">
        <v>0</v>
      </c>
      <c r="K356" s="240">
        <v>0</v>
      </c>
      <c r="L356" s="240">
        <v>0</v>
      </c>
      <c r="M356" s="240">
        <v>0</v>
      </c>
      <c r="N356" s="240">
        <v>0</v>
      </c>
    </row>
    <row r="357" spans="1:14" x14ac:dyDescent="0.3">
      <c r="A357" s="135" t="s">
        <v>456</v>
      </c>
      <c r="B357" s="137" t="s">
        <v>413</v>
      </c>
      <c r="C357" s="137">
        <v>25</v>
      </c>
      <c r="D357" s="9">
        <v>70.2</v>
      </c>
      <c r="E357" s="8">
        <v>24.795000000000002</v>
      </c>
      <c r="F357" s="8">
        <v>20.433599999999998</v>
      </c>
      <c r="G357" s="18">
        <v>18.440000000000001</v>
      </c>
      <c r="H357" s="240">
        <v>0</v>
      </c>
      <c r="I357" s="240">
        <v>0</v>
      </c>
      <c r="J357" s="240">
        <v>0</v>
      </c>
      <c r="K357" s="240">
        <v>0</v>
      </c>
      <c r="L357" s="240">
        <v>0</v>
      </c>
      <c r="M357" s="240">
        <v>0</v>
      </c>
      <c r="N357" s="240">
        <v>0</v>
      </c>
    </row>
    <row r="358" spans="1:14" x14ac:dyDescent="0.3">
      <c r="A358" s="135" t="s">
        <v>456</v>
      </c>
      <c r="B358" s="137" t="s">
        <v>413</v>
      </c>
      <c r="C358" s="137">
        <v>26</v>
      </c>
      <c r="D358" s="9">
        <v>70.2</v>
      </c>
      <c r="E358" s="8">
        <v>24.795000000000002</v>
      </c>
      <c r="F358" s="8">
        <v>21.248308000000002</v>
      </c>
      <c r="G358" s="18">
        <v>18.875</v>
      </c>
      <c r="H358" s="240">
        <v>0</v>
      </c>
      <c r="I358" s="240">
        <v>0</v>
      </c>
      <c r="J358" s="240">
        <v>0</v>
      </c>
      <c r="K358" s="240">
        <v>0</v>
      </c>
      <c r="L358" s="240">
        <v>0</v>
      </c>
      <c r="M358" s="240">
        <v>0</v>
      </c>
      <c r="N358" s="240">
        <v>0</v>
      </c>
    </row>
    <row r="359" spans="1:14" x14ac:dyDescent="0.3">
      <c r="A359" s="135" t="s">
        <v>456</v>
      </c>
      <c r="B359" s="137" t="s">
        <v>413</v>
      </c>
      <c r="C359" s="137">
        <v>27</v>
      </c>
      <c r="D359" s="9">
        <v>70.2</v>
      </c>
      <c r="E359" s="8">
        <v>24.795000000000002</v>
      </c>
      <c r="F359" s="8">
        <v>22.002666999999999</v>
      </c>
      <c r="G359" s="18">
        <v>19.305555999999999</v>
      </c>
      <c r="H359" s="240">
        <v>0</v>
      </c>
      <c r="I359" s="240">
        <v>0</v>
      </c>
      <c r="J359" s="240">
        <v>0</v>
      </c>
      <c r="K359" s="240">
        <v>0</v>
      </c>
      <c r="L359" s="240">
        <v>0</v>
      </c>
      <c r="M359" s="240">
        <v>0</v>
      </c>
      <c r="N359" s="240">
        <v>0</v>
      </c>
    </row>
    <row r="360" spans="1:14" x14ac:dyDescent="0.3">
      <c r="A360" s="135" t="s">
        <v>456</v>
      </c>
      <c r="B360" s="137" t="s">
        <v>413</v>
      </c>
      <c r="C360" s="137">
        <v>28</v>
      </c>
      <c r="D360" s="9">
        <v>70.2</v>
      </c>
      <c r="E360" s="8">
        <v>24.795000000000002</v>
      </c>
      <c r="F360" s="8">
        <v>22.703143000000001</v>
      </c>
      <c r="G360" s="18">
        <v>19.723213999999999</v>
      </c>
      <c r="H360" s="240">
        <v>0</v>
      </c>
      <c r="I360" s="240">
        <v>0</v>
      </c>
      <c r="J360" s="240">
        <v>0</v>
      </c>
      <c r="K360" s="240">
        <v>0</v>
      </c>
      <c r="L360" s="240">
        <v>0</v>
      </c>
      <c r="M360" s="240">
        <v>0</v>
      </c>
      <c r="N360" s="240">
        <v>0</v>
      </c>
    </row>
    <row r="361" spans="1:14" x14ac:dyDescent="0.3">
      <c r="A361" s="135" t="s">
        <v>456</v>
      </c>
      <c r="B361" s="137" t="s">
        <v>413</v>
      </c>
      <c r="C361" s="137">
        <v>29</v>
      </c>
      <c r="D361" s="9">
        <v>70.2</v>
      </c>
      <c r="E361" s="8">
        <v>24.795000000000002</v>
      </c>
      <c r="F361" s="8">
        <v>23.355309999999999</v>
      </c>
      <c r="G361" s="18">
        <v>20.12931</v>
      </c>
      <c r="H361" s="240">
        <v>0</v>
      </c>
      <c r="I361" s="240">
        <v>0</v>
      </c>
      <c r="J361" s="240">
        <v>0</v>
      </c>
      <c r="K361" s="240">
        <v>0</v>
      </c>
      <c r="L361" s="240">
        <v>0</v>
      </c>
      <c r="M361" s="240">
        <v>0</v>
      </c>
      <c r="N361" s="240">
        <v>0</v>
      </c>
    </row>
    <row r="362" spans="1:14" x14ac:dyDescent="0.3">
      <c r="A362" s="138" t="s">
        <v>456</v>
      </c>
      <c r="B362" s="137" t="s">
        <v>413</v>
      </c>
      <c r="C362" s="137">
        <v>30</v>
      </c>
      <c r="D362" s="9">
        <v>70.2</v>
      </c>
      <c r="E362" s="8">
        <v>24.795000000000002</v>
      </c>
      <c r="F362" s="8">
        <v>23.963999999999999</v>
      </c>
      <c r="G362" s="18">
        <v>20.533332999999999</v>
      </c>
      <c r="H362" s="240">
        <v>0</v>
      </c>
      <c r="I362" s="240">
        <v>0</v>
      </c>
      <c r="J362" s="240">
        <v>0</v>
      </c>
      <c r="K362" s="240">
        <v>0</v>
      </c>
      <c r="L362" s="240">
        <v>0</v>
      </c>
      <c r="M362" s="240">
        <v>0</v>
      </c>
      <c r="N362" s="240">
        <v>0</v>
      </c>
    </row>
    <row r="363" spans="1:14" x14ac:dyDescent="0.3">
      <c r="A363" s="142" t="s">
        <v>456</v>
      </c>
      <c r="B363" s="143" t="s">
        <v>414</v>
      </c>
      <c r="C363" s="143">
        <v>1</v>
      </c>
      <c r="D363" s="9">
        <v>22.05</v>
      </c>
      <c r="E363" s="8">
        <v>3.7616399999999999</v>
      </c>
      <c r="F363" s="8">
        <v>0.459756</v>
      </c>
      <c r="G363" s="18">
        <v>7.5</v>
      </c>
      <c r="H363" s="240">
        <v>0</v>
      </c>
      <c r="I363" s="240">
        <v>0</v>
      </c>
      <c r="J363" s="240">
        <v>0</v>
      </c>
      <c r="K363" s="240">
        <v>0</v>
      </c>
      <c r="L363" s="240">
        <v>0</v>
      </c>
      <c r="M363" s="240">
        <v>0</v>
      </c>
      <c r="N363" s="240">
        <v>0</v>
      </c>
    </row>
    <row r="364" spans="1:14" x14ac:dyDescent="0.3">
      <c r="A364" s="135" t="s">
        <v>456</v>
      </c>
      <c r="B364" s="136" t="s">
        <v>414</v>
      </c>
      <c r="C364" s="137">
        <v>2</v>
      </c>
      <c r="D364" s="9">
        <v>22.05</v>
      </c>
      <c r="E364" s="8">
        <v>3.7616399999999999</v>
      </c>
      <c r="F364" s="8">
        <v>0.60430099999999998</v>
      </c>
      <c r="G364" s="18">
        <v>5.875</v>
      </c>
      <c r="H364" s="240">
        <v>0</v>
      </c>
      <c r="I364" s="240">
        <v>0</v>
      </c>
      <c r="J364" s="240">
        <v>0</v>
      </c>
      <c r="K364" s="240">
        <v>0</v>
      </c>
      <c r="L364" s="240">
        <v>0</v>
      </c>
      <c r="M364" s="240">
        <v>0</v>
      </c>
      <c r="N364" s="240">
        <v>0</v>
      </c>
    </row>
    <row r="365" spans="1:14" x14ac:dyDescent="0.3">
      <c r="A365" s="135" t="s">
        <v>456</v>
      </c>
      <c r="B365" s="137" t="s">
        <v>414</v>
      </c>
      <c r="C365" s="137">
        <v>3</v>
      </c>
      <c r="D365" s="9">
        <v>22.05</v>
      </c>
      <c r="E365" s="8">
        <v>3.7616399999999999</v>
      </c>
      <c r="F365" s="8">
        <v>0.70240499999999995</v>
      </c>
      <c r="G365" s="18">
        <v>5.5833329999999997</v>
      </c>
      <c r="H365" s="240">
        <v>0</v>
      </c>
      <c r="I365" s="240">
        <v>0</v>
      </c>
      <c r="J365" s="240">
        <v>0</v>
      </c>
      <c r="K365" s="240">
        <v>0</v>
      </c>
      <c r="L365" s="240">
        <v>0</v>
      </c>
      <c r="M365" s="240">
        <v>0</v>
      </c>
      <c r="N365" s="240">
        <v>0</v>
      </c>
    </row>
    <row r="366" spans="1:14" x14ac:dyDescent="0.3">
      <c r="A366" s="135" t="s">
        <v>456</v>
      </c>
      <c r="B366" s="137" t="s">
        <v>414</v>
      </c>
      <c r="C366" s="137">
        <v>4</v>
      </c>
      <c r="D366" s="9">
        <v>22.05</v>
      </c>
      <c r="E366" s="8">
        <v>3.7616399999999999</v>
      </c>
      <c r="F366" s="8">
        <v>0.82634200000000002</v>
      </c>
      <c r="G366" s="18">
        <v>5.625</v>
      </c>
      <c r="H366" s="240">
        <v>0</v>
      </c>
      <c r="I366" s="240">
        <v>0</v>
      </c>
      <c r="J366" s="240">
        <v>0</v>
      </c>
      <c r="K366" s="240">
        <v>0</v>
      </c>
      <c r="L366" s="240">
        <v>0</v>
      </c>
      <c r="M366" s="240">
        <v>0</v>
      </c>
      <c r="N366" s="240">
        <v>0</v>
      </c>
    </row>
    <row r="367" spans="1:14" x14ac:dyDescent="0.3">
      <c r="A367" s="135" t="s">
        <v>456</v>
      </c>
      <c r="B367" s="137" t="s">
        <v>414</v>
      </c>
      <c r="C367" s="137">
        <v>5</v>
      </c>
      <c r="D367" s="9">
        <v>22.05</v>
      </c>
      <c r="E367" s="8">
        <v>3.7616399999999999</v>
      </c>
      <c r="F367" s="8">
        <v>0.93065799999999999</v>
      </c>
      <c r="G367" s="18">
        <v>5.7</v>
      </c>
      <c r="H367" s="240">
        <v>0</v>
      </c>
      <c r="I367" s="240">
        <v>0</v>
      </c>
      <c r="J367" s="240">
        <v>0</v>
      </c>
      <c r="K367" s="240">
        <v>0</v>
      </c>
      <c r="L367" s="240">
        <v>0</v>
      </c>
      <c r="M367" s="240">
        <v>0</v>
      </c>
      <c r="N367" s="240">
        <v>0</v>
      </c>
    </row>
    <row r="368" spans="1:14" x14ac:dyDescent="0.3">
      <c r="A368" s="135" t="s">
        <v>456</v>
      </c>
      <c r="B368" s="137" t="s">
        <v>414</v>
      </c>
      <c r="C368" s="137">
        <v>6</v>
      </c>
      <c r="D368" s="9">
        <v>22.05</v>
      </c>
      <c r="E368" s="8">
        <v>3.7616399999999999</v>
      </c>
      <c r="F368" s="8">
        <v>1.0541879999999999</v>
      </c>
      <c r="G368" s="18">
        <v>5.8333329999999997</v>
      </c>
      <c r="H368" s="240">
        <v>0</v>
      </c>
      <c r="I368" s="240">
        <v>0</v>
      </c>
      <c r="J368" s="240">
        <v>0</v>
      </c>
      <c r="K368" s="240">
        <v>0</v>
      </c>
      <c r="L368" s="240">
        <v>0</v>
      </c>
      <c r="M368" s="240">
        <v>0</v>
      </c>
      <c r="N368" s="240">
        <v>0</v>
      </c>
    </row>
    <row r="369" spans="1:14" x14ac:dyDescent="0.3">
      <c r="A369" s="135" t="s">
        <v>456</v>
      </c>
      <c r="B369" s="137" t="s">
        <v>414</v>
      </c>
      <c r="C369" s="137">
        <v>7</v>
      </c>
      <c r="D369" s="9">
        <v>22.05</v>
      </c>
      <c r="E369" s="8">
        <v>3.7616399999999999</v>
      </c>
      <c r="F369" s="8">
        <v>1.1424240000000001</v>
      </c>
      <c r="G369" s="18">
        <v>6</v>
      </c>
      <c r="H369" s="240">
        <v>0</v>
      </c>
      <c r="I369" s="240">
        <v>0</v>
      </c>
      <c r="J369" s="240">
        <v>0</v>
      </c>
      <c r="K369" s="240">
        <v>0</v>
      </c>
      <c r="L369" s="240">
        <v>0</v>
      </c>
      <c r="M369" s="240">
        <v>0</v>
      </c>
      <c r="N369" s="240">
        <v>0</v>
      </c>
    </row>
    <row r="370" spans="1:14" x14ac:dyDescent="0.3">
      <c r="A370" s="135" t="s">
        <v>456</v>
      </c>
      <c r="B370" s="137" t="s">
        <v>414</v>
      </c>
      <c r="C370" s="137">
        <v>8</v>
      </c>
      <c r="D370" s="9">
        <v>22.05</v>
      </c>
      <c r="E370" s="8">
        <v>3.7616399999999999</v>
      </c>
      <c r="F370" s="8">
        <v>1.2921929999999999</v>
      </c>
      <c r="G370" s="18">
        <v>6.1875</v>
      </c>
      <c r="H370" s="240">
        <v>0</v>
      </c>
      <c r="I370" s="240">
        <v>0</v>
      </c>
      <c r="J370" s="240">
        <v>0</v>
      </c>
      <c r="K370" s="240">
        <v>0</v>
      </c>
      <c r="L370" s="240">
        <v>0</v>
      </c>
      <c r="M370" s="240">
        <v>0</v>
      </c>
      <c r="N370" s="240">
        <v>0</v>
      </c>
    </row>
    <row r="371" spans="1:14" x14ac:dyDescent="0.3">
      <c r="A371" s="135" t="s">
        <v>456</v>
      </c>
      <c r="B371" s="137" t="s">
        <v>414</v>
      </c>
      <c r="C371" s="137">
        <v>9</v>
      </c>
      <c r="D371" s="9">
        <v>22.05</v>
      </c>
      <c r="E371" s="8">
        <v>3.7616399999999999</v>
      </c>
      <c r="F371" s="8">
        <v>1.4086799999999999</v>
      </c>
      <c r="G371" s="18">
        <v>6.3611110000000002</v>
      </c>
      <c r="H371" s="240">
        <v>0</v>
      </c>
      <c r="I371" s="240">
        <v>0</v>
      </c>
      <c r="J371" s="240">
        <v>0</v>
      </c>
      <c r="K371" s="240">
        <v>0</v>
      </c>
      <c r="L371" s="240">
        <v>0</v>
      </c>
      <c r="M371" s="240">
        <v>0</v>
      </c>
      <c r="N371" s="240">
        <v>0</v>
      </c>
    </row>
    <row r="372" spans="1:14" x14ac:dyDescent="0.3">
      <c r="A372" s="135" t="s">
        <v>456</v>
      </c>
      <c r="B372" s="137" t="s">
        <v>414</v>
      </c>
      <c r="C372" s="137">
        <v>10</v>
      </c>
      <c r="D372" s="9">
        <v>22.05</v>
      </c>
      <c r="E372" s="8">
        <v>3.7616399999999999</v>
      </c>
      <c r="F372" s="8">
        <v>1.50187</v>
      </c>
      <c r="G372" s="18">
        <v>6.55</v>
      </c>
      <c r="H372" s="240">
        <v>0</v>
      </c>
      <c r="I372" s="240">
        <v>0</v>
      </c>
      <c r="J372" s="240">
        <v>0</v>
      </c>
      <c r="K372" s="240">
        <v>0</v>
      </c>
      <c r="L372" s="240">
        <v>0</v>
      </c>
      <c r="M372" s="240">
        <v>0</v>
      </c>
      <c r="N372" s="240">
        <v>0</v>
      </c>
    </row>
    <row r="373" spans="1:14" x14ac:dyDescent="0.3">
      <c r="A373" s="135" t="s">
        <v>456</v>
      </c>
      <c r="B373" s="137" t="s">
        <v>414</v>
      </c>
      <c r="C373" s="137">
        <v>11</v>
      </c>
      <c r="D373" s="9">
        <v>22.05</v>
      </c>
      <c r="E373" s="8">
        <v>3.7616399999999999</v>
      </c>
      <c r="F373" s="8">
        <v>1.5905</v>
      </c>
      <c r="G373" s="18">
        <v>6.7272730000000003</v>
      </c>
      <c r="H373" s="240">
        <v>0</v>
      </c>
      <c r="I373" s="240">
        <v>0</v>
      </c>
      <c r="J373" s="240">
        <v>0</v>
      </c>
      <c r="K373" s="240">
        <v>0</v>
      </c>
      <c r="L373" s="240">
        <v>0</v>
      </c>
      <c r="M373" s="240">
        <v>0</v>
      </c>
      <c r="N373" s="240">
        <v>0</v>
      </c>
    </row>
    <row r="374" spans="1:14" x14ac:dyDescent="0.3">
      <c r="A374" s="135" t="s">
        <v>456</v>
      </c>
      <c r="B374" s="137" t="s">
        <v>414</v>
      </c>
      <c r="C374" s="137">
        <v>12</v>
      </c>
      <c r="D374" s="9">
        <v>22.05</v>
      </c>
      <c r="E374" s="8">
        <v>3.7616399999999999</v>
      </c>
      <c r="F374" s="8">
        <v>1.664358</v>
      </c>
      <c r="G374" s="18">
        <v>6.9166670000000003</v>
      </c>
      <c r="H374" s="240">
        <v>0</v>
      </c>
      <c r="I374" s="240">
        <v>0</v>
      </c>
      <c r="J374" s="240">
        <v>0</v>
      </c>
      <c r="K374" s="240">
        <v>0</v>
      </c>
      <c r="L374" s="240">
        <v>0</v>
      </c>
      <c r="M374" s="240">
        <v>0</v>
      </c>
      <c r="N374" s="240">
        <v>0</v>
      </c>
    </row>
    <row r="375" spans="1:14" x14ac:dyDescent="0.3">
      <c r="A375" s="135" t="s">
        <v>456</v>
      </c>
      <c r="B375" s="137" t="s">
        <v>414</v>
      </c>
      <c r="C375" s="137">
        <v>13</v>
      </c>
      <c r="D375" s="9">
        <v>22.05</v>
      </c>
      <c r="E375" s="8">
        <v>3.7616399999999999</v>
      </c>
      <c r="F375" s="8">
        <v>1.7678160000000001</v>
      </c>
      <c r="G375" s="18">
        <v>7.0961540000000003</v>
      </c>
      <c r="H375" s="240">
        <v>0</v>
      </c>
      <c r="I375" s="240">
        <v>0</v>
      </c>
      <c r="J375" s="240">
        <v>0</v>
      </c>
      <c r="K375" s="240">
        <v>0</v>
      </c>
      <c r="L375" s="240">
        <v>0</v>
      </c>
      <c r="M375" s="240">
        <v>0</v>
      </c>
      <c r="N375" s="240">
        <v>0</v>
      </c>
    </row>
    <row r="376" spans="1:14" x14ac:dyDescent="0.3">
      <c r="A376" s="135" t="s">
        <v>456</v>
      </c>
      <c r="B376" s="137" t="s">
        <v>414</v>
      </c>
      <c r="C376" s="137">
        <v>14</v>
      </c>
      <c r="D376" s="9">
        <v>22.05</v>
      </c>
      <c r="E376" s="8">
        <v>3.7616399999999999</v>
      </c>
      <c r="F376" s="8">
        <v>1.904261</v>
      </c>
      <c r="G376" s="18">
        <v>7.2857139999999996</v>
      </c>
      <c r="H376" s="240">
        <v>0</v>
      </c>
      <c r="I376" s="240">
        <v>0</v>
      </c>
      <c r="J376" s="240">
        <v>0</v>
      </c>
      <c r="K376" s="240">
        <v>0</v>
      </c>
      <c r="L376" s="240">
        <v>0</v>
      </c>
      <c r="M376" s="240">
        <v>0</v>
      </c>
      <c r="N376" s="240">
        <v>0</v>
      </c>
    </row>
    <row r="377" spans="1:14" x14ac:dyDescent="0.3">
      <c r="A377" s="135" t="s">
        <v>456</v>
      </c>
      <c r="B377" s="137" t="s">
        <v>414</v>
      </c>
      <c r="C377" s="137">
        <v>15</v>
      </c>
      <c r="D377" s="9">
        <v>22.05</v>
      </c>
      <c r="E377" s="8">
        <v>3.7616399999999999</v>
      </c>
      <c r="F377" s="8">
        <v>2.0225140000000001</v>
      </c>
      <c r="G377" s="18">
        <v>7.4666670000000002</v>
      </c>
      <c r="H377" s="240">
        <v>0</v>
      </c>
      <c r="I377" s="240">
        <v>0</v>
      </c>
      <c r="J377" s="240">
        <v>0</v>
      </c>
      <c r="K377" s="240">
        <v>0</v>
      </c>
      <c r="L377" s="240">
        <v>0</v>
      </c>
      <c r="M377" s="240">
        <v>0</v>
      </c>
      <c r="N377" s="240">
        <v>0</v>
      </c>
    </row>
    <row r="378" spans="1:14" x14ac:dyDescent="0.3">
      <c r="A378" s="135" t="s">
        <v>456</v>
      </c>
      <c r="B378" s="137" t="s">
        <v>414</v>
      </c>
      <c r="C378" s="137">
        <v>16</v>
      </c>
      <c r="D378" s="9">
        <v>22.05</v>
      </c>
      <c r="E378" s="8">
        <v>3.7616399999999999</v>
      </c>
      <c r="F378" s="8">
        <v>2.1259839999999999</v>
      </c>
      <c r="G378" s="18">
        <v>7.640625</v>
      </c>
      <c r="H378" s="240">
        <v>0</v>
      </c>
      <c r="I378" s="240">
        <v>0</v>
      </c>
      <c r="J378" s="240">
        <v>0</v>
      </c>
      <c r="K378" s="240">
        <v>0</v>
      </c>
      <c r="L378" s="240">
        <v>0</v>
      </c>
      <c r="M378" s="240">
        <v>0</v>
      </c>
      <c r="N378" s="240">
        <v>0</v>
      </c>
    </row>
    <row r="379" spans="1:14" x14ac:dyDescent="0.3">
      <c r="A379" s="135" t="s">
        <v>456</v>
      </c>
      <c r="B379" s="137" t="s">
        <v>414</v>
      </c>
      <c r="C379" s="137">
        <v>17</v>
      </c>
      <c r="D379" s="9">
        <v>22.05</v>
      </c>
      <c r="E379" s="8">
        <v>3.7616399999999999</v>
      </c>
      <c r="F379" s="8">
        <v>2.2285740000000001</v>
      </c>
      <c r="G379" s="18">
        <v>7.8088240000000004</v>
      </c>
      <c r="H379" s="240">
        <v>0</v>
      </c>
      <c r="I379" s="240">
        <v>0</v>
      </c>
      <c r="J379" s="240">
        <v>0</v>
      </c>
      <c r="K379" s="240">
        <v>0</v>
      </c>
      <c r="L379" s="240">
        <v>0</v>
      </c>
      <c r="M379" s="240">
        <v>0</v>
      </c>
      <c r="N379" s="240">
        <v>0</v>
      </c>
    </row>
    <row r="380" spans="1:14" x14ac:dyDescent="0.3">
      <c r="A380" s="135" t="s">
        <v>456</v>
      </c>
      <c r="B380" s="137" t="s">
        <v>414</v>
      </c>
      <c r="C380" s="137">
        <v>18</v>
      </c>
      <c r="D380" s="9">
        <v>22.05</v>
      </c>
      <c r="E380" s="8">
        <v>3.7616399999999999</v>
      </c>
      <c r="F380" s="8">
        <v>2.3197640000000002</v>
      </c>
      <c r="G380" s="18">
        <v>7.9861110000000002</v>
      </c>
      <c r="H380" s="240">
        <v>0</v>
      </c>
      <c r="I380" s="240">
        <v>0</v>
      </c>
      <c r="J380" s="240">
        <v>0</v>
      </c>
      <c r="K380" s="240">
        <v>0</v>
      </c>
      <c r="L380" s="240">
        <v>0</v>
      </c>
      <c r="M380" s="240">
        <v>0</v>
      </c>
      <c r="N380" s="240">
        <v>0</v>
      </c>
    </row>
    <row r="381" spans="1:14" x14ac:dyDescent="0.3">
      <c r="A381" s="135" t="s">
        <v>456</v>
      </c>
      <c r="B381" s="137" t="s">
        <v>414</v>
      </c>
      <c r="C381" s="137">
        <v>19</v>
      </c>
      <c r="D381" s="9">
        <v>22.05</v>
      </c>
      <c r="E381" s="8">
        <v>3.7616399999999999</v>
      </c>
      <c r="F381" s="8">
        <v>2.4013550000000001</v>
      </c>
      <c r="G381" s="18">
        <v>8.1578949999999999</v>
      </c>
      <c r="H381" s="240">
        <v>0</v>
      </c>
      <c r="I381" s="240">
        <v>0</v>
      </c>
      <c r="J381" s="240">
        <v>0</v>
      </c>
      <c r="K381" s="240">
        <v>0</v>
      </c>
      <c r="L381" s="240">
        <v>0</v>
      </c>
      <c r="M381" s="240">
        <v>0</v>
      </c>
      <c r="N381" s="240">
        <v>0</v>
      </c>
    </row>
    <row r="382" spans="1:14" x14ac:dyDescent="0.3">
      <c r="A382" s="135" t="s">
        <v>456</v>
      </c>
      <c r="B382" s="137" t="s">
        <v>414</v>
      </c>
      <c r="C382" s="137">
        <v>20</v>
      </c>
      <c r="D382" s="9">
        <v>22.05</v>
      </c>
      <c r="E382" s="8">
        <v>3.7616399999999999</v>
      </c>
      <c r="F382" s="8">
        <v>2.5320640000000001</v>
      </c>
      <c r="G382" s="18">
        <v>8.3249999999999993</v>
      </c>
      <c r="H382" s="240">
        <v>0</v>
      </c>
      <c r="I382" s="240">
        <v>0</v>
      </c>
      <c r="J382" s="240">
        <v>0</v>
      </c>
      <c r="K382" s="240">
        <v>0</v>
      </c>
      <c r="L382" s="240">
        <v>0</v>
      </c>
      <c r="M382" s="240">
        <v>0</v>
      </c>
      <c r="N382" s="240">
        <v>0</v>
      </c>
    </row>
    <row r="383" spans="1:14" x14ac:dyDescent="0.3">
      <c r="A383" s="135" t="s">
        <v>456</v>
      </c>
      <c r="B383" s="137" t="s">
        <v>414</v>
      </c>
      <c r="C383" s="137">
        <v>21</v>
      </c>
      <c r="D383" s="9">
        <v>22.05</v>
      </c>
      <c r="E383" s="8">
        <v>3.7616399999999999</v>
      </c>
      <c r="F383" s="8">
        <v>2.6503230000000002</v>
      </c>
      <c r="G383" s="18">
        <v>8.4880949999999995</v>
      </c>
      <c r="H383" s="240">
        <v>0</v>
      </c>
      <c r="I383" s="240">
        <v>0</v>
      </c>
      <c r="J383" s="240">
        <v>0</v>
      </c>
      <c r="K383" s="240">
        <v>0</v>
      </c>
      <c r="L383" s="240">
        <v>0</v>
      </c>
      <c r="M383" s="240">
        <v>0</v>
      </c>
      <c r="N383" s="240">
        <v>0</v>
      </c>
    </row>
    <row r="384" spans="1:14" x14ac:dyDescent="0.3">
      <c r="A384" s="135" t="s">
        <v>456</v>
      </c>
      <c r="B384" s="137" t="s">
        <v>414</v>
      </c>
      <c r="C384" s="137">
        <v>22</v>
      </c>
      <c r="D384" s="9">
        <v>22.05</v>
      </c>
      <c r="E384" s="8">
        <v>3.7616399999999999</v>
      </c>
      <c r="F384" s="8">
        <v>2.7578320000000001</v>
      </c>
      <c r="G384" s="18">
        <v>8.6590910000000001</v>
      </c>
      <c r="H384" s="240">
        <v>0</v>
      </c>
      <c r="I384" s="240">
        <v>0</v>
      </c>
      <c r="J384" s="240">
        <v>0</v>
      </c>
      <c r="K384" s="240">
        <v>0</v>
      </c>
      <c r="L384" s="240">
        <v>0</v>
      </c>
      <c r="M384" s="240">
        <v>0</v>
      </c>
      <c r="N384" s="240">
        <v>0</v>
      </c>
    </row>
    <row r="385" spans="1:14" x14ac:dyDescent="0.3">
      <c r="A385" s="135" t="s">
        <v>456</v>
      </c>
      <c r="B385" s="137" t="s">
        <v>414</v>
      </c>
      <c r="C385" s="137">
        <v>23</v>
      </c>
      <c r="D385" s="9">
        <v>22.05</v>
      </c>
      <c r="E385" s="8">
        <v>3.7616399999999999</v>
      </c>
      <c r="F385" s="8">
        <v>2.8802219999999998</v>
      </c>
      <c r="G385" s="18">
        <v>8.8152170000000005</v>
      </c>
      <c r="H385" s="240">
        <v>0</v>
      </c>
      <c r="I385" s="240">
        <v>0</v>
      </c>
      <c r="J385" s="240">
        <v>0</v>
      </c>
      <c r="K385" s="240">
        <v>0</v>
      </c>
      <c r="L385" s="240">
        <v>0</v>
      </c>
      <c r="M385" s="240">
        <v>0</v>
      </c>
      <c r="N385" s="240">
        <v>0</v>
      </c>
    </row>
    <row r="386" spans="1:14" x14ac:dyDescent="0.3">
      <c r="A386" s="135" t="s">
        <v>456</v>
      </c>
      <c r="B386" s="137" t="s">
        <v>414</v>
      </c>
      <c r="C386" s="137">
        <v>24</v>
      </c>
      <c r="D386" s="9">
        <v>22.05</v>
      </c>
      <c r="E386" s="8">
        <v>3.7616399999999999</v>
      </c>
      <c r="F386" s="8">
        <v>2.992413</v>
      </c>
      <c r="G386" s="18">
        <v>8.9791670000000003</v>
      </c>
      <c r="H386" s="240">
        <v>0</v>
      </c>
      <c r="I386" s="240">
        <v>0</v>
      </c>
      <c r="J386" s="240">
        <v>0</v>
      </c>
      <c r="K386" s="240">
        <v>0</v>
      </c>
      <c r="L386" s="240">
        <v>0</v>
      </c>
      <c r="M386" s="240">
        <v>0</v>
      </c>
      <c r="N386" s="240">
        <v>0</v>
      </c>
    </row>
    <row r="387" spans="1:14" x14ac:dyDescent="0.3">
      <c r="A387" s="135" t="s">
        <v>456</v>
      </c>
      <c r="B387" s="137" t="s">
        <v>414</v>
      </c>
      <c r="C387" s="137">
        <v>25</v>
      </c>
      <c r="D387" s="9">
        <v>22.05</v>
      </c>
      <c r="E387" s="8">
        <v>3.7616399999999999</v>
      </c>
      <c r="F387" s="8">
        <v>3.095628</v>
      </c>
      <c r="G387" s="18">
        <v>9.14</v>
      </c>
      <c r="H387" s="240">
        <v>0</v>
      </c>
      <c r="I387" s="240">
        <v>0</v>
      </c>
      <c r="J387" s="240">
        <v>0</v>
      </c>
      <c r="K387" s="240">
        <v>0</v>
      </c>
      <c r="L387" s="240">
        <v>0</v>
      </c>
      <c r="M387" s="240">
        <v>0</v>
      </c>
      <c r="N387" s="240">
        <v>0</v>
      </c>
    </row>
    <row r="388" spans="1:14" x14ac:dyDescent="0.3">
      <c r="A388" s="135" t="s">
        <v>456</v>
      </c>
      <c r="B388" s="137" t="s">
        <v>414</v>
      </c>
      <c r="C388" s="137">
        <v>26</v>
      </c>
      <c r="D388" s="9">
        <v>22.05</v>
      </c>
      <c r="E388" s="8">
        <v>3.7616399999999999</v>
      </c>
      <c r="F388" s="8">
        <v>3.1909040000000002</v>
      </c>
      <c r="G388" s="18">
        <v>9.2884620000000009</v>
      </c>
      <c r="H388" s="240">
        <v>0</v>
      </c>
      <c r="I388" s="240">
        <v>0</v>
      </c>
      <c r="J388" s="240">
        <v>0</v>
      </c>
      <c r="K388" s="240">
        <v>0</v>
      </c>
      <c r="L388" s="240">
        <v>0</v>
      </c>
      <c r="M388" s="240">
        <v>0</v>
      </c>
      <c r="N388" s="240">
        <v>0</v>
      </c>
    </row>
    <row r="389" spans="1:14" x14ac:dyDescent="0.3">
      <c r="A389" s="135" t="s">
        <v>456</v>
      </c>
      <c r="B389" s="137" t="s">
        <v>414</v>
      </c>
      <c r="C389" s="137">
        <v>27</v>
      </c>
      <c r="D389" s="9">
        <v>22.05</v>
      </c>
      <c r="E389" s="8">
        <v>3.7616399999999999</v>
      </c>
      <c r="F389" s="8">
        <v>3.2791229999999998</v>
      </c>
      <c r="G389" s="18">
        <v>9.4444440000000007</v>
      </c>
      <c r="H389" s="240">
        <v>0</v>
      </c>
      <c r="I389" s="240">
        <v>0</v>
      </c>
      <c r="J389" s="240">
        <v>0</v>
      </c>
      <c r="K389" s="240">
        <v>0</v>
      </c>
      <c r="L389" s="240">
        <v>0</v>
      </c>
      <c r="M389" s="240">
        <v>0</v>
      </c>
      <c r="N389" s="240">
        <v>0</v>
      </c>
    </row>
    <row r="390" spans="1:14" x14ac:dyDescent="0.3">
      <c r="A390" s="135" t="s">
        <v>456</v>
      </c>
      <c r="B390" s="137" t="s">
        <v>414</v>
      </c>
      <c r="C390" s="137">
        <v>28</v>
      </c>
      <c r="D390" s="9">
        <v>22.05</v>
      </c>
      <c r="E390" s="8">
        <v>3.7616399999999999</v>
      </c>
      <c r="F390" s="8">
        <v>3.36104</v>
      </c>
      <c r="G390" s="18">
        <v>9.5982140000000005</v>
      </c>
      <c r="H390" s="240">
        <v>0</v>
      </c>
      <c r="I390" s="240">
        <v>0</v>
      </c>
      <c r="J390" s="240">
        <v>0</v>
      </c>
      <c r="K390" s="240">
        <v>0</v>
      </c>
      <c r="L390" s="240">
        <v>0</v>
      </c>
      <c r="M390" s="240">
        <v>0</v>
      </c>
      <c r="N390" s="240">
        <v>0</v>
      </c>
    </row>
    <row r="391" spans="1:14" x14ac:dyDescent="0.3">
      <c r="A391" s="135" t="s">
        <v>456</v>
      </c>
      <c r="B391" s="137" t="s">
        <v>414</v>
      </c>
      <c r="C391" s="137">
        <v>29</v>
      </c>
      <c r="D391" s="9">
        <v>22.05</v>
      </c>
      <c r="E391" s="8">
        <v>3.7616399999999999</v>
      </c>
      <c r="F391" s="8">
        <v>3.4988000000000001</v>
      </c>
      <c r="G391" s="18">
        <v>9.75</v>
      </c>
      <c r="H391" s="240">
        <v>0</v>
      </c>
      <c r="I391" s="240">
        <v>0</v>
      </c>
      <c r="J391" s="240">
        <v>0</v>
      </c>
      <c r="K391" s="240">
        <v>0</v>
      </c>
      <c r="L391" s="240">
        <v>0</v>
      </c>
      <c r="M391" s="240">
        <v>0</v>
      </c>
      <c r="N391" s="240">
        <v>0</v>
      </c>
    </row>
    <row r="392" spans="1:14" x14ac:dyDescent="0.3">
      <c r="A392" s="138" t="s">
        <v>456</v>
      </c>
      <c r="B392" s="137" t="s">
        <v>414</v>
      </c>
      <c r="C392" s="137">
        <v>30</v>
      </c>
      <c r="D392" s="9">
        <v>22.05</v>
      </c>
      <c r="E392" s="8">
        <v>3.7616399999999999</v>
      </c>
      <c r="F392" s="8">
        <v>3.6273770000000001</v>
      </c>
      <c r="G392" s="18">
        <v>9.9</v>
      </c>
      <c r="H392" s="240">
        <v>0</v>
      </c>
      <c r="I392" s="240">
        <v>0</v>
      </c>
      <c r="J392" s="240">
        <v>0</v>
      </c>
      <c r="K392" s="240">
        <v>0</v>
      </c>
      <c r="L392" s="240">
        <v>0</v>
      </c>
      <c r="M392" s="240">
        <v>0</v>
      </c>
      <c r="N392" s="240">
        <v>0</v>
      </c>
    </row>
    <row r="393" spans="1:14" x14ac:dyDescent="0.3">
      <c r="A393" s="142" t="s">
        <v>456</v>
      </c>
      <c r="B393" s="143" t="s">
        <v>415</v>
      </c>
      <c r="C393" s="143">
        <v>1</v>
      </c>
      <c r="D393" s="9">
        <v>22.05</v>
      </c>
      <c r="E393" s="8">
        <v>0</v>
      </c>
      <c r="F393" s="8">
        <v>4.7628000000000004</v>
      </c>
      <c r="G393" s="18">
        <v>3.25</v>
      </c>
      <c r="H393" s="240">
        <v>0</v>
      </c>
      <c r="I393" s="240">
        <v>0</v>
      </c>
      <c r="J393" s="240">
        <v>0</v>
      </c>
      <c r="K393" s="240">
        <v>0</v>
      </c>
      <c r="L393" s="240">
        <v>0</v>
      </c>
      <c r="M393" s="240">
        <v>0</v>
      </c>
      <c r="N393" s="240">
        <v>0</v>
      </c>
    </row>
    <row r="394" spans="1:14" x14ac:dyDescent="0.3">
      <c r="A394" s="135" t="s">
        <v>456</v>
      </c>
      <c r="B394" s="136" t="s">
        <v>415</v>
      </c>
      <c r="C394" s="137">
        <v>2</v>
      </c>
      <c r="D394" s="9">
        <v>22.05</v>
      </c>
      <c r="E394" s="8">
        <v>0</v>
      </c>
      <c r="F394" s="8">
        <v>5.5566000000000004</v>
      </c>
      <c r="G394" s="18">
        <v>2.625</v>
      </c>
      <c r="H394" s="240">
        <v>0</v>
      </c>
      <c r="I394" s="240">
        <v>0</v>
      </c>
      <c r="J394" s="240">
        <v>0</v>
      </c>
      <c r="K394" s="240">
        <v>0</v>
      </c>
      <c r="L394" s="240">
        <v>0</v>
      </c>
      <c r="M394" s="240">
        <v>0</v>
      </c>
      <c r="N394" s="240">
        <v>0</v>
      </c>
    </row>
    <row r="395" spans="1:14" x14ac:dyDescent="0.3">
      <c r="A395" s="135" t="s">
        <v>456</v>
      </c>
      <c r="B395" s="137" t="s">
        <v>415</v>
      </c>
      <c r="C395" s="137">
        <v>3</v>
      </c>
      <c r="D395" s="9">
        <v>22.05</v>
      </c>
      <c r="E395" s="8">
        <v>0</v>
      </c>
      <c r="F395" s="8">
        <v>6.0857999999999999</v>
      </c>
      <c r="G395" s="18">
        <v>2.5</v>
      </c>
      <c r="H395" s="240">
        <v>0</v>
      </c>
      <c r="I395" s="240">
        <v>0</v>
      </c>
      <c r="J395" s="240">
        <v>0</v>
      </c>
      <c r="K395" s="240">
        <v>0</v>
      </c>
      <c r="L395" s="240">
        <v>0</v>
      </c>
      <c r="M395" s="240">
        <v>0</v>
      </c>
      <c r="N395" s="240">
        <v>0</v>
      </c>
    </row>
    <row r="396" spans="1:14" x14ac:dyDescent="0.3">
      <c r="A396" s="135" t="s">
        <v>456</v>
      </c>
      <c r="B396" s="137" t="s">
        <v>415</v>
      </c>
      <c r="C396" s="137">
        <v>4</v>
      </c>
      <c r="D396" s="9">
        <v>22.05</v>
      </c>
      <c r="E396" s="8">
        <v>0</v>
      </c>
      <c r="F396" s="8">
        <v>6.3503999999999996</v>
      </c>
      <c r="G396" s="18">
        <v>2.5</v>
      </c>
      <c r="H396" s="240">
        <v>0</v>
      </c>
      <c r="I396" s="240">
        <v>0</v>
      </c>
      <c r="J396" s="240">
        <v>0</v>
      </c>
      <c r="K396" s="240">
        <v>0</v>
      </c>
      <c r="L396" s="240">
        <v>0</v>
      </c>
      <c r="M396" s="240">
        <v>0</v>
      </c>
      <c r="N396" s="240">
        <v>0</v>
      </c>
    </row>
    <row r="397" spans="1:14" x14ac:dyDescent="0.3">
      <c r="A397" s="135" t="s">
        <v>456</v>
      </c>
      <c r="B397" s="137" t="s">
        <v>415</v>
      </c>
      <c r="C397" s="137">
        <v>5</v>
      </c>
      <c r="D397" s="9">
        <v>22.05</v>
      </c>
      <c r="E397" s="8">
        <v>0</v>
      </c>
      <c r="F397" s="8">
        <v>6.6679199999999996</v>
      </c>
      <c r="G397" s="18">
        <v>2.5499999999999998</v>
      </c>
      <c r="H397" s="240">
        <v>0</v>
      </c>
      <c r="I397" s="240">
        <v>0</v>
      </c>
      <c r="J397" s="240">
        <v>0</v>
      </c>
      <c r="K397" s="240">
        <v>0</v>
      </c>
      <c r="L397" s="240">
        <v>0</v>
      </c>
      <c r="M397" s="240">
        <v>0</v>
      </c>
      <c r="N397" s="240">
        <v>0</v>
      </c>
    </row>
    <row r="398" spans="1:14" x14ac:dyDescent="0.3">
      <c r="A398" s="135" t="s">
        <v>456</v>
      </c>
      <c r="B398" s="137" t="s">
        <v>415</v>
      </c>
      <c r="C398" s="137">
        <v>6</v>
      </c>
      <c r="D398" s="9">
        <v>22.05</v>
      </c>
      <c r="E398" s="8">
        <v>0</v>
      </c>
      <c r="F398" s="8">
        <v>7.0118999999999998</v>
      </c>
      <c r="G398" s="18">
        <v>2.5833330000000001</v>
      </c>
      <c r="H398" s="240">
        <v>0</v>
      </c>
      <c r="I398" s="240">
        <v>0</v>
      </c>
      <c r="J398" s="240">
        <v>0</v>
      </c>
      <c r="K398" s="240">
        <v>0</v>
      </c>
      <c r="L398" s="240">
        <v>0</v>
      </c>
      <c r="M398" s="240">
        <v>0</v>
      </c>
      <c r="N398" s="240">
        <v>0</v>
      </c>
    </row>
    <row r="399" spans="1:14" x14ac:dyDescent="0.3">
      <c r="A399" s="135" t="s">
        <v>456</v>
      </c>
      <c r="B399" s="137" t="s">
        <v>415</v>
      </c>
      <c r="C399" s="137">
        <v>7</v>
      </c>
      <c r="D399" s="9">
        <v>22.05</v>
      </c>
      <c r="E399" s="8">
        <v>0</v>
      </c>
      <c r="F399" s="8">
        <v>7.2576000000000001</v>
      </c>
      <c r="G399" s="18">
        <v>2.6785709999999998</v>
      </c>
      <c r="H399" s="240">
        <v>0</v>
      </c>
      <c r="I399" s="240">
        <v>0</v>
      </c>
      <c r="J399" s="240">
        <v>0</v>
      </c>
      <c r="K399" s="240">
        <v>0</v>
      </c>
      <c r="L399" s="240">
        <v>0</v>
      </c>
      <c r="M399" s="240">
        <v>0</v>
      </c>
      <c r="N399" s="240">
        <v>0</v>
      </c>
    </row>
    <row r="400" spans="1:14" x14ac:dyDescent="0.3">
      <c r="A400" s="135" t="s">
        <v>456</v>
      </c>
      <c r="B400" s="137" t="s">
        <v>415</v>
      </c>
      <c r="C400" s="137">
        <v>8</v>
      </c>
      <c r="D400" s="9">
        <v>22.05</v>
      </c>
      <c r="E400" s="8">
        <v>0</v>
      </c>
      <c r="F400" s="8">
        <v>7.5411000000000001</v>
      </c>
      <c r="G400" s="18">
        <v>2.75</v>
      </c>
      <c r="H400" s="240">
        <v>0</v>
      </c>
      <c r="I400" s="240">
        <v>0</v>
      </c>
      <c r="J400" s="240">
        <v>0</v>
      </c>
      <c r="K400" s="240">
        <v>0</v>
      </c>
      <c r="L400" s="240">
        <v>0</v>
      </c>
      <c r="M400" s="240">
        <v>0</v>
      </c>
      <c r="N400" s="240">
        <v>0</v>
      </c>
    </row>
    <row r="401" spans="1:14" x14ac:dyDescent="0.3">
      <c r="A401" s="135" t="s">
        <v>456</v>
      </c>
      <c r="B401" s="137" t="s">
        <v>415</v>
      </c>
      <c r="C401" s="137">
        <v>9</v>
      </c>
      <c r="D401" s="9">
        <v>22.05</v>
      </c>
      <c r="E401" s="8">
        <v>0</v>
      </c>
      <c r="F401" s="8">
        <v>7.7615999999999996</v>
      </c>
      <c r="G401" s="18">
        <v>2.8611110000000002</v>
      </c>
      <c r="H401" s="240">
        <v>0</v>
      </c>
      <c r="I401" s="240">
        <v>0</v>
      </c>
      <c r="J401" s="240">
        <v>0</v>
      </c>
      <c r="K401" s="240">
        <v>0</v>
      </c>
      <c r="L401" s="240">
        <v>0</v>
      </c>
      <c r="M401" s="240">
        <v>0</v>
      </c>
      <c r="N401" s="240">
        <v>0</v>
      </c>
    </row>
    <row r="402" spans="1:14" x14ac:dyDescent="0.3">
      <c r="A402" s="135" t="s">
        <v>456</v>
      </c>
      <c r="B402" s="137" t="s">
        <v>415</v>
      </c>
      <c r="C402" s="137">
        <v>10</v>
      </c>
      <c r="D402" s="9">
        <v>22.05</v>
      </c>
      <c r="E402" s="8">
        <v>0</v>
      </c>
      <c r="F402" s="8">
        <v>7.9379999999999997</v>
      </c>
      <c r="G402" s="18">
        <v>2.95</v>
      </c>
      <c r="H402" s="240">
        <v>0</v>
      </c>
      <c r="I402" s="240">
        <v>0</v>
      </c>
      <c r="J402" s="240">
        <v>0</v>
      </c>
      <c r="K402" s="240">
        <v>0</v>
      </c>
      <c r="L402" s="240">
        <v>0</v>
      </c>
      <c r="M402" s="240">
        <v>0</v>
      </c>
      <c r="N402" s="240">
        <v>0</v>
      </c>
    </row>
    <row r="403" spans="1:14" x14ac:dyDescent="0.3">
      <c r="A403" s="135" t="s">
        <v>456</v>
      </c>
      <c r="B403" s="137" t="s">
        <v>415</v>
      </c>
      <c r="C403" s="137">
        <v>11</v>
      </c>
      <c r="D403" s="9">
        <v>22.05</v>
      </c>
      <c r="E403" s="8">
        <v>0</v>
      </c>
      <c r="F403" s="8">
        <v>8.2266549999999992</v>
      </c>
      <c r="G403" s="18">
        <v>3.0227270000000002</v>
      </c>
      <c r="H403" s="240">
        <v>0</v>
      </c>
      <c r="I403" s="240">
        <v>0</v>
      </c>
      <c r="J403" s="240">
        <v>0</v>
      </c>
      <c r="K403" s="240">
        <v>0</v>
      </c>
      <c r="L403" s="240">
        <v>0</v>
      </c>
      <c r="M403" s="240">
        <v>0</v>
      </c>
      <c r="N403" s="240">
        <v>0</v>
      </c>
    </row>
    <row r="404" spans="1:14" x14ac:dyDescent="0.3">
      <c r="A404" s="135" t="s">
        <v>456</v>
      </c>
      <c r="B404" s="137" t="s">
        <v>415</v>
      </c>
      <c r="C404" s="137">
        <v>12</v>
      </c>
      <c r="D404" s="9">
        <v>22.05</v>
      </c>
      <c r="E404" s="8">
        <v>0</v>
      </c>
      <c r="F404" s="8">
        <v>8.4672000000000001</v>
      </c>
      <c r="G404" s="18">
        <v>3.125</v>
      </c>
      <c r="H404" s="240">
        <v>0</v>
      </c>
      <c r="I404" s="240">
        <v>0</v>
      </c>
      <c r="J404" s="240">
        <v>0</v>
      </c>
      <c r="K404" s="240">
        <v>0</v>
      </c>
      <c r="L404" s="240">
        <v>0</v>
      </c>
      <c r="M404" s="240">
        <v>0</v>
      </c>
      <c r="N404" s="240">
        <v>0</v>
      </c>
    </row>
    <row r="405" spans="1:14" x14ac:dyDescent="0.3">
      <c r="A405" s="135" t="s">
        <v>456</v>
      </c>
      <c r="B405" s="137" t="s">
        <v>415</v>
      </c>
      <c r="C405" s="137">
        <v>13</v>
      </c>
      <c r="D405" s="9">
        <v>22.05</v>
      </c>
      <c r="E405" s="8">
        <v>0</v>
      </c>
      <c r="F405" s="8">
        <v>8.6707380000000001</v>
      </c>
      <c r="G405" s="18">
        <v>3.211538</v>
      </c>
      <c r="H405" s="240">
        <v>0</v>
      </c>
      <c r="I405" s="240">
        <v>0</v>
      </c>
      <c r="J405" s="240">
        <v>0</v>
      </c>
      <c r="K405" s="240">
        <v>0</v>
      </c>
      <c r="L405" s="240">
        <v>0</v>
      </c>
      <c r="M405" s="240">
        <v>0</v>
      </c>
      <c r="N405" s="240">
        <v>0</v>
      </c>
    </row>
    <row r="406" spans="1:14" x14ac:dyDescent="0.3">
      <c r="A406" s="135" t="s">
        <v>456</v>
      </c>
      <c r="B406" s="137" t="s">
        <v>415</v>
      </c>
      <c r="C406" s="137">
        <v>14</v>
      </c>
      <c r="D406" s="9">
        <v>22.05</v>
      </c>
      <c r="E406" s="8">
        <v>0</v>
      </c>
      <c r="F406" s="8">
        <v>8.8452000000000002</v>
      </c>
      <c r="G406" s="18">
        <v>3.285714</v>
      </c>
      <c r="H406" s="240">
        <v>0</v>
      </c>
      <c r="I406" s="240">
        <v>0</v>
      </c>
      <c r="J406" s="240">
        <v>0</v>
      </c>
      <c r="K406" s="240">
        <v>0</v>
      </c>
      <c r="L406" s="240">
        <v>0</v>
      </c>
      <c r="M406" s="240">
        <v>0</v>
      </c>
      <c r="N406" s="240">
        <v>0</v>
      </c>
    </row>
    <row r="407" spans="1:14" x14ac:dyDescent="0.3">
      <c r="A407" s="135" t="s">
        <v>456</v>
      </c>
      <c r="B407" s="137" t="s">
        <v>415</v>
      </c>
      <c r="C407" s="137">
        <v>15</v>
      </c>
      <c r="D407" s="9">
        <v>22.05</v>
      </c>
      <c r="E407" s="8">
        <v>0</v>
      </c>
      <c r="F407" s="8">
        <v>8.9963999999999995</v>
      </c>
      <c r="G407" s="18">
        <v>3.3666670000000001</v>
      </c>
      <c r="H407" s="240">
        <v>0</v>
      </c>
      <c r="I407" s="240">
        <v>0</v>
      </c>
      <c r="J407" s="240">
        <v>0</v>
      </c>
      <c r="K407" s="240">
        <v>0</v>
      </c>
      <c r="L407" s="240">
        <v>0</v>
      </c>
      <c r="M407" s="240">
        <v>0</v>
      </c>
      <c r="N407" s="240">
        <v>0</v>
      </c>
    </row>
    <row r="408" spans="1:14" x14ac:dyDescent="0.3">
      <c r="A408" s="135" t="s">
        <v>456</v>
      </c>
      <c r="B408" s="137" t="s">
        <v>415</v>
      </c>
      <c r="C408" s="137">
        <v>16</v>
      </c>
      <c r="D408" s="9">
        <v>22.05</v>
      </c>
      <c r="E408" s="8">
        <v>0</v>
      </c>
      <c r="F408" s="8">
        <v>9.2279250000000008</v>
      </c>
      <c r="G408" s="18">
        <v>3.453125</v>
      </c>
      <c r="H408" s="240">
        <v>0</v>
      </c>
      <c r="I408" s="240">
        <v>0</v>
      </c>
      <c r="J408" s="240">
        <v>0</v>
      </c>
      <c r="K408" s="240">
        <v>0</v>
      </c>
      <c r="L408" s="240">
        <v>0</v>
      </c>
      <c r="M408" s="240">
        <v>0</v>
      </c>
      <c r="N408" s="240">
        <v>0</v>
      </c>
    </row>
    <row r="409" spans="1:14" x14ac:dyDescent="0.3">
      <c r="A409" s="135" t="s">
        <v>456</v>
      </c>
      <c r="B409" s="137" t="s">
        <v>415</v>
      </c>
      <c r="C409" s="137">
        <v>17</v>
      </c>
      <c r="D409" s="9">
        <v>22.05</v>
      </c>
      <c r="E409" s="8">
        <v>0</v>
      </c>
      <c r="F409" s="8">
        <v>9.4322119999999998</v>
      </c>
      <c r="G409" s="18">
        <v>3.5441180000000001</v>
      </c>
      <c r="H409" s="240">
        <v>0</v>
      </c>
      <c r="I409" s="240">
        <v>0</v>
      </c>
      <c r="J409" s="240">
        <v>0</v>
      </c>
      <c r="K409" s="240">
        <v>0</v>
      </c>
      <c r="L409" s="240">
        <v>0</v>
      </c>
      <c r="M409" s="240">
        <v>0</v>
      </c>
      <c r="N409" s="240">
        <v>0</v>
      </c>
    </row>
    <row r="410" spans="1:14" x14ac:dyDescent="0.3">
      <c r="A410" s="135" t="s">
        <v>456</v>
      </c>
      <c r="B410" s="137" t="s">
        <v>415</v>
      </c>
      <c r="C410" s="137">
        <v>18</v>
      </c>
      <c r="D410" s="9">
        <v>22.05</v>
      </c>
      <c r="E410" s="8">
        <v>0</v>
      </c>
      <c r="F410" s="8">
        <v>9.6137999999999995</v>
      </c>
      <c r="G410" s="18">
        <v>3.625</v>
      </c>
      <c r="H410" s="240">
        <v>0</v>
      </c>
      <c r="I410" s="240">
        <v>0</v>
      </c>
      <c r="J410" s="240">
        <v>0</v>
      </c>
      <c r="K410" s="240">
        <v>0</v>
      </c>
      <c r="L410" s="240">
        <v>0</v>
      </c>
      <c r="M410" s="240">
        <v>0</v>
      </c>
      <c r="N410" s="240">
        <v>0</v>
      </c>
    </row>
    <row r="411" spans="1:14" x14ac:dyDescent="0.3">
      <c r="A411" s="135" t="s">
        <v>456</v>
      </c>
      <c r="B411" s="137" t="s">
        <v>415</v>
      </c>
      <c r="C411" s="137">
        <v>19</v>
      </c>
      <c r="D411" s="9">
        <v>22.05</v>
      </c>
      <c r="E411" s="8">
        <v>0</v>
      </c>
      <c r="F411" s="8">
        <v>9.7762740000000008</v>
      </c>
      <c r="G411" s="18">
        <v>3.697368</v>
      </c>
      <c r="H411" s="240">
        <v>0</v>
      </c>
      <c r="I411" s="240">
        <v>0</v>
      </c>
      <c r="J411" s="240">
        <v>0</v>
      </c>
      <c r="K411" s="240">
        <v>0</v>
      </c>
      <c r="L411" s="240">
        <v>0</v>
      </c>
      <c r="M411" s="240">
        <v>0</v>
      </c>
      <c r="N411" s="240">
        <v>0</v>
      </c>
    </row>
    <row r="412" spans="1:14" x14ac:dyDescent="0.3">
      <c r="A412" s="135" t="s">
        <v>456</v>
      </c>
      <c r="B412" s="137" t="s">
        <v>415</v>
      </c>
      <c r="C412" s="137">
        <v>20</v>
      </c>
      <c r="D412" s="9">
        <v>22.05</v>
      </c>
      <c r="E412" s="8">
        <v>0</v>
      </c>
      <c r="F412" s="8">
        <v>9.9224999999999994</v>
      </c>
      <c r="G412" s="18">
        <v>3.7749999999999999</v>
      </c>
      <c r="H412" s="240">
        <v>0</v>
      </c>
      <c r="I412" s="240">
        <v>0</v>
      </c>
      <c r="J412" s="240">
        <v>0</v>
      </c>
      <c r="K412" s="240">
        <v>0</v>
      </c>
      <c r="L412" s="240">
        <v>0</v>
      </c>
      <c r="M412" s="240">
        <v>0</v>
      </c>
      <c r="N412" s="240">
        <v>0</v>
      </c>
    </row>
    <row r="413" spans="1:14" x14ac:dyDescent="0.3">
      <c r="A413" s="135" t="s">
        <v>456</v>
      </c>
      <c r="B413" s="137" t="s">
        <v>415</v>
      </c>
      <c r="C413" s="137">
        <v>21</v>
      </c>
      <c r="D413" s="9">
        <v>22.05</v>
      </c>
      <c r="E413" s="8">
        <v>0</v>
      </c>
      <c r="F413" s="8">
        <v>10.0548</v>
      </c>
      <c r="G413" s="18">
        <v>3.8571430000000002</v>
      </c>
      <c r="H413" s="240">
        <v>0</v>
      </c>
      <c r="I413" s="240">
        <v>0</v>
      </c>
      <c r="J413" s="240">
        <v>0</v>
      </c>
      <c r="K413" s="240">
        <v>0</v>
      </c>
      <c r="L413" s="240">
        <v>0</v>
      </c>
      <c r="M413" s="240">
        <v>0</v>
      </c>
      <c r="N413" s="240">
        <v>0</v>
      </c>
    </row>
    <row r="414" spans="1:14" x14ac:dyDescent="0.3">
      <c r="A414" s="135" t="s">
        <v>456</v>
      </c>
      <c r="B414" s="137" t="s">
        <v>415</v>
      </c>
      <c r="C414" s="137">
        <v>22</v>
      </c>
      <c r="D414" s="9">
        <v>22.05</v>
      </c>
      <c r="E414" s="8">
        <v>0</v>
      </c>
      <c r="F414" s="8">
        <v>10.175072999999999</v>
      </c>
      <c r="G414" s="18">
        <v>3.9318179999999998</v>
      </c>
      <c r="H414" s="240">
        <v>0</v>
      </c>
      <c r="I414" s="240">
        <v>0</v>
      </c>
      <c r="J414" s="240">
        <v>0</v>
      </c>
      <c r="K414" s="240">
        <v>0</v>
      </c>
      <c r="L414" s="240">
        <v>0</v>
      </c>
      <c r="M414" s="240">
        <v>0</v>
      </c>
      <c r="N414" s="240">
        <v>0</v>
      </c>
    </row>
    <row r="415" spans="1:14" x14ac:dyDescent="0.3">
      <c r="A415" s="135" t="s">
        <v>456</v>
      </c>
      <c r="B415" s="137" t="s">
        <v>415</v>
      </c>
      <c r="C415" s="137">
        <v>23</v>
      </c>
      <c r="D415" s="9">
        <v>22.05</v>
      </c>
      <c r="E415" s="8">
        <v>0</v>
      </c>
      <c r="F415" s="8">
        <v>10.491965</v>
      </c>
      <c r="G415" s="18">
        <v>4.0108699999999997</v>
      </c>
      <c r="H415" s="240">
        <v>0</v>
      </c>
      <c r="I415" s="240">
        <v>0</v>
      </c>
      <c r="J415" s="240">
        <v>0</v>
      </c>
      <c r="K415" s="240">
        <v>0</v>
      </c>
      <c r="L415" s="240">
        <v>0</v>
      </c>
      <c r="M415" s="240">
        <v>0</v>
      </c>
      <c r="N415" s="240">
        <v>0</v>
      </c>
    </row>
    <row r="416" spans="1:14" x14ac:dyDescent="0.3">
      <c r="A416" s="135" t="s">
        <v>456</v>
      </c>
      <c r="B416" s="137" t="s">
        <v>415</v>
      </c>
      <c r="C416" s="137">
        <v>24</v>
      </c>
      <c r="D416" s="9">
        <v>22.05</v>
      </c>
      <c r="E416" s="8">
        <v>0</v>
      </c>
      <c r="F416" s="8">
        <v>10.782450000000001</v>
      </c>
      <c r="G416" s="18">
        <v>4.09375</v>
      </c>
      <c r="H416" s="240">
        <v>0</v>
      </c>
      <c r="I416" s="240">
        <v>0</v>
      </c>
      <c r="J416" s="240">
        <v>0</v>
      </c>
      <c r="K416" s="240">
        <v>0</v>
      </c>
      <c r="L416" s="240">
        <v>0</v>
      </c>
      <c r="M416" s="240">
        <v>0</v>
      </c>
      <c r="N416" s="240">
        <v>0</v>
      </c>
    </row>
    <row r="417" spans="1:14" x14ac:dyDescent="0.3">
      <c r="A417" s="135" t="s">
        <v>456</v>
      </c>
      <c r="B417" s="137" t="s">
        <v>415</v>
      </c>
      <c r="C417" s="137">
        <v>25</v>
      </c>
      <c r="D417" s="9">
        <v>22.05</v>
      </c>
      <c r="E417" s="8">
        <v>0</v>
      </c>
      <c r="F417" s="8">
        <v>11.049696000000001</v>
      </c>
      <c r="G417" s="18">
        <v>4.18</v>
      </c>
      <c r="H417" s="240">
        <v>0</v>
      </c>
      <c r="I417" s="240">
        <v>0</v>
      </c>
      <c r="J417" s="240">
        <v>0</v>
      </c>
      <c r="K417" s="240">
        <v>0</v>
      </c>
      <c r="L417" s="240">
        <v>0</v>
      </c>
      <c r="M417" s="240">
        <v>0</v>
      </c>
      <c r="N417" s="240">
        <v>0</v>
      </c>
    </row>
    <row r="418" spans="1:14" x14ac:dyDescent="0.3">
      <c r="A418" s="135" t="s">
        <v>456</v>
      </c>
      <c r="B418" s="137" t="s">
        <v>415</v>
      </c>
      <c r="C418" s="137">
        <v>26</v>
      </c>
      <c r="D418" s="9">
        <v>22.05</v>
      </c>
      <c r="E418" s="8">
        <v>0</v>
      </c>
      <c r="F418" s="8">
        <v>11.296385000000001</v>
      </c>
      <c r="G418" s="18">
        <v>4.25</v>
      </c>
      <c r="H418" s="240">
        <v>0</v>
      </c>
      <c r="I418" s="240">
        <v>0</v>
      </c>
      <c r="J418" s="240">
        <v>0</v>
      </c>
      <c r="K418" s="240">
        <v>0</v>
      </c>
      <c r="L418" s="240">
        <v>0</v>
      </c>
      <c r="M418" s="240">
        <v>0</v>
      </c>
      <c r="N418" s="240">
        <v>0</v>
      </c>
    </row>
    <row r="419" spans="1:14" x14ac:dyDescent="0.3">
      <c r="A419" s="135" t="s">
        <v>456</v>
      </c>
      <c r="B419" s="137" t="s">
        <v>415</v>
      </c>
      <c r="C419" s="137">
        <v>27</v>
      </c>
      <c r="D419" s="9">
        <v>22.05</v>
      </c>
      <c r="E419" s="8">
        <v>0</v>
      </c>
      <c r="F419" s="8">
        <v>11.524800000000001</v>
      </c>
      <c r="G419" s="18">
        <v>4.3333329999999997</v>
      </c>
      <c r="H419" s="240">
        <v>0</v>
      </c>
      <c r="I419" s="240">
        <v>0</v>
      </c>
      <c r="J419" s="240">
        <v>0</v>
      </c>
      <c r="K419" s="240">
        <v>0</v>
      </c>
      <c r="L419" s="240">
        <v>0</v>
      </c>
      <c r="M419" s="240">
        <v>0</v>
      </c>
      <c r="N419" s="240">
        <v>0</v>
      </c>
    </row>
    <row r="420" spans="1:14" x14ac:dyDescent="0.3">
      <c r="A420" s="135" t="s">
        <v>456</v>
      </c>
      <c r="B420" s="137" t="s">
        <v>415</v>
      </c>
      <c r="C420" s="137">
        <v>28</v>
      </c>
      <c r="D420" s="9">
        <v>22.05</v>
      </c>
      <c r="E420" s="8">
        <v>0</v>
      </c>
      <c r="F420" s="8">
        <v>11.7369</v>
      </c>
      <c r="G420" s="18">
        <v>4.4017860000000004</v>
      </c>
      <c r="H420" s="240">
        <v>0</v>
      </c>
      <c r="I420" s="240">
        <v>0</v>
      </c>
      <c r="J420" s="240">
        <v>0</v>
      </c>
      <c r="K420" s="240">
        <v>0</v>
      </c>
      <c r="L420" s="240">
        <v>0</v>
      </c>
      <c r="M420" s="240">
        <v>0</v>
      </c>
      <c r="N420" s="240">
        <v>0</v>
      </c>
    </row>
    <row r="421" spans="1:14" x14ac:dyDescent="0.3">
      <c r="A421" s="135" t="s">
        <v>456</v>
      </c>
      <c r="B421" s="137" t="s">
        <v>415</v>
      </c>
      <c r="C421" s="137">
        <v>29</v>
      </c>
      <c r="D421" s="9">
        <v>22.05</v>
      </c>
      <c r="E421" s="8">
        <v>0</v>
      </c>
      <c r="F421" s="8">
        <v>11.934372</v>
      </c>
      <c r="G421" s="18">
        <v>4.4827589999999997</v>
      </c>
      <c r="H421" s="240">
        <v>0</v>
      </c>
      <c r="I421" s="240">
        <v>0</v>
      </c>
      <c r="J421" s="240">
        <v>0</v>
      </c>
      <c r="K421" s="240">
        <v>0</v>
      </c>
      <c r="L421" s="240">
        <v>0</v>
      </c>
      <c r="M421" s="240">
        <v>0</v>
      </c>
      <c r="N421" s="240">
        <v>0</v>
      </c>
    </row>
    <row r="422" spans="1:14" x14ac:dyDescent="0.3">
      <c r="A422" s="138" t="s">
        <v>456</v>
      </c>
      <c r="B422" s="137" t="s">
        <v>415</v>
      </c>
      <c r="C422" s="137">
        <v>30</v>
      </c>
      <c r="D422" s="9">
        <v>22.05</v>
      </c>
      <c r="E422" s="8">
        <v>0</v>
      </c>
      <c r="F422" s="8">
        <v>12.118679999999999</v>
      </c>
      <c r="G422" s="18">
        <v>4.55</v>
      </c>
      <c r="H422" s="240">
        <v>0</v>
      </c>
      <c r="I422" s="240">
        <v>0</v>
      </c>
      <c r="J422" s="240">
        <v>0</v>
      </c>
      <c r="K422" s="240">
        <v>0</v>
      </c>
      <c r="L422" s="240">
        <v>0</v>
      </c>
      <c r="M422" s="240">
        <v>0</v>
      </c>
      <c r="N422" s="240">
        <v>0</v>
      </c>
    </row>
    <row r="423" spans="1:14" x14ac:dyDescent="0.3">
      <c r="A423" s="142" t="s">
        <v>456</v>
      </c>
      <c r="B423" s="143" t="s">
        <v>422</v>
      </c>
      <c r="C423" s="143">
        <v>1</v>
      </c>
      <c r="D423" s="9">
        <v>9.5039999999999996</v>
      </c>
      <c r="E423" s="8">
        <v>2.9257200000000001</v>
      </c>
      <c r="F423" s="8">
        <v>0.459756</v>
      </c>
      <c r="G423" s="18">
        <v>7.5</v>
      </c>
      <c r="H423" s="240">
        <v>0</v>
      </c>
      <c r="I423" s="240">
        <v>0</v>
      </c>
      <c r="J423" s="240">
        <v>0</v>
      </c>
      <c r="K423" s="240">
        <v>0</v>
      </c>
      <c r="L423" s="240">
        <v>0</v>
      </c>
      <c r="M423" s="240">
        <v>0</v>
      </c>
      <c r="N423" s="240">
        <v>0</v>
      </c>
    </row>
    <row r="424" spans="1:14" x14ac:dyDescent="0.3">
      <c r="A424" s="135" t="s">
        <v>456</v>
      </c>
      <c r="B424" s="136" t="s">
        <v>422</v>
      </c>
      <c r="C424" s="137">
        <v>2</v>
      </c>
      <c r="D424" s="9">
        <v>9.5039999999999996</v>
      </c>
      <c r="E424" s="8">
        <v>2.9257200000000001</v>
      </c>
      <c r="F424" s="8">
        <v>0.60430099999999998</v>
      </c>
      <c r="G424" s="18">
        <v>5.625</v>
      </c>
      <c r="H424" s="240">
        <v>0</v>
      </c>
      <c r="I424" s="240">
        <v>0</v>
      </c>
      <c r="J424" s="240">
        <v>0</v>
      </c>
      <c r="K424" s="240">
        <v>0</v>
      </c>
      <c r="L424" s="240">
        <v>0</v>
      </c>
      <c r="M424" s="240">
        <v>0</v>
      </c>
      <c r="N424" s="240">
        <v>0</v>
      </c>
    </row>
    <row r="425" spans="1:14" x14ac:dyDescent="0.3">
      <c r="A425" s="135" t="s">
        <v>456</v>
      </c>
      <c r="B425" s="137" t="s">
        <v>422</v>
      </c>
      <c r="C425" s="137">
        <v>3</v>
      </c>
      <c r="D425" s="9">
        <v>9.5039999999999996</v>
      </c>
      <c r="E425" s="8">
        <v>2.9257200000000001</v>
      </c>
      <c r="F425" s="8">
        <v>0.70240499999999995</v>
      </c>
      <c r="G425" s="18">
        <v>5.25</v>
      </c>
      <c r="H425" s="240">
        <v>0</v>
      </c>
      <c r="I425" s="240">
        <v>0</v>
      </c>
      <c r="J425" s="240">
        <v>0</v>
      </c>
      <c r="K425" s="240">
        <v>0</v>
      </c>
      <c r="L425" s="240">
        <v>0</v>
      </c>
      <c r="M425" s="240">
        <v>0</v>
      </c>
      <c r="N425" s="240">
        <v>0</v>
      </c>
    </row>
    <row r="426" spans="1:14" x14ac:dyDescent="0.3">
      <c r="A426" s="135" t="s">
        <v>456</v>
      </c>
      <c r="B426" s="137" t="s">
        <v>422</v>
      </c>
      <c r="C426" s="137">
        <v>4</v>
      </c>
      <c r="D426" s="9">
        <v>9.5039999999999996</v>
      </c>
      <c r="E426" s="8">
        <v>2.9257200000000001</v>
      </c>
      <c r="F426" s="8">
        <v>0.78889900000000002</v>
      </c>
      <c r="G426" s="18">
        <v>5.125</v>
      </c>
      <c r="H426" s="240">
        <v>0</v>
      </c>
      <c r="I426" s="240">
        <v>0</v>
      </c>
      <c r="J426" s="240">
        <v>0</v>
      </c>
      <c r="K426" s="240">
        <v>0</v>
      </c>
      <c r="L426" s="240">
        <v>0</v>
      </c>
      <c r="M426" s="240">
        <v>0</v>
      </c>
      <c r="N426" s="240">
        <v>0</v>
      </c>
    </row>
    <row r="427" spans="1:14" x14ac:dyDescent="0.3">
      <c r="A427" s="135" t="s">
        <v>456</v>
      </c>
      <c r="B427" s="137" t="s">
        <v>422</v>
      </c>
      <c r="C427" s="137">
        <v>5</v>
      </c>
      <c r="D427" s="9">
        <v>9.5039999999999996</v>
      </c>
      <c r="E427" s="8">
        <v>2.9257200000000001</v>
      </c>
      <c r="F427" s="8">
        <v>0.90070399999999995</v>
      </c>
      <c r="G427" s="18">
        <v>5.15</v>
      </c>
      <c r="H427" s="240">
        <v>0</v>
      </c>
      <c r="I427" s="240">
        <v>0</v>
      </c>
      <c r="J427" s="240">
        <v>0</v>
      </c>
      <c r="K427" s="240">
        <v>0</v>
      </c>
      <c r="L427" s="240">
        <v>0</v>
      </c>
      <c r="M427" s="240">
        <v>0</v>
      </c>
      <c r="N427" s="240">
        <v>0</v>
      </c>
    </row>
    <row r="428" spans="1:14" x14ac:dyDescent="0.3">
      <c r="A428" s="135" t="s">
        <v>456</v>
      </c>
      <c r="B428" s="137" t="s">
        <v>422</v>
      </c>
      <c r="C428" s="137">
        <v>6</v>
      </c>
      <c r="D428" s="9">
        <v>9.5039999999999996</v>
      </c>
      <c r="E428" s="8">
        <v>2.9257200000000001</v>
      </c>
      <c r="F428" s="8">
        <v>1.0292269999999999</v>
      </c>
      <c r="G428" s="18">
        <v>5.25</v>
      </c>
      <c r="H428" s="240">
        <v>0</v>
      </c>
      <c r="I428" s="240">
        <v>0</v>
      </c>
      <c r="J428" s="240">
        <v>0</v>
      </c>
      <c r="K428" s="240">
        <v>0</v>
      </c>
      <c r="L428" s="240">
        <v>0</v>
      </c>
      <c r="M428" s="240">
        <v>0</v>
      </c>
      <c r="N428" s="240">
        <v>0</v>
      </c>
    </row>
    <row r="429" spans="1:14" x14ac:dyDescent="0.3">
      <c r="A429" s="135" t="s">
        <v>456</v>
      </c>
      <c r="B429" s="137" t="s">
        <v>422</v>
      </c>
      <c r="C429" s="137">
        <v>7</v>
      </c>
      <c r="D429" s="9">
        <v>9.5039999999999996</v>
      </c>
      <c r="E429" s="8">
        <v>2.9257200000000001</v>
      </c>
      <c r="F429" s="8">
        <v>1.1210279999999999</v>
      </c>
      <c r="G429" s="18">
        <v>5.3571429999999998</v>
      </c>
      <c r="H429" s="240">
        <v>0</v>
      </c>
      <c r="I429" s="240">
        <v>0</v>
      </c>
      <c r="J429" s="240">
        <v>0</v>
      </c>
      <c r="K429" s="240">
        <v>0</v>
      </c>
      <c r="L429" s="240">
        <v>0</v>
      </c>
      <c r="M429" s="240">
        <v>0</v>
      </c>
      <c r="N429" s="240">
        <v>0</v>
      </c>
    </row>
    <row r="430" spans="1:14" x14ac:dyDescent="0.3">
      <c r="A430" s="135" t="s">
        <v>456</v>
      </c>
      <c r="B430" s="137" t="s">
        <v>422</v>
      </c>
      <c r="C430" s="137">
        <v>8</v>
      </c>
      <c r="D430" s="9">
        <v>9.5039999999999996</v>
      </c>
      <c r="E430" s="8">
        <v>2.9257200000000001</v>
      </c>
      <c r="F430" s="8">
        <v>1.2734719999999999</v>
      </c>
      <c r="G430" s="18">
        <v>5.46875</v>
      </c>
      <c r="H430" s="240">
        <v>0</v>
      </c>
      <c r="I430" s="240">
        <v>0</v>
      </c>
      <c r="J430" s="240">
        <v>0</v>
      </c>
      <c r="K430" s="240">
        <v>0</v>
      </c>
      <c r="L430" s="240">
        <v>0</v>
      </c>
      <c r="M430" s="240">
        <v>0</v>
      </c>
      <c r="N430" s="240">
        <v>0</v>
      </c>
    </row>
    <row r="431" spans="1:14" x14ac:dyDescent="0.3">
      <c r="A431" s="135" t="s">
        <v>456</v>
      </c>
      <c r="B431" s="137" t="s">
        <v>422</v>
      </c>
      <c r="C431" s="137">
        <v>9</v>
      </c>
      <c r="D431" s="9">
        <v>9.5039999999999996</v>
      </c>
      <c r="E431" s="8">
        <v>2.9257200000000001</v>
      </c>
      <c r="F431" s="8">
        <v>1.392039</v>
      </c>
      <c r="G431" s="18">
        <v>5.6111110000000002</v>
      </c>
      <c r="H431" s="240">
        <v>0</v>
      </c>
      <c r="I431" s="240">
        <v>0</v>
      </c>
      <c r="J431" s="240">
        <v>0</v>
      </c>
      <c r="K431" s="240">
        <v>0</v>
      </c>
      <c r="L431" s="240">
        <v>0</v>
      </c>
      <c r="M431" s="240">
        <v>0</v>
      </c>
      <c r="N431" s="240">
        <v>0</v>
      </c>
    </row>
    <row r="432" spans="1:14" x14ac:dyDescent="0.3">
      <c r="A432" s="135" t="s">
        <v>456</v>
      </c>
      <c r="B432" s="137" t="s">
        <v>422</v>
      </c>
      <c r="C432" s="137">
        <v>10</v>
      </c>
      <c r="D432" s="9">
        <v>9.5039999999999996</v>
      </c>
      <c r="E432" s="8">
        <v>2.9257200000000001</v>
      </c>
      <c r="F432" s="8">
        <v>1.486893</v>
      </c>
      <c r="G432" s="18">
        <v>5.75</v>
      </c>
      <c r="H432" s="240">
        <v>0</v>
      </c>
      <c r="I432" s="240">
        <v>0</v>
      </c>
      <c r="J432" s="240">
        <v>0</v>
      </c>
      <c r="K432" s="240">
        <v>0</v>
      </c>
      <c r="L432" s="240">
        <v>0</v>
      </c>
      <c r="M432" s="240">
        <v>0</v>
      </c>
      <c r="N432" s="240">
        <v>0</v>
      </c>
    </row>
    <row r="433" spans="1:14" x14ac:dyDescent="0.3">
      <c r="A433" s="135" t="s">
        <v>456</v>
      </c>
      <c r="B433" s="137" t="s">
        <v>422</v>
      </c>
      <c r="C433" s="137">
        <v>11</v>
      </c>
      <c r="D433" s="9">
        <v>9.5039999999999996</v>
      </c>
      <c r="E433" s="8">
        <v>2.9257200000000001</v>
      </c>
      <c r="F433" s="8">
        <v>1.5645</v>
      </c>
      <c r="G433" s="18">
        <v>5.9090910000000001</v>
      </c>
      <c r="H433" s="240">
        <v>0</v>
      </c>
      <c r="I433" s="240">
        <v>0</v>
      </c>
      <c r="J433" s="240">
        <v>0</v>
      </c>
      <c r="K433" s="240">
        <v>0</v>
      </c>
      <c r="L433" s="240">
        <v>0</v>
      </c>
      <c r="M433" s="240">
        <v>0</v>
      </c>
      <c r="N433" s="240">
        <v>0</v>
      </c>
    </row>
    <row r="434" spans="1:14" x14ac:dyDescent="0.3">
      <c r="A434" s="135" t="s">
        <v>456</v>
      </c>
      <c r="B434" s="137" t="s">
        <v>422</v>
      </c>
      <c r="C434" s="137">
        <v>12</v>
      </c>
      <c r="D434" s="9">
        <v>9.5039999999999996</v>
      </c>
      <c r="E434" s="8">
        <v>2.9257200000000001</v>
      </c>
      <c r="F434" s="8">
        <v>1.640525</v>
      </c>
      <c r="G434" s="18">
        <v>6.0416670000000003</v>
      </c>
      <c r="H434" s="240">
        <v>0</v>
      </c>
      <c r="I434" s="240">
        <v>0</v>
      </c>
      <c r="J434" s="240">
        <v>0</v>
      </c>
      <c r="K434" s="240">
        <v>0</v>
      </c>
      <c r="L434" s="240">
        <v>0</v>
      </c>
      <c r="M434" s="240">
        <v>0</v>
      </c>
      <c r="N434" s="240">
        <v>0</v>
      </c>
    </row>
    <row r="435" spans="1:14" x14ac:dyDescent="0.3">
      <c r="A435" s="135" t="s">
        <v>456</v>
      </c>
      <c r="B435" s="137" t="s">
        <v>422</v>
      </c>
      <c r="C435" s="137">
        <v>13</v>
      </c>
      <c r="D435" s="9">
        <v>9.5039999999999996</v>
      </c>
      <c r="E435" s="8">
        <v>2.9257200000000001</v>
      </c>
      <c r="F435" s="8">
        <v>1.7048540000000001</v>
      </c>
      <c r="G435" s="18">
        <v>6.1923079999999997</v>
      </c>
      <c r="H435" s="240">
        <v>0</v>
      </c>
      <c r="I435" s="240">
        <v>0</v>
      </c>
      <c r="J435" s="240">
        <v>0</v>
      </c>
      <c r="K435" s="240">
        <v>0</v>
      </c>
      <c r="L435" s="240">
        <v>0</v>
      </c>
      <c r="M435" s="240">
        <v>0</v>
      </c>
      <c r="N435" s="240">
        <v>0</v>
      </c>
    </row>
    <row r="436" spans="1:14" x14ac:dyDescent="0.3">
      <c r="A436" s="135" t="s">
        <v>456</v>
      </c>
      <c r="B436" s="137" t="s">
        <v>422</v>
      </c>
      <c r="C436" s="137">
        <v>14</v>
      </c>
      <c r="D436" s="9">
        <v>9.5039999999999996</v>
      </c>
      <c r="E436" s="8">
        <v>2.9257200000000001</v>
      </c>
      <c r="F436" s="8">
        <v>1.79803</v>
      </c>
      <c r="G436" s="18">
        <v>6.3214290000000002</v>
      </c>
      <c r="H436" s="240">
        <v>0</v>
      </c>
      <c r="I436" s="240">
        <v>0</v>
      </c>
      <c r="J436" s="240">
        <v>0</v>
      </c>
      <c r="K436" s="240">
        <v>0</v>
      </c>
      <c r="L436" s="240">
        <v>0</v>
      </c>
      <c r="M436" s="240">
        <v>0</v>
      </c>
      <c r="N436" s="240">
        <v>0</v>
      </c>
    </row>
    <row r="437" spans="1:14" x14ac:dyDescent="0.3">
      <c r="A437" s="135" t="s">
        <v>456</v>
      </c>
      <c r="B437" s="137" t="s">
        <v>422</v>
      </c>
      <c r="C437" s="137">
        <v>15</v>
      </c>
      <c r="D437" s="9">
        <v>9.5039999999999996</v>
      </c>
      <c r="E437" s="8">
        <v>2.9257200000000001</v>
      </c>
      <c r="F437" s="8">
        <v>1.9233640000000001</v>
      </c>
      <c r="G437" s="18">
        <v>6.483333</v>
      </c>
      <c r="H437" s="240">
        <v>0</v>
      </c>
      <c r="I437" s="240">
        <v>0</v>
      </c>
      <c r="J437" s="240">
        <v>0</v>
      </c>
      <c r="K437" s="240">
        <v>0</v>
      </c>
      <c r="L437" s="240">
        <v>0</v>
      </c>
      <c r="M437" s="240">
        <v>0</v>
      </c>
      <c r="N437" s="240">
        <v>0</v>
      </c>
    </row>
    <row r="438" spans="1:14" x14ac:dyDescent="0.3">
      <c r="A438" s="135" t="s">
        <v>456</v>
      </c>
      <c r="B438" s="137" t="s">
        <v>422</v>
      </c>
      <c r="C438" s="137">
        <v>16</v>
      </c>
      <c r="D438" s="9">
        <v>9.5039999999999996</v>
      </c>
      <c r="E438" s="8">
        <v>2.9257200000000001</v>
      </c>
      <c r="F438" s="8">
        <v>2.033032</v>
      </c>
      <c r="G438" s="18">
        <v>6.625</v>
      </c>
      <c r="H438" s="240">
        <v>0</v>
      </c>
      <c r="I438" s="240">
        <v>0</v>
      </c>
      <c r="J438" s="240">
        <v>0</v>
      </c>
      <c r="K438" s="240">
        <v>0</v>
      </c>
      <c r="L438" s="240">
        <v>0</v>
      </c>
      <c r="M438" s="240">
        <v>0</v>
      </c>
      <c r="N438" s="240">
        <v>0</v>
      </c>
    </row>
    <row r="439" spans="1:14" x14ac:dyDescent="0.3">
      <c r="A439" s="135" t="s">
        <v>456</v>
      </c>
      <c r="B439" s="137" t="s">
        <v>422</v>
      </c>
      <c r="C439" s="137">
        <v>17</v>
      </c>
      <c r="D439" s="9">
        <v>9.5039999999999996</v>
      </c>
      <c r="E439" s="8">
        <v>2.9257200000000001</v>
      </c>
      <c r="F439" s="8">
        <v>2.1297980000000001</v>
      </c>
      <c r="G439" s="18">
        <v>6.7647060000000003</v>
      </c>
      <c r="H439" s="240">
        <v>0</v>
      </c>
      <c r="I439" s="240">
        <v>0</v>
      </c>
      <c r="J439" s="240">
        <v>0</v>
      </c>
      <c r="K439" s="240">
        <v>0</v>
      </c>
      <c r="L439" s="240">
        <v>0</v>
      </c>
      <c r="M439" s="240">
        <v>0</v>
      </c>
      <c r="N439" s="240">
        <v>0</v>
      </c>
    </row>
    <row r="440" spans="1:14" x14ac:dyDescent="0.3">
      <c r="A440" s="135" t="s">
        <v>456</v>
      </c>
      <c r="B440" s="137" t="s">
        <v>422</v>
      </c>
      <c r="C440" s="137">
        <v>18</v>
      </c>
      <c r="D440" s="9">
        <v>9.5039999999999996</v>
      </c>
      <c r="E440" s="8">
        <v>2.9257200000000001</v>
      </c>
      <c r="F440" s="8">
        <v>2.2158120000000001</v>
      </c>
      <c r="G440" s="18">
        <v>6.9027779999999996</v>
      </c>
      <c r="H440" s="240">
        <v>0</v>
      </c>
      <c r="I440" s="240">
        <v>0</v>
      </c>
      <c r="J440" s="240">
        <v>0</v>
      </c>
      <c r="K440" s="240">
        <v>0</v>
      </c>
      <c r="L440" s="240">
        <v>0</v>
      </c>
      <c r="M440" s="240">
        <v>0</v>
      </c>
      <c r="N440" s="240">
        <v>0</v>
      </c>
    </row>
    <row r="441" spans="1:14" x14ac:dyDescent="0.3">
      <c r="A441" s="135" t="s">
        <v>456</v>
      </c>
      <c r="B441" s="137" t="s">
        <v>422</v>
      </c>
      <c r="C441" s="137">
        <v>19</v>
      </c>
      <c r="D441" s="9">
        <v>9.5039999999999996</v>
      </c>
      <c r="E441" s="8">
        <v>2.9257200000000001</v>
      </c>
      <c r="F441" s="8">
        <v>2.3028740000000001</v>
      </c>
      <c r="G441" s="18">
        <v>7.0394740000000002</v>
      </c>
      <c r="H441" s="240">
        <v>0</v>
      </c>
      <c r="I441" s="240">
        <v>0</v>
      </c>
      <c r="J441" s="240">
        <v>0</v>
      </c>
      <c r="K441" s="240">
        <v>0</v>
      </c>
      <c r="L441" s="240">
        <v>0</v>
      </c>
      <c r="M441" s="240">
        <v>0</v>
      </c>
      <c r="N441" s="240">
        <v>0</v>
      </c>
    </row>
    <row r="442" spans="1:14" x14ac:dyDescent="0.3">
      <c r="A442" s="135" t="s">
        <v>456</v>
      </c>
      <c r="B442" s="137" t="s">
        <v>422</v>
      </c>
      <c r="C442" s="137">
        <v>20</v>
      </c>
      <c r="D442" s="9">
        <v>9.5039999999999996</v>
      </c>
      <c r="E442" s="8">
        <v>2.9257200000000001</v>
      </c>
      <c r="F442" s="8">
        <v>2.38123</v>
      </c>
      <c r="G442" s="18">
        <v>7.1749999999999998</v>
      </c>
      <c r="H442" s="240">
        <v>0</v>
      </c>
      <c r="I442" s="240">
        <v>0</v>
      </c>
      <c r="J442" s="240">
        <v>0</v>
      </c>
      <c r="K442" s="240">
        <v>0</v>
      </c>
      <c r="L442" s="240">
        <v>0</v>
      </c>
      <c r="M442" s="240">
        <v>0</v>
      </c>
      <c r="N442" s="240">
        <v>0</v>
      </c>
    </row>
    <row r="443" spans="1:14" x14ac:dyDescent="0.3">
      <c r="A443" s="135" t="s">
        <v>456</v>
      </c>
      <c r="B443" s="137" t="s">
        <v>422</v>
      </c>
      <c r="C443" s="137">
        <v>21</v>
      </c>
      <c r="D443" s="9">
        <v>9.5039999999999996</v>
      </c>
      <c r="E443" s="8">
        <v>2.9257200000000001</v>
      </c>
      <c r="F443" s="8">
        <v>2.452124</v>
      </c>
      <c r="G443" s="18">
        <v>7.3095239999999997</v>
      </c>
      <c r="H443" s="240">
        <v>0</v>
      </c>
      <c r="I443" s="240">
        <v>0</v>
      </c>
      <c r="J443" s="240">
        <v>0</v>
      </c>
      <c r="K443" s="240">
        <v>0</v>
      </c>
      <c r="L443" s="240">
        <v>0</v>
      </c>
      <c r="M443" s="240">
        <v>0</v>
      </c>
      <c r="N443" s="240">
        <v>0</v>
      </c>
    </row>
    <row r="444" spans="1:14" x14ac:dyDescent="0.3">
      <c r="A444" s="135" t="s">
        <v>456</v>
      </c>
      <c r="B444" s="137" t="s">
        <v>422</v>
      </c>
      <c r="C444" s="137">
        <v>22</v>
      </c>
      <c r="D444" s="9">
        <v>9.5039999999999996</v>
      </c>
      <c r="E444" s="8">
        <v>2.9257200000000001</v>
      </c>
      <c r="F444" s="8">
        <v>2.5165730000000002</v>
      </c>
      <c r="G444" s="18">
        <v>7.4431820000000002</v>
      </c>
      <c r="H444" s="240">
        <v>0</v>
      </c>
      <c r="I444" s="240">
        <v>0</v>
      </c>
      <c r="J444" s="240">
        <v>0</v>
      </c>
      <c r="K444" s="240">
        <v>0</v>
      </c>
      <c r="L444" s="240">
        <v>0</v>
      </c>
      <c r="M444" s="240">
        <v>0</v>
      </c>
      <c r="N444" s="240">
        <v>0</v>
      </c>
    </row>
    <row r="445" spans="1:14" x14ac:dyDescent="0.3">
      <c r="A445" s="135" t="s">
        <v>456</v>
      </c>
      <c r="B445" s="137" t="s">
        <v>422</v>
      </c>
      <c r="C445" s="137">
        <v>23</v>
      </c>
      <c r="D445" s="9">
        <v>9.5039999999999996</v>
      </c>
      <c r="E445" s="8">
        <v>2.9257200000000001</v>
      </c>
      <c r="F445" s="8">
        <v>2.6252230000000001</v>
      </c>
      <c r="G445" s="18">
        <v>7.5760870000000002</v>
      </c>
      <c r="H445" s="240">
        <v>0</v>
      </c>
      <c r="I445" s="240">
        <v>0</v>
      </c>
      <c r="J445" s="240">
        <v>0</v>
      </c>
      <c r="K445" s="240">
        <v>0</v>
      </c>
      <c r="L445" s="240">
        <v>0</v>
      </c>
      <c r="M445" s="240">
        <v>0</v>
      </c>
      <c r="N445" s="240">
        <v>0</v>
      </c>
    </row>
    <row r="446" spans="1:14" x14ac:dyDescent="0.3">
      <c r="A446" s="135" t="s">
        <v>456</v>
      </c>
      <c r="B446" s="137" t="s">
        <v>422</v>
      </c>
      <c r="C446" s="137">
        <v>24</v>
      </c>
      <c r="D446" s="9">
        <v>9.5039999999999996</v>
      </c>
      <c r="E446" s="8">
        <v>2.9257200000000001</v>
      </c>
      <c r="F446" s="8">
        <v>2.7248190000000001</v>
      </c>
      <c r="G446" s="18">
        <v>7.7083329999999997</v>
      </c>
      <c r="H446" s="240">
        <v>0</v>
      </c>
      <c r="I446" s="240">
        <v>0</v>
      </c>
      <c r="J446" s="240">
        <v>0</v>
      </c>
      <c r="K446" s="240">
        <v>0</v>
      </c>
      <c r="L446" s="240">
        <v>0</v>
      </c>
      <c r="M446" s="240">
        <v>0</v>
      </c>
      <c r="N446" s="240">
        <v>0</v>
      </c>
    </row>
    <row r="447" spans="1:14" x14ac:dyDescent="0.3">
      <c r="A447" s="135" t="s">
        <v>456</v>
      </c>
      <c r="B447" s="137" t="s">
        <v>422</v>
      </c>
      <c r="C447" s="137">
        <v>25</v>
      </c>
      <c r="D447" s="9">
        <v>9.5039999999999996</v>
      </c>
      <c r="E447" s="8">
        <v>2.9257200000000001</v>
      </c>
      <c r="F447" s="8">
        <v>2.8387380000000002</v>
      </c>
      <c r="G447" s="18">
        <v>7.84</v>
      </c>
      <c r="H447" s="240">
        <v>0</v>
      </c>
      <c r="I447" s="240">
        <v>0</v>
      </c>
      <c r="J447" s="240">
        <v>0</v>
      </c>
      <c r="K447" s="240">
        <v>0</v>
      </c>
      <c r="L447" s="240">
        <v>0</v>
      </c>
      <c r="M447" s="240">
        <v>0</v>
      </c>
      <c r="N447" s="240">
        <v>0</v>
      </c>
    </row>
    <row r="448" spans="1:14" x14ac:dyDescent="0.3">
      <c r="A448" s="135" t="s">
        <v>456</v>
      </c>
      <c r="B448" s="137" t="s">
        <v>422</v>
      </c>
      <c r="C448" s="137">
        <v>26</v>
      </c>
      <c r="D448" s="9">
        <v>9.5039999999999996</v>
      </c>
      <c r="E448" s="8">
        <v>2.9257200000000001</v>
      </c>
      <c r="F448" s="8">
        <v>2.9438939999999998</v>
      </c>
      <c r="G448" s="18">
        <v>7.9711540000000003</v>
      </c>
      <c r="H448" s="240">
        <v>0</v>
      </c>
      <c r="I448" s="240">
        <v>0</v>
      </c>
      <c r="J448" s="240">
        <v>0</v>
      </c>
      <c r="K448" s="240">
        <v>0</v>
      </c>
      <c r="L448" s="240">
        <v>0</v>
      </c>
      <c r="M448" s="240">
        <v>0</v>
      </c>
      <c r="N448" s="240">
        <v>0</v>
      </c>
    </row>
    <row r="449" spans="1:14" x14ac:dyDescent="0.3">
      <c r="A449" s="135" t="s">
        <v>456</v>
      </c>
      <c r="B449" s="137" t="s">
        <v>422</v>
      </c>
      <c r="C449" s="137">
        <v>27</v>
      </c>
      <c r="D449" s="9">
        <v>9.5039999999999996</v>
      </c>
      <c r="E449" s="8">
        <v>2.9257200000000001</v>
      </c>
      <c r="F449" s="8">
        <v>3.041261</v>
      </c>
      <c r="G449" s="18">
        <v>8.0925930000000008</v>
      </c>
      <c r="H449" s="240">
        <v>0</v>
      </c>
      <c r="I449" s="240">
        <v>0</v>
      </c>
      <c r="J449" s="240">
        <v>0</v>
      </c>
      <c r="K449" s="240">
        <v>0</v>
      </c>
      <c r="L449" s="240">
        <v>0</v>
      </c>
      <c r="M449" s="240">
        <v>0</v>
      </c>
      <c r="N449" s="240">
        <v>0</v>
      </c>
    </row>
    <row r="450" spans="1:14" x14ac:dyDescent="0.3">
      <c r="A450" s="135" t="s">
        <v>456</v>
      </c>
      <c r="B450" s="137" t="s">
        <v>422</v>
      </c>
      <c r="C450" s="137">
        <v>28</v>
      </c>
      <c r="D450" s="9">
        <v>9.5039999999999996</v>
      </c>
      <c r="E450" s="8">
        <v>2.9257200000000001</v>
      </c>
      <c r="F450" s="8">
        <v>3.1316730000000002</v>
      </c>
      <c r="G450" s="18">
        <v>8.2232140000000005</v>
      </c>
      <c r="H450" s="240">
        <v>0</v>
      </c>
      <c r="I450" s="240">
        <v>0</v>
      </c>
      <c r="J450" s="240">
        <v>0</v>
      </c>
      <c r="K450" s="240">
        <v>0</v>
      </c>
      <c r="L450" s="240">
        <v>0</v>
      </c>
      <c r="M450" s="240">
        <v>0</v>
      </c>
      <c r="N450" s="240">
        <v>0</v>
      </c>
    </row>
    <row r="451" spans="1:14" x14ac:dyDescent="0.3">
      <c r="A451" s="135" t="s">
        <v>456</v>
      </c>
      <c r="B451" s="137" t="s">
        <v>422</v>
      </c>
      <c r="C451" s="137">
        <v>29</v>
      </c>
      <c r="D451" s="9">
        <v>9.5039999999999996</v>
      </c>
      <c r="E451" s="8">
        <v>2.9257200000000001</v>
      </c>
      <c r="F451" s="8">
        <v>3.2158500000000001</v>
      </c>
      <c r="G451" s="18">
        <v>8.3448279999999997</v>
      </c>
      <c r="H451" s="240">
        <v>0</v>
      </c>
      <c r="I451" s="240">
        <v>0</v>
      </c>
      <c r="J451" s="240">
        <v>0</v>
      </c>
      <c r="K451" s="240">
        <v>0</v>
      </c>
      <c r="L451" s="240">
        <v>0</v>
      </c>
      <c r="M451" s="240">
        <v>0</v>
      </c>
      <c r="N451" s="240">
        <v>0</v>
      </c>
    </row>
    <row r="452" spans="1:14" x14ac:dyDescent="0.3">
      <c r="A452" s="138" t="s">
        <v>456</v>
      </c>
      <c r="B452" s="137" t="s">
        <v>422</v>
      </c>
      <c r="C452" s="137">
        <v>30</v>
      </c>
      <c r="D452" s="9">
        <v>9.5039999999999996</v>
      </c>
      <c r="E452" s="8">
        <v>2.9257200000000001</v>
      </c>
      <c r="F452" s="8">
        <v>3.2944149999999999</v>
      </c>
      <c r="G452" s="18">
        <v>8.4666669999999993</v>
      </c>
      <c r="H452" s="240">
        <v>0</v>
      </c>
      <c r="I452" s="240">
        <v>0</v>
      </c>
      <c r="J452" s="240">
        <v>0</v>
      </c>
      <c r="K452" s="240">
        <v>0</v>
      </c>
      <c r="L452" s="240">
        <v>0</v>
      </c>
      <c r="M452" s="240">
        <v>0</v>
      </c>
      <c r="N452" s="240">
        <v>0</v>
      </c>
    </row>
    <row r="453" spans="1:14" x14ac:dyDescent="0.3">
      <c r="A453" s="141" t="s">
        <v>457</v>
      </c>
      <c r="B453" s="136" t="s">
        <v>412</v>
      </c>
      <c r="C453" s="136">
        <v>1</v>
      </c>
      <c r="D453" s="9">
        <v>70.2</v>
      </c>
      <c r="E453" s="8">
        <v>0</v>
      </c>
      <c r="F453" s="8">
        <v>55.125</v>
      </c>
      <c r="G453" s="18">
        <v>5</v>
      </c>
      <c r="H453" s="240">
        <v>0</v>
      </c>
      <c r="I453" s="240">
        <v>0</v>
      </c>
      <c r="J453" s="240">
        <v>0</v>
      </c>
      <c r="K453" s="240">
        <v>0</v>
      </c>
      <c r="L453" s="240">
        <v>0</v>
      </c>
      <c r="M453" s="240">
        <v>0</v>
      </c>
      <c r="N453" s="240">
        <v>0</v>
      </c>
    </row>
    <row r="454" spans="1:14" x14ac:dyDescent="0.3">
      <c r="A454" s="135" t="s">
        <v>457</v>
      </c>
      <c r="B454" s="136" t="s">
        <v>412</v>
      </c>
      <c r="C454" s="137">
        <v>2</v>
      </c>
      <c r="D454" s="9">
        <v>70.2</v>
      </c>
      <c r="E454" s="8">
        <v>0</v>
      </c>
      <c r="F454" s="8">
        <v>55.125</v>
      </c>
      <c r="G454" s="18">
        <v>5</v>
      </c>
      <c r="H454" s="240">
        <v>0</v>
      </c>
      <c r="I454" s="240">
        <v>0</v>
      </c>
      <c r="J454" s="240">
        <v>0</v>
      </c>
      <c r="K454" s="240">
        <v>0</v>
      </c>
      <c r="L454" s="240">
        <v>0</v>
      </c>
      <c r="M454" s="240">
        <v>0</v>
      </c>
      <c r="N454" s="240">
        <v>0</v>
      </c>
    </row>
    <row r="455" spans="1:14" x14ac:dyDescent="0.3">
      <c r="A455" s="135" t="s">
        <v>457</v>
      </c>
      <c r="B455" s="137" t="s">
        <v>412</v>
      </c>
      <c r="C455" s="137">
        <v>3</v>
      </c>
      <c r="D455" s="9">
        <v>70.2</v>
      </c>
      <c r="E455" s="8">
        <v>0</v>
      </c>
      <c r="F455" s="8">
        <v>55.125</v>
      </c>
      <c r="G455" s="18">
        <v>5.3333329999999997</v>
      </c>
      <c r="H455" s="240">
        <v>0</v>
      </c>
      <c r="I455" s="240">
        <v>0</v>
      </c>
      <c r="J455" s="240">
        <v>0</v>
      </c>
      <c r="K455" s="240">
        <v>0</v>
      </c>
      <c r="L455" s="240">
        <v>0</v>
      </c>
      <c r="M455" s="240">
        <v>0</v>
      </c>
      <c r="N455" s="240">
        <v>0</v>
      </c>
    </row>
    <row r="456" spans="1:14" x14ac:dyDescent="0.3">
      <c r="A456" s="135" t="s">
        <v>457</v>
      </c>
      <c r="B456" s="137" t="s">
        <v>412</v>
      </c>
      <c r="C456" s="137">
        <v>4</v>
      </c>
      <c r="D456" s="9">
        <v>70.2</v>
      </c>
      <c r="E456" s="8">
        <v>0</v>
      </c>
      <c r="F456" s="8">
        <v>55.125</v>
      </c>
      <c r="G456" s="18">
        <v>5.75</v>
      </c>
      <c r="H456" s="240">
        <v>0</v>
      </c>
      <c r="I456" s="240">
        <v>0</v>
      </c>
      <c r="J456" s="240">
        <v>0</v>
      </c>
      <c r="K456" s="240">
        <v>0</v>
      </c>
      <c r="L456" s="240">
        <v>0</v>
      </c>
      <c r="M456" s="240">
        <v>0</v>
      </c>
      <c r="N456" s="240">
        <v>0</v>
      </c>
    </row>
    <row r="457" spans="1:14" x14ac:dyDescent="0.3">
      <c r="A457" s="135" t="s">
        <v>457</v>
      </c>
      <c r="B457" s="137" t="s">
        <v>412</v>
      </c>
      <c r="C457" s="137">
        <v>5</v>
      </c>
      <c r="D457" s="9">
        <v>70.2</v>
      </c>
      <c r="E457" s="8">
        <v>0</v>
      </c>
      <c r="F457" s="8">
        <v>55.125</v>
      </c>
      <c r="G457" s="18">
        <v>6.1</v>
      </c>
      <c r="H457" s="240">
        <v>0</v>
      </c>
      <c r="I457" s="240">
        <v>0</v>
      </c>
      <c r="J457" s="240">
        <v>0</v>
      </c>
      <c r="K457" s="240">
        <v>0</v>
      </c>
      <c r="L457" s="240">
        <v>0</v>
      </c>
      <c r="M457" s="240">
        <v>0</v>
      </c>
      <c r="N457" s="240">
        <v>0</v>
      </c>
    </row>
    <row r="458" spans="1:14" x14ac:dyDescent="0.3">
      <c r="A458" s="135" t="s">
        <v>457</v>
      </c>
      <c r="B458" s="137" t="s">
        <v>412</v>
      </c>
      <c r="C458" s="137">
        <v>6</v>
      </c>
      <c r="D458" s="9">
        <v>70.2</v>
      </c>
      <c r="E458" s="8">
        <v>0</v>
      </c>
      <c r="F458" s="8">
        <v>55.125</v>
      </c>
      <c r="G458" s="18">
        <v>6.4583329999999997</v>
      </c>
      <c r="H458" s="240">
        <v>0</v>
      </c>
      <c r="I458" s="240">
        <v>0</v>
      </c>
      <c r="J458" s="240">
        <v>0</v>
      </c>
      <c r="K458" s="240">
        <v>0</v>
      </c>
      <c r="L458" s="240">
        <v>0</v>
      </c>
      <c r="M458" s="240">
        <v>0</v>
      </c>
      <c r="N458" s="240">
        <v>0</v>
      </c>
    </row>
    <row r="459" spans="1:14" x14ac:dyDescent="0.3">
      <c r="A459" s="135" t="s">
        <v>457</v>
      </c>
      <c r="B459" s="137" t="s">
        <v>412</v>
      </c>
      <c r="C459" s="137">
        <v>7</v>
      </c>
      <c r="D459" s="9">
        <v>70.2</v>
      </c>
      <c r="E459" s="8">
        <v>0</v>
      </c>
      <c r="F459" s="8">
        <v>57.75</v>
      </c>
      <c r="G459" s="18">
        <v>6.9285709999999998</v>
      </c>
      <c r="H459" s="240">
        <v>0</v>
      </c>
      <c r="I459" s="240">
        <v>0</v>
      </c>
      <c r="J459" s="240">
        <v>0</v>
      </c>
      <c r="K459" s="240">
        <v>0</v>
      </c>
      <c r="L459" s="240">
        <v>0</v>
      </c>
      <c r="M459" s="240">
        <v>0</v>
      </c>
      <c r="N459" s="240">
        <v>0</v>
      </c>
    </row>
    <row r="460" spans="1:14" x14ac:dyDescent="0.3">
      <c r="A460" s="135" t="s">
        <v>457</v>
      </c>
      <c r="B460" s="137" t="s">
        <v>412</v>
      </c>
      <c r="C460" s="137">
        <v>8</v>
      </c>
      <c r="D460" s="9">
        <v>70.2</v>
      </c>
      <c r="E460" s="8">
        <v>0</v>
      </c>
      <c r="F460" s="8">
        <v>59.71875</v>
      </c>
      <c r="G460" s="18">
        <v>7.34375</v>
      </c>
      <c r="H460" s="240">
        <v>0</v>
      </c>
      <c r="I460" s="240">
        <v>0</v>
      </c>
      <c r="J460" s="240">
        <v>0</v>
      </c>
      <c r="K460" s="240">
        <v>0</v>
      </c>
      <c r="L460" s="240">
        <v>0</v>
      </c>
      <c r="M460" s="240">
        <v>0</v>
      </c>
      <c r="N460" s="240">
        <v>0</v>
      </c>
    </row>
    <row r="461" spans="1:14" x14ac:dyDescent="0.3">
      <c r="A461" s="135" t="s">
        <v>457</v>
      </c>
      <c r="B461" s="137" t="s">
        <v>412</v>
      </c>
      <c r="C461" s="137">
        <v>9</v>
      </c>
      <c r="D461" s="9">
        <v>70.2</v>
      </c>
      <c r="E461" s="8">
        <v>0</v>
      </c>
      <c r="F461" s="8">
        <v>61.25</v>
      </c>
      <c r="G461" s="18">
        <v>7.75</v>
      </c>
      <c r="H461" s="240">
        <v>0</v>
      </c>
      <c r="I461" s="240">
        <v>0</v>
      </c>
      <c r="J461" s="240">
        <v>0</v>
      </c>
      <c r="K461" s="240">
        <v>0</v>
      </c>
      <c r="L461" s="240">
        <v>0</v>
      </c>
      <c r="M461" s="240">
        <v>0</v>
      </c>
      <c r="N461" s="240">
        <v>0</v>
      </c>
    </row>
    <row r="462" spans="1:14" x14ac:dyDescent="0.3">
      <c r="A462" s="135" t="s">
        <v>457</v>
      </c>
      <c r="B462" s="137" t="s">
        <v>412</v>
      </c>
      <c r="C462" s="137">
        <v>10</v>
      </c>
      <c r="D462" s="9">
        <v>70.2</v>
      </c>
      <c r="E462" s="8">
        <v>0</v>
      </c>
      <c r="F462" s="8">
        <v>62.475000000000001</v>
      </c>
      <c r="G462" s="18">
        <v>8.15</v>
      </c>
      <c r="H462" s="240">
        <v>0</v>
      </c>
      <c r="I462" s="240">
        <v>0</v>
      </c>
      <c r="J462" s="240">
        <v>0</v>
      </c>
      <c r="K462" s="240">
        <v>0</v>
      </c>
      <c r="L462" s="240">
        <v>0</v>
      </c>
      <c r="M462" s="240">
        <v>0</v>
      </c>
      <c r="N462" s="240">
        <v>0</v>
      </c>
    </row>
    <row r="463" spans="1:14" x14ac:dyDescent="0.3">
      <c r="A463" s="135" t="s">
        <v>457</v>
      </c>
      <c r="B463" s="137" t="s">
        <v>412</v>
      </c>
      <c r="C463" s="137">
        <v>11</v>
      </c>
      <c r="D463" s="9">
        <v>70.2</v>
      </c>
      <c r="E463" s="8">
        <v>0</v>
      </c>
      <c r="F463" s="8">
        <v>63.477272999999997</v>
      </c>
      <c r="G463" s="18">
        <v>8.5227269999999997</v>
      </c>
      <c r="H463" s="240">
        <v>0</v>
      </c>
      <c r="I463" s="240">
        <v>0</v>
      </c>
      <c r="J463" s="240">
        <v>0</v>
      </c>
      <c r="K463" s="240">
        <v>0</v>
      </c>
      <c r="L463" s="240">
        <v>0</v>
      </c>
      <c r="M463" s="240">
        <v>0</v>
      </c>
      <c r="N463" s="240">
        <v>0</v>
      </c>
    </row>
    <row r="464" spans="1:14" x14ac:dyDescent="0.3">
      <c r="A464" s="135" t="s">
        <v>457</v>
      </c>
      <c r="B464" s="137" t="s">
        <v>412</v>
      </c>
      <c r="C464" s="137">
        <v>12</v>
      </c>
      <c r="D464" s="9">
        <v>70.2</v>
      </c>
      <c r="E464" s="8">
        <v>0</v>
      </c>
      <c r="F464" s="8">
        <v>64.3125</v>
      </c>
      <c r="G464" s="18">
        <v>8.875</v>
      </c>
      <c r="H464" s="240">
        <v>0</v>
      </c>
      <c r="I464" s="240">
        <v>0</v>
      </c>
      <c r="J464" s="240">
        <v>0</v>
      </c>
      <c r="K464" s="240">
        <v>0</v>
      </c>
      <c r="L464" s="240">
        <v>0</v>
      </c>
      <c r="M464" s="240">
        <v>0</v>
      </c>
      <c r="N464" s="240">
        <v>0</v>
      </c>
    </row>
    <row r="465" spans="1:14" x14ac:dyDescent="0.3">
      <c r="A465" s="135" t="s">
        <v>457</v>
      </c>
      <c r="B465" s="137" t="s">
        <v>412</v>
      </c>
      <c r="C465" s="137">
        <v>13</v>
      </c>
      <c r="D465" s="9">
        <v>70.2</v>
      </c>
      <c r="E465" s="8">
        <v>0</v>
      </c>
      <c r="F465" s="8">
        <v>65.019231000000005</v>
      </c>
      <c r="G465" s="18">
        <v>9.2115379999999991</v>
      </c>
      <c r="H465" s="240">
        <v>0</v>
      </c>
      <c r="I465" s="240">
        <v>0</v>
      </c>
      <c r="J465" s="240">
        <v>0</v>
      </c>
      <c r="K465" s="240">
        <v>0</v>
      </c>
      <c r="L465" s="240">
        <v>0</v>
      </c>
      <c r="M465" s="240">
        <v>0</v>
      </c>
      <c r="N465" s="240">
        <v>0</v>
      </c>
    </row>
    <row r="466" spans="1:14" x14ac:dyDescent="0.3">
      <c r="A466" s="135" t="s">
        <v>457</v>
      </c>
      <c r="B466" s="137" t="s">
        <v>412</v>
      </c>
      <c r="C466" s="137">
        <v>14</v>
      </c>
      <c r="D466" s="9">
        <v>70.2</v>
      </c>
      <c r="E466" s="8">
        <v>0</v>
      </c>
      <c r="F466" s="8">
        <v>65.625</v>
      </c>
      <c r="G466" s="18">
        <v>9.5357140000000005</v>
      </c>
      <c r="H466" s="240">
        <v>0</v>
      </c>
      <c r="I466" s="240">
        <v>0</v>
      </c>
      <c r="J466" s="240">
        <v>0</v>
      </c>
      <c r="K466" s="240">
        <v>0</v>
      </c>
      <c r="L466" s="240">
        <v>0</v>
      </c>
      <c r="M466" s="240">
        <v>0</v>
      </c>
      <c r="N466" s="240">
        <v>0</v>
      </c>
    </row>
    <row r="467" spans="1:14" x14ac:dyDescent="0.3">
      <c r="A467" s="135" t="s">
        <v>457</v>
      </c>
      <c r="B467" s="137" t="s">
        <v>412</v>
      </c>
      <c r="C467" s="137">
        <v>15</v>
      </c>
      <c r="D467" s="9">
        <v>70.2</v>
      </c>
      <c r="E467" s="8">
        <v>0</v>
      </c>
      <c r="F467" s="8">
        <v>66.150000000000006</v>
      </c>
      <c r="G467" s="18">
        <v>9.85</v>
      </c>
      <c r="H467" s="240">
        <v>0</v>
      </c>
      <c r="I467" s="240">
        <v>0</v>
      </c>
      <c r="J467" s="240">
        <v>0</v>
      </c>
      <c r="K467" s="240">
        <v>0</v>
      </c>
      <c r="L467" s="240">
        <v>0</v>
      </c>
      <c r="M467" s="240">
        <v>0</v>
      </c>
      <c r="N467" s="240">
        <v>0</v>
      </c>
    </row>
    <row r="468" spans="1:14" x14ac:dyDescent="0.3">
      <c r="A468" s="135" t="s">
        <v>457</v>
      </c>
      <c r="B468" s="137" t="s">
        <v>412</v>
      </c>
      <c r="C468" s="137">
        <v>16</v>
      </c>
      <c r="D468" s="9">
        <v>70.2</v>
      </c>
      <c r="E468" s="8">
        <v>0</v>
      </c>
      <c r="F468" s="8">
        <v>67.757812000000001</v>
      </c>
      <c r="G468" s="18">
        <v>10.234375</v>
      </c>
      <c r="H468" s="240">
        <v>0</v>
      </c>
      <c r="I468" s="240">
        <v>0</v>
      </c>
      <c r="J468" s="240">
        <v>0</v>
      </c>
      <c r="K468" s="240">
        <v>0</v>
      </c>
      <c r="L468" s="240">
        <v>0</v>
      </c>
      <c r="M468" s="240">
        <v>0</v>
      </c>
      <c r="N468" s="240">
        <v>0</v>
      </c>
    </row>
    <row r="469" spans="1:14" x14ac:dyDescent="0.3">
      <c r="A469" s="135" t="s">
        <v>457</v>
      </c>
      <c r="B469" s="137" t="s">
        <v>412</v>
      </c>
      <c r="C469" s="137">
        <v>17</v>
      </c>
      <c r="D469" s="9">
        <v>70.2</v>
      </c>
      <c r="E469" s="8">
        <v>0</v>
      </c>
      <c r="F469" s="8">
        <v>69.176471000000006</v>
      </c>
      <c r="G469" s="18">
        <v>10.588234999999999</v>
      </c>
      <c r="H469" s="240">
        <v>0</v>
      </c>
      <c r="I469" s="240">
        <v>0</v>
      </c>
      <c r="J469" s="240">
        <v>0</v>
      </c>
      <c r="K469" s="240">
        <v>0</v>
      </c>
      <c r="L469" s="240">
        <v>0</v>
      </c>
      <c r="M469" s="240">
        <v>0</v>
      </c>
      <c r="N469" s="240">
        <v>0</v>
      </c>
    </row>
    <row r="470" spans="1:14" x14ac:dyDescent="0.3">
      <c r="A470" s="135" t="s">
        <v>457</v>
      </c>
      <c r="B470" s="137" t="s">
        <v>412</v>
      </c>
      <c r="C470" s="137">
        <v>18</v>
      </c>
      <c r="D470" s="9">
        <v>70.2</v>
      </c>
      <c r="E470" s="8">
        <v>0</v>
      </c>
      <c r="F470" s="8">
        <v>70.4375</v>
      </c>
      <c r="G470" s="18">
        <v>10.930555999999999</v>
      </c>
      <c r="H470" s="240">
        <v>0</v>
      </c>
      <c r="I470" s="240">
        <v>0</v>
      </c>
      <c r="J470" s="240">
        <v>0</v>
      </c>
      <c r="K470" s="240">
        <v>0</v>
      </c>
      <c r="L470" s="240">
        <v>0</v>
      </c>
      <c r="M470" s="240">
        <v>0</v>
      </c>
      <c r="N470" s="240">
        <v>0</v>
      </c>
    </row>
    <row r="471" spans="1:14" x14ac:dyDescent="0.3">
      <c r="A471" s="135" t="s">
        <v>457</v>
      </c>
      <c r="B471" s="137" t="s">
        <v>412</v>
      </c>
      <c r="C471" s="137">
        <v>19</v>
      </c>
      <c r="D471" s="9">
        <v>70.2</v>
      </c>
      <c r="E471" s="8">
        <v>0</v>
      </c>
      <c r="F471" s="8">
        <v>71.565788999999995</v>
      </c>
      <c r="G471" s="18">
        <v>11.276316</v>
      </c>
      <c r="H471" s="240">
        <v>0</v>
      </c>
      <c r="I471" s="240">
        <v>0</v>
      </c>
      <c r="J471" s="240">
        <v>0</v>
      </c>
      <c r="K471" s="240">
        <v>0</v>
      </c>
      <c r="L471" s="240">
        <v>0</v>
      </c>
      <c r="M471" s="240">
        <v>0</v>
      </c>
      <c r="N471" s="240">
        <v>0</v>
      </c>
    </row>
    <row r="472" spans="1:14" x14ac:dyDescent="0.3">
      <c r="A472" s="135" t="s">
        <v>457</v>
      </c>
      <c r="B472" s="137" t="s">
        <v>412</v>
      </c>
      <c r="C472" s="137">
        <v>20</v>
      </c>
      <c r="D472" s="9">
        <v>70.2</v>
      </c>
      <c r="E472" s="8">
        <v>0</v>
      </c>
      <c r="F472" s="8">
        <v>72.581249999999997</v>
      </c>
      <c r="G472" s="18">
        <v>11.6</v>
      </c>
      <c r="H472" s="240">
        <v>0</v>
      </c>
      <c r="I472" s="240">
        <v>0</v>
      </c>
      <c r="J472" s="240">
        <v>0</v>
      </c>
      <c r="K472" s="240">
        <v>0</v>
      </c>
      <c r="L472" s="240">
        <v>0</v>
      </c>
      <c r="M472" s="240">
        <v>0</v>
      </c>
      <c r="N472" s="240">
        <v>0</v>
      </c>
    </row>
    <row r="473" spans="1:14" x14ac:dyDescent="0.3">
      <c r="A473" s="135" t="s">
        <v>457</v>
      </c>
      <c r="B473" s="137" t="s">
        <v>412</v>
      </c>
      <c r="C473" s="137">
        <v>21</v>
      </c>
      <c r="D473" s="9">
        <v>70.2</v>
      </c>
      <c r="E473" s="8">
        <v>0</v>
      </c>
      <c r="F473" s="8">
        <v>73.5</v>
      </c>
      <c r="G473" s="18">
        <v>11.916667</v>
      </c>
      <c r="H473" s="240">
        <v>0</v>
      </c>
      <c r="I473" s="240">
        <v>0</v>
      </c>
      <c r="J473" s="240">
        <v>0</v>
      </c>
      <c r="K473" s="240">
        <v>0</v>
      </c>
      <c r="L473" s="240">
        <v>0</v>
      </c>
      <c r="M473" s="240">
        <v>0</v>
      </c>
      <c r="N473" s="240">
        <v>0</v>
      </c>
    </row>
    <row r="474" spans="1:14" x14ac:dyDescent="0.3">
      <c r="A474" s="135" t="s">
        <v>457</v>
      </c>
      <c r="B474" s="137" t="s">
        <v>412</v>
      </c>
      <c r="C474" s="137">
        <v>22</v>
      </c>
      <c r="D474" s="9">
        <v>70.2</v>
      </c>
      <c r="E474" s="8">
        <v>0</v>
      </c>
      <c r="F474" s="8">
        <v>74.335227000000003</v>
      </c>
      <c r="G474" s="18">
        <v>12.227273</v>
      </c>
      <c r="H474" s="240">
        <v>0</v>
      </c>
      <c r="I474" s="240">
        <v>0</v>
      </c>
      <c r="J474" s="240">
        <v>0</v>
      </c>
      <c r="K474" s="240">
        <v>0</v>
      </c>
      <c r="L474" s="240">
        <v>0</v>
      </c>
      <c r="M474" s="240">
        <v>0</v>
      </c>
      <c r="N474" s="240">
        <v>0</v>
      </c>
    </row>
    <row r="475" spans="1:14" x14ac:dyDescent="0.3">
      <c r="A475" s="135" t="s">
        <v>457</v>
      </c>
      <c r="B475" s="137" t="s">
        <v>412</v>
      </c>
      <c r="C475" s="137">
        <v>23</v>
      </c>
      <c r="D475" s="9">
        <v>70.2</v>
      </c>
      <c r="E475" s="8">
        <v>0</v>
      </c>
      <c r="F475" s="8">
        <v>75.097825999999998</v>
      </c>
      <c r="G475" s="18">
        <v>12.532609000000001</v>
      </c>
      <c r="H475" s="240">
        <v>0</v>
      </c>
      <c r="I475" s="240">
        <v>0</v>
      </c>
      <c r="J475" s="240">
        <v>0</v>
      </c>
      <c r="K475" s="240">
        <v>0</v>
      </c>
      <c r="L475" s="240">
        <v>0</v>
      </c>
      <c r="M475" s="240">
        <v>0</v>
      </c>
      <c r="N475" s="240">
        <v>0</v>
      </c>
    </row>
    <row r="476" spans="1:14" x14ac:dyDescent="0.3">
      <c r="A476" s="135" t="s">
        <v>457</v>
      </c>
      <c r="B476" s="137" t="s">
        <v>412</v>
      </c>
      <c r="C476" s="137">
        <v>24</v>
      </c>
      <c r="D476" s="9">
        <v>70.2</v>
      </c>
      <c r="E476" s="8">
        <v>0</v>
      </c>
      <c r="F476" s="8">
        <v>75.796875</v>
      </c>
      <c r="G476" s="18">
        <v>12.822917</v>
      </c>
      <c r="H476" s="240">
        <v>0</v>
      </c>
      <c r="I476" s="240">
        <v>0</v>
      </c>
      <c r="J476" s="240">
        <v>0</v>
      </c>
      <c r="K476" s="240">
        <v>0</v>
      </c>
      <c r="L476" s="240">
        <v>0</v>
      </c>
      <c r="M476" s="240">
        <v>0</v>
      </c>
      <c r="N476" s="240">
        <v>0</v>
      </c>
    </row>
    <row r="477" spans="1:14" x14ac:dyDescent="0.3">
      <c r="A477" s="135" t="s">
        <v>457</v>
      </c>
      <c r="B477" s="137" t="s">
        <v>412</v>
      </c>
      <c r="C477" s="137">
        <v>25</v>
      </c>
      <c r="D477" s="9">
        <v>70.2</v>
      </c>
      <c r="E477" s="8">
        <v>0</v>
      </c>
      <c r="F477" s="8">
        <v>76.44</v>
      </c>
      <c r="G477" s="18">
        <v>13.12</v>
      </c>
      <c r="H477" s="240">
        <v>0</v>
      </c>
      <c r="I477" s="240">
        <v>0</v>
      </c>
      <c r="J477" s="240">
        <v>0</v>
      </c>
      <c r="K477" s="240">
        <v>0</v>
      </c>
      <c r="L477" s="240">
        <v>0</v>
      </c>
      <c r="M477" s="240">
        <v>0</v>
      </c>
      <c r="N477" s="240">
        <v>0</v>
      </c>
    </row>
    <row r="478" spans="1:14" x14ac:dyDescent="0.3">
      <c r="A478" s="135" t="s">
        <v>457</v>
      </c>
      <c r="B478" s="137" t="s">
        <v>412</v>
      </c>
      <c r="C478" s="137">
        <v>26</v>
      </c>
      <c r="D478" s="9">
        <v>70.2</v>
      </c>
      <c r="E478" s="8">
        <v>0</v>
      </c>
      <c r="F478" s="8">
        <v>77.033653999999999</v>
      </c>
      <c r="G478" s="18">
        <v>13.403846</v>
      </c>
      <c r="H478" s="240">
        <v>0</v>
      </c>
      <c r="I478" s="240">
        <v>0</v>
      </c>
      <c r="J478" s="240">
        <v>0</v>
      </c>
      <c r="K478" s="240">
        <v>0</v>
      </c>
      <c r="L478" s="240">
        <v>0</v>
      </c>
      <c r="M478" s="240">
        <v>0</v>
      </c>
      <c r="N478" s="240">
        <v>0</v>
      </c>
    </row>
    <row r="479" spans="1:14" x14ac:dyDescent="0.3">
      <c r="A479" s="135" t="s">
        <v>457</v>
      </c>
      <c r="B479" s="137" t="s">
        <v>412</v>
      </c>
      <c r="C479" s="137">
        <v>27</v>
      </c>
      <c r="D479" s="9">
        <v>70.2</v>
      </c>
      <c r="E479" s="8">
        <v>0</v>
      </c>
      <c r="F479" s="8">
        <v>77.583332999999996</v>
      </c>
      <c r="G479" s="18">
        <v>13.675926</v>
      </c>
      <c r="H479" s="240">
        <v>0</v>
      </c>
      <c r="I479" s="240">
        <v>0</v>
      </c>
      <c r="J479" s="240">
        <v>0</v>
      </c>
      <c r="K479" s="240">
        <v>0</v>
      </c>
      <c r="L479" s="240">
        <v>0</v>
      </c>
      <c r="M479" s="240">
        <v>0</v>
      </c>
      <c r="N479" s="240">
        <v>0</v>
      </c>
    </row>
    <row r="480" spans="1:14" x14ac:dyDescent="0.3">
      <c r="A480" s="135" t="s">
        <v>457</v>
      </c>
      <c r="B480" s="137" t="s">
        <v>412</v>
      </c>
      <c r="C480" s="137">
        <v>28</v>
      </c>
      <c r="D480" s="9">
        <v>70.2</v>
      </c>
      <c r="E480" s="8">
        <v>0</v>
      </c>
      <c r="F480" s="8">
        <v>78.09375</v>
      </c>
      <c r="G480" s="18">
        <v>13.946429</v>
      </c>
      <c r="H480" s="240">
        <v>0</v>
      </c>
      <c r="I480" s="240">
        <v>0</v>
      </c>
      <c r="J480" s="240">
        <v>0</v>
      </c>
      <c r="K480" s="240">
        <v>0</v>
      </c>
      <c r="L480" s="240">
        <v>0</v>
      </c>
      <c r="M480" s="240">
        <v>0</v>
      </c>
      <c r="N480" s="240">
        <v>0</v>
      </c>
    </row>
    <row r="481" spans="1:14" x14ac:dyDescent="0.3">
      <c r="A481" s="135" t="s">
        <v>457</v>
      </c>
      <c r="B481" s="137" t="s">
        <v>412</v>
      </c>
      <c r="C481" s="137">
        <v>29</v>
      </c>
      <c r="D481" s="9">
        <v>70.2</v>
      </c>
      <c r="E481" s="8">
        <v>0</v>
      </c>
      <c r="F481" s="8">
        <v>79.202585999999997</v>
      </c>
      <c r="G481" s="18">
        <v>14.267241</v>
      </c>
      <c r="H481" s="240">
        <v>0</v>
      </c>
      <c r="I481" s="240">
        <v>0</v>
      </c>
      <c r="J481" s="240">
        <v>0</v>
      </c>
      <c r="K481" s="240">
        <v>0</v>
      </c>
      <c r="L481" s="240">
        <v>0</v>
      </c>
      <c r="M481" s="240">
        <v>0</v>
      </c>
      <c r="N481" s="240">
        <v>0</v>
      </c>
    </row>
    <row r="482" spans="1:14" x14ac:dyDescent="0.3">
      <c r="A482" s="138" t="s">
        <v>457</v>
      </c>
      <c r="B482" s="137" t="s">
        <v>412</v>
      </c>
      <c r="C482" s="137">
        <v>30</v>
      </c>
      <c r="D482" s="9">
        <v>70.2</v>
      </c>
      <c r="E482" s="8">
        <v>0</v>
      </c>
      <c r="F482" s="8">
        <v>80.237499999999997</v>
      </c>
      <c r="G482" s="18">
        <v>14.574999999999999</v>
      </c>
      <c r="H482" s="240">
        <v>0</v>
      </c>
      <c r="I482" s="240">
        <v>0</v>
      </c>
      <c r="J482" s="240">
        <v>0</v>
      </c>
      <c r="K482" s="240">
        <v>0</v>
      </c>
      <c r="L482" s="240">
        <v>0</v>
      </c>
      <c r="M482" s="240">
        <v>0</v>
      </c>
      <c r="N482" s="240">
        <v>0</v>
      </c>
    </row>
    <row r="483" spans="1:14" x14ac:dyDescent="0.3">
      <c r="A483" s="141" t="s">
        <v>457</v>
      </c>
      <c r="B483" s="136" t="s">
        <v>413</v>
      </c>
      <c r="C483" s="136">
        <v>1</v>
      </c>
      <c r="D483" s="9">
        <v>70.2</v>
      </c>
      <c r="E483" s="8">
        <v>19.285</v>
      </c>
      <c r="F483" s="8">
        <v>5.4880000000000004</v>
      </c>
      <c r="G483" s="18">
        <v>10</v>
      </c>
      <c r="H483" s="240">
        <v>0</v>
      </c>
      <c r="I483" s="240">
        <v>0</v>
      </c>
      <c r="J483" s="240">
        <v>0</v>
      </c>
      <c r="K483" s="240">
        <v>0</v>
      </c>
      <c r="L483" s="240">
        <v>0</v>
      </c>
      <c r="M483" s="240">
        <v>0</v>
      </c>
      <c r="N483" s="240">
        <v>0</v>
      </c>
    </row>
    <row r="484" spans="1:14" x14ac:dyDescent="0.3">
      <c r="A484" s="135" t="s">
        <v>457</v>
      </c>
      <c r="B484" s="136" t="s">
        <v>413</v>
      </c>
      <c r="C484" s="137">
        <v>2</v>
      </c>
      <c r="D484" s="9">
        <v>70.2</v>
      </c>
      <c r="E484" s="8">
        <v>20.947500000000002</v>
      </c>
      <c r="F484" s="8">
        <v>5.4880000000000004</v>
      </c>
      <c r="G484" s="18">
        <v>10.3</v>
      </c>
      <c r="H484" s="240">
        <v>0</v>
      </c>
      <c r="I484" s="240">
        <v>0</v>
      </c>
      <c r="J484" s="240">
        <v>0</v>
      </c>
      <c r="K484" s="240">
        <v>0</v>
      </c>
      <c r="L484" s="240">
        <v>0</v>
      </c>
      <c r="M484" s="240">
        <v>0</v>
      </c>
      <c r="N484" s="240">
        <v>0</v>
      </c>
    </row>
    <row r="485" spans="1:14" x14ac:dyDescent="0.3">
      <c r="A485" s="135" t="s">
        <v>457</v>
      </c>
      <c r="B485" s="137" t="s">
        <v>413</v>
      </c>
      <c r="C485" s="137">
        <v>3</v>
      </c>
      <c r="D485" s="9">
        <v>70.2</v>
      </c>
      <c r="E485" s="8">
        <v>21.501667000000001</v>
      </c>
      <c r="F485" s="8">
        <v>7.0279999999999996</v>
      </c>
      <c r="G485" s="18">
        <v>10.666667</v>
      </c>
      <c r="H485" s="240">
        <v>0</v>
      </c>
      <c r="I485" s="240">
        <v>0</v>
      </c>
      <c r="J485" s="240">
        <v>0</v>
      </c>
      <c r="K485" s="240">
        <v>0</v>
      </c>
      <c r="L485" s="240">
        <v>0</v>
      </c>
      <c r="M485" s="240">
        <v>0</v>
      </c>
      <c r="N485" s="240">
        <v>0</v>
      </c>
    </row>
    <row r="486" spans="1:14" x14ac:dyDescent="0.3">
      <c r="A486" s="135" t="s">
        <v>457</v>
      </c>
      <c r="B486" s="137" t="s">
        <v>413</v>
      </c>
      <c r="C486" s="137">
        <v>4</v>
      </c>
      <c r="D486" s="9">
        <v>70.2</v>
      </c>
      <c r="E486" s="8">
        <v>21.778749999999999</v>
      </c>
      <c r="F486" s="8">
        <v>7.798</v>
      </c>
      <c r="G486" s="18">
        <v>11.4375</v>
      </c>
      <c r="H486" s="240">
        <v>0</v>
      </c>
      <c r="I486" s="240">
        <v>0</v>
      </c>
      <c r="J486" s="240">
        <v>0</v>
      </c>
      <c r="K486" s="240">
        <v>0</v>
      </c>
      <c r="L486" s="240">
        <v>0</v>
      </c>
      <c r="M486" s="240">
        <v>0</v>
      </c>
      <c r="N486" s="240">
        <v>0</v>
      </c>
    </row>
    <row r="487" spans="1:14" x14ac:dyDescent="0.3">
      <c r="A487" s="135" t="s">
        <v>457</v>
      </c>
      <c r="B487" s="137" t="s">
        <v>413</v>
      </c>
      <c r="C487" s="137">
        <v>5</v>
      </c>
      <c r="D487" s="9">
        <v>70.2</v>
      </c>
      <c r="E487" s="8">
        <v>21.945</v>
      </c>
      <c r="F487" s="8">
        <v>8.26</v>
      </c>
      <c r="G487" s="18">
        <v>12.15</v>
      </c>
      <c r="H487" s="240">
        <v>0</v>
      </c>
      <c r="I487" s="240">
        <v>0</v>
      </c>
      <c r="J487" s="240">
        <v>0</v>
      </c>
      <c r="K487" s="240">
        <v>0</v>
      </c>
      <c r="L487" s="240">
        <v>0</v>
      </c>
      <c r="M487" s="240">
        <v>0</v>
      </c>
      <c r="N487" s="240">
        <v>0</v>
      </c>
    </row>
    <row r="488" spans="1:14" x14ac:dyDescent="0.3">
      <c r="A488" s="135" t="s">
        <v>457</v>
      </c>
      <c r="B488" s="137" t="s">
        <v>413</v>
      </c>
      <c r="C488" s="137">
        <v>6</v>
      </c>
      <c r="D488" s="9">
        <v>70.2</v>
      </c>
      <c r="E488" s="8">
        <v>22.055833</v>
      </c>
      <c r="F488" s="8">
        <v>8.5679999999999996</v>
      </c>
      <c r="G488" s="18">
        <v>12.916667</v>
      </c>
      <c r="H488" s="240">
        <v>0</v>
      </c>
      <c r="I488" s="240">
        <v>0</v>
      </c>
      <c r="J488" s="240">
        <v>0</v>
      </c>
      <c r="K488" s="240">
        <v>0</v>
      </c>
      <c r="L488" s="240">
        <v>0</v>
      </c>
      <c r="M488" s="240">
        <v>0</v>
      </c>
      <c r="N488" s="240">
        <v>0</v>
      </c>
    </row>
    <row r="489" spans="1:14" x14ac:dyDescent="0.3">
      <c r="A489" s="135" t="s">
        <v>457</v>
      </c>
      <c r="B489" s="137" t="s">
        <v>413</v>
      </c>
      <c r="C489" s="137">
        <v>7</v>
      </c>
      <c r="D489" s="9">
        <v>70.2</v>
      </c>
      <c r="E489" s="8">
        <v>22.135000000000002</v>
      </c>
      <c r="F489" s="8">
        <v>9.6479999999999997</v>
      </c>
      <c r="G489" s="18">
        <v>13.678571</v>
      </c>
      <c r="H489" s="240">
        <v>0</v>
      </c>
      <c r="I489" s="240">
        <v>0</v>
      </c>
      <c r="J489" s="240">
        <v>0</v>
      </c>
      <c r="K489" s="240">
        <v>0</v>
      </c>
      <c r="L489" s="240">
        <v>0</v>
      </c>
      <c r="M489" s="240">
        <v>0</v>
      </c>
      <c r="N489" s="240">
        <v>0</v>
      </c>
    </row>
    <row r="490" spans="1:14" x14ac:dyDescent="0.3">
      <c r="A490" s="135" t="s">
        <v>457</v>
      </c>
      <c r="B490" s="137" t="s">
        <v>413</v>
      </c>
      <c r="C490" s="137">
        <v>8</v>
      </c>
      <c r="D490" s="9">
        <v>70.2</v>
      </c>
      <c r="E490" s="8">
        <v>22.194375000000001</v>
      </c>
      <c r="F490" s="8">
        <v>10.458</v>
      </c>
      <c r="G490" s="18">
        <v>14.40625</v>
      </c>
      <c r="H490" s="240">
        <v>0</v>
      </c>
      <c r="I490" s="240">
        <v>0</v>
      </c>
      <c r="J490" s="240">
        <v>0</v>
      </c>
      <c r="K490" s="240">
        <v>0</v>
      </c>
      <c r="L490" s="240">
        <v>0</v>
      </c>
      <c r="M490" s="240">
        <v>0</v>
      </c>
      <c r="N490" s="240">
        <v>0</v>
      </c>
    </row>
    <row r="491" spans="1:14" x14ac:dyDescent="0.3">
      <c r="A491" s="135" t="s">
        <v>457</v>
      </c>
      <c r="B491" s="137" t="s">
        <v>413</v>
      </c>
      <c r="C491" s="137">
        <v>9</v>
      </c>
      <c r="D491" s="9">
        <v>70.2</v>
      </c>
      <c r="E491" s="8">
        <v>22.240556000000002</v>
      </c>
      <c r="F491" s="8">
        <v>11.087999999999999</v>
      </c>
      <c r="G491" s="18">
        <v>15.111110999999999</v>
      </c>
      <c r="H491" s="240">
        <v>0</v>
      </c>
      <c r="I491" s="240">
        <v>0</v>
      </c>
      <c r="J491" s="240">
        <v>0</v>
      </c>
      <c r="K491" s="240">
        <v>0</v>
      </c>
      <c r="L491" s="240">
        <v>0</v>
      </c>
      <c r="M491" s="240">
        <v>0</v>
      </c>
      <c r="N491" s="240">
        <v>0</v>
      </c>
    </row>
    <row r="492" spans="1:14" x14ac:dyDescent="0.3">
      <c r="A492" s="135" t="s">
        <v>457</v>
      </c>
      <c r="B492" s="137" t="s">
        <v>413</v>
      </c>
      <c r="C492" s="137">
        <v>10</v>
      </c>
      <c r="D492" s="9">
        <v>70.2</v>
      </c>
      <c r="E492" s="8">
        <v>22.2775</v>
      </c>
      <c r="F492" s="8">
        <v>11.592000000000001</v>
      </c>
      <c r="G492" s="18">
        <v>15.8</v>
      </c>
      <c r="H492" s="240">
        <v>0</v>
      </c>
      <c r="I492" s="240">
        <v>0</v>
      </c>
      <c r="J492" s="240">
        <v>0</v>
      </c>
      <c r="K492" s="240">
        <v>0</v>
      </c>
      <c r="L492" s="240">
        <v>0</v>
      </c>
      <c r="M492" s="240">
        <v>0</v>
      </c>
      <c r="N492" s="240">
        <v>0</v>
      </c>
    </row>
    <row r="493" spans="1:14" x14ac:dyDescent="0.3">
      <c r="A493" s="135" t="s">
        <v>457</v>
      </c>
      <c r="B493" s="137" t="s">
        <v>413</v>
      </c>
      <c r="C493" s="137">
        <v>11</v>
      </c>
      <c r="D493" s="9">
        <v>70.2</v>
      </c>
      <c r="E493" s="8">
        <v>22.307727</v>
      </c>
      <c r="F493" s="8">
        <v>12.004364000000001</v>
      </c>
      <c r="G493" s="18">
        <v>16.454545</v>
      </c>
      <c r="H493" s="240">
        <v>0</v>
      </c>
      <c r="I493" s="240">
        <v>0</v>
      </c>
      <c r="J493" s="240">
        <v>0</v>
      </c>
      <c r="K493" s="240">
        <v>0</v>
      </c>
      <c r="L493" s="240">
        <v>0</v>
      </c>
      <c r="M493" s="240">
        <v>0</v>
      </c>
      <c r="N493" s="240">
        <v>0</v>
      </c>
    </row>
    <row r="494" spans="1:14" x14ac:dyDescent="0.3">
      <c r="A494" s="135" t="s">
        <v>457</v>
      </c>
      <c r="B494" s="137" t="s">
        <v>413</v>
      </c>
      <c r="C494" s="137">
        <v>12</v>
      </c>
      <c r="D494" s="9">
        <v>70.2</v>
      </c>
      <c r="E494" s="8">
        <v>22.332916999999998</v>
      </c>
      <c r="F494" s="8">
        <v>12.966333000000001</v>
      </c>
      <c r="G494" s="18">
        <v>17.145833</v>
      </c>
      <c r="H494" s="240">
        <v>0</v>
      </c>
      <c r="I494" s="240">
        <v>0</v>
      </c>
      <c r="J494" s="240">
        <v>0</v>
      </c>
      <c r="K494" s="240">
        <v>0</v>
      </c>
      <c r="L494" s="240">
        <v>0</v>
      </c>
      <c r="M494" s="240">
        <v>0</v>
      </c>
      <c r="N494" s="240">
        <v>0</v>
      </c>
    </row>
    <row r="495" spans="1:14" x14ac:dyDescent="0.3">
      <c r="A495" s="135" t="s">
        <v>457</v>
      </c>
      <c r="B495" s="137" t="s">
        <v>413</v>
      </c>
      <c r="C495" s="137">
        <v>13</v>
      </c>
      <c r="D495" s="9">
        <v>70.2</v>
      </c>
      <c r="E495" s="8">
        <v>22.354230999999999</v>
      </c>
      <c r="F495" s="8">
        <v>13.780308</v>
      </c>
      <c r="G495" s="18">
        <v>17.807691999999999</v>
      </c>
      <c r="H495" s="240">
        <v>0</v>
      </c>
      <c r="I495" s="240">
        <v>0</v>
      </c>
      <c r="J495" s="240">
        <v>0</v>
      </c>
      <c r="K495" s="240">
        <v>0</v>
      </c>
      <c r="L495" s="240">
        <v>0</v>
      </c>
      <c r="M495" s="240">
        <v>0</v>
      </c>
      <c r="N495" s="240">
        <v>0</v>
      </c>
    </row>
    <row r="496" spans="1:14" x14ac:dyDescent="0.3">
      <c r="A496" s="135" t="s">
        <v>457</v>
      </c>
      <c r="B496" s="137" t="s">
        <v>413</v>
      </c>
      <c r="C496" s="137">
        <v>14</v>
      </c>
      <c r="D496" s="9">
        <v>70.2</v>
      </c>
      <c r="E496" s="8">
        <v>22.372499999999999</v>
      </c>
      <c r="F496" s="8">
        <v>14.478</v>
      </c>
      <c r="G496" s="18">
        <v>18.446428999999998</v>
      </c>
      <c r="H496" s="240">
        <v>0</v>
      </c>
      <c r="I496" s="240">
        <v>0</v>
      </c>
      <c r="J496" s="240">
        <v>0</v>
      </c>
      <c r="K496" s="240">
        <v>0</v>
      </c>
      <c r="L496" s="240">
        <v>0</v>
      </c>
      <c r="M496" s="240">
        <v>0</v>
      </c>
      <c r="N496" s="240">
        <v>0</v>
      </c>
    </row>
    <row r="497" spans="1:14" x14ac:dyDescent="0.3">
      <c r="A497" s="135" t="s">
        <v>457</v>
      </c>
      <c r="B497" s="137" t="s">
        <v>413</v>
      </c>
      <c r="C497" s="137">
        <v>15</v>
      </c>
      <c r="D497" s="9">
        <v>70.2</v>
      </c>
      <c r="E497" s="8">
        <v>22.388332999999999</v>
      </c>
      <c r="F497" s="8">
        <v>15.082667000000001</v>
      </c>
      <c r="G497" s="18">
        <v>19.066666999999999</v>
      </c>
      <c r="H497" s="240">
        <v>0</v>
      </c>
      <c r="I497" s="240">
        <v>0</v>
      </c>
      <c r="J497" s="240">
        <v>0</v>
      </c>
      <c r="K497" s="240">
        <v>0</v>
      </c>
      <c r="L497" s="240">
        <v>0</v>
      </c>
      <c r="M497" s="240">
        <v>0</v>
      </c>
      <c r="N497" s="240">
        <v>0</v>
      </c>
    </row>
    <row r="498" spans="1:14" x14ac:dyDescent="0.3">
      <c r="A498" s="135" t="s">
        <v>457</v>
      </c>
      <c r="B498" s="137" t="s">
        <v>413</v>
      </c>
      <c r="C498" s="137">
        <v>16</v>
      </c>
      <c r="D498" s="9">
        <v>70.2</v>
      </c>
      <c r="E498" s="8">
        <v>22.402187000000001</v>
      </c>
      <c r="F498" s="8">
        <v>15.611750000000001</v>
      </c>
      <c r="G498" s="18">
        <v>19.671875</v>
      </c>
      <c r="H498" s="240">
        <v>0</v>
      </c>
      <c r="I498" s="240">
        <v>0</v>
      </c>
      <c r="J498" s="240">
        <v>0</v>
      </c>
      <c r="K498" s="240">
        <v>0</v>
      </c>
      <c r="L498" s="240">
        <v>0</v>
      </c>
      <c r="M498" s="240">
        <v>0</v>
      </c>
      <c r="N498" s="240">
        <v>0</v>
      </c>
    </row>
    <row r="499" spans="1:14" x14ac:dyDescent="0.3">
      <c r="A499" s="135" t="s">
        <v>457</v>
      </c>
      <c r="B499" s="137" t="s">
        <v>413</v>
      </c>
      <c r="C499" s="137">
        <v>17</v>
      </c>
      <c r="D499" s="9">
        <v>70.2</v>
      </c>
      <c r="E499" s="8">
        <v>22.414411999999999</v>
      </c>
      <c r="F499" s="8">
        <v>16.078588</v>
      </c>
      <c r="G499" s="18">
        <v>20.25</v>
      </c>
      <c r="H499" s="240">
        <v>0</v>
      </c>
      <c r="I499" s="240">
        <v>0</v>
      </c>
      <c r="J499" s="240">
        <v>0</v>
      </c>
      <c r="K499" s="240">
        <v>0</v>
      </c>
      <c r="L499" s="240">
        <v>0</v>
      </c>
      <c r="M499" s="240">
        <v>0</v>
      </c>
      <c r="N499" s="240">
        <v>0</v>
      </c>
    </row>
    <row r="500" spans="1:14" x14ac:dyDescent="0.3">
      <c r="A500" s="135" t="s">
        <v>457</v>
      </c>
      <c r="B500" s="137" t="s">
        <v>413</v>
      </c>
      <c r="C500" s="137">
        <v>18</v>
      </c>
      <c r="D500" s="9">
        <v>70.2</v>
      </c>
      <c r="E500" s="8">
        <v>22.425277999999999</v>
      </c>
      <c r="F500" s="8">
        <v>16.983556</v>
      </c>
      <c r="G500" s="18">
        <v>20.888888999999999</v>
      </c>
      <c r="H500" s="240">
        <v>0</v>
      </c>
      <c r="I500" s="240">
        <v>0</v>
      </c>
      <c r="J500" s="240">
        <v>0</v>
      </c>
      <c r="K500" s="240">
        <v>0</v>
      </c>
      <c r="L500" s="240">
        <v>0</v>
      </c>
      <c r="M500" s="240">
        <v>0</v>
      </c>
      <c r="N500" s="240">
        <v>0</v>
      </c>
    </row>
    <row r="501" spans="1:14" x14ac:dyDescent="0.3">
      <c r="A501" s="135" t="s">
        <v>457</v>
      </c>
      <c r="B501" s="137" t="s">
        <v>413</v>
      </c>
      <c r="C501" s="137">
        <v>19</v>
      </c>
      <c r="D501" s="9">
        <v>70.2</v>
      </c>
      <c r="E501" s="8">
        <v>22.434999999999999</v>
      </c>
      <c r="F501" s="8">
        <v>17.793263</v>
      </c>
      <c r="G501" s="18">
        <v>21.5</v>
      </c>
      <c r="H501" s="240">
        <v>0</v>
      </c>
      <c r="I501" s="240">
        <v>0</v>
      </c>
      <c r="J501" s="240">
        <v>0</v>
      </c>
      <c r="K501" s="240">
        <v>0</v>
      </c>
      <c r="L501" s="240">
        <v>0</v>
      </c>
      <c r="M501" s="240">
        <v>0</v>
      </c>
      <c r="N501" s="240">
        <v>0</v>
      </c>
    </row>
    <row r="502" spans="1:14" x14ac:dyDescent="0.3">
      <c r="A502" s="135" t="s">
        <v>457</v>
      </c>
      <c r="B502" s="137" t="s">
        <v>413</v>
      </c>
      <c r="C502" s="137">
        <v>20</v>
      </c>
      <c r="D502" s="9">
        <v>70.2</v>
      </c>
      <c r="E502" s="8">
        <v>22.443750000000001</v>
      </c>
      <c r="F502" s="8">
        <v>18.521999999999998</v>
      </c>
      <c r="G502" s="18">
        <v>22.087499999999999</v>
      </c>
      <c r="H502" s="240">
        <v>0</v>
      </c>
      <c r="I502" s="240">
        <v>0</v>
      </c>
      <c r="J502" s="240">
        <v>0</v>
      </c>
      <c r="K502" s="240">
        <v>0</v>
      </c>
      <c r="L502" s="240">
        <v>0</v>
      </c>
      <c r="M502" s="240">
        <v>0</v>
      </c>
      <c r="N502" s="240">
        <v>0</v>
      </c>
    </row>
    <row r="503" spans="1:14" x14ac:dyDescent="0.3">
      <c r="A503" s="135" t="s">
        <v>457</v>
      </c>
      <c r="B503" s="137" t="s">
        <v>413</v>
      </c>
      <c r="C503" s="137">
        <v>21</v>
      </c>
      <c r="D503" s="9">
        <v>70.2</v>
      </c>
      <c r="E503" s="8">
        <v>22.451667</v>
      </c>
      <c r="F503" s="8">
        <v>19.181332999999999</v>
      </c>
      <c r="G503" s="18">
        <v>22.666667</v>
      </c>
      <c r="H503" s="240">
        <v>0</v>
      </c>
      <c r="I503" s="240">
        <v>0</v>
      </c>
      <c r="J503" s="240">
        <v>0</v>
      </c>
      <c r="K503" s="240">
        <v>0</v>
      </c>
      <c r="L503" s="240">
        <v>0</v>
      </c>
      <c r="M503" s="240">
        <v>0</v>
      </c>
      <c r="N503" s="240">
        <v>0</v>
      </c>
    </row>
    <row r="504" spans="1:14" x14ac:dyDescent="0.3">
      <c r="A504" s="135" t="s">
        <v>457</v>
      </c>
      <c r="B504" s="137" t="s">
        <v>413</v>
      </c>
      <c r="C504" s="137">
        <v>22</v>
      </c>
      <c r="D504" s="9">
        <v>70.2</v>
      </c>
      <c r="E504" s="8">
        <v>22.458863999999998</v>
      </c>
      <c r="F504" s="8">
        <v>19.780726999999999</v>
      </c>
      <c r="G504" s="18">
        <v>23.238636</v>
      </c>
      <c r="H504" s="240">
        <v>0</v>
      </c>
      <c r="I504" s="240">
        <v>0</v>
      </c>
      <c r="J504" s="240">
        <v>0</v>
      </c>
      <c r="K504" s="240">
        <v>0</v>
      </c>
      <c r="L504" s="240">
        <v>0</v>
      </c>
      <c r="M504" s="240">
        <v>0</v>
      </c>
      <c r="N504" s="240">
        <v>0</v>
      </c>
    </row>
    <row r="505" spans="1:14" x14ac:dyDescent="0.3">
      <c r="A505" s="135" t="s">
        <v>457</v>
      </c>
      <c r="B505" s="137" t="s">
        <v>413</v>
      </c>
      <c r="C505" s="137">
        <v>23</v>
      </c>
      <c r="D505" s="9">
        <v>70.2</v>
      </c>
      <c r="E505" s="8">
        <v>22.465434999999999</v>
      </c>
      <c r="F505" s="8">
        <v>20.327999999999999</v>
      </c>
      <c r="G505" s="18">
        <v>23.782609000000001</v>
      </c>
      <c r="H505" s="240">
        <v>0</v>
      </c>
      <c r="I505" s="240">
        <v>0</v>
      </c>
      <c r="J505" s="240">
        <v>0</v>
      </c>
      <c r="K505" s="240">
        <v>0</v>
      </c>
      <c r="L505" s="240">
        <v>0</v>
      </c>
      <c r="M505" s="240">
        <v>0</v>
      </c>
      <c r="N505" s="240">
        <v>0</v>
      </c>
    </row>
    <row r="506" spans="1:14" x14ac:dyDescent="0.3">
      <c r="A506" s="135" t="s">
        <v>457</v>
      </c>
      <c r="B506" s="137" t="s">
        <v>413</v>
      </c>
      <c r="C506" s="137">
        <v>24</v>
      </c>
      <c r="D506" s="9">
        <v>70.2</v>
      </c>
      <c r="E506" s="8">
        <v>22.471457999999998</v>
      </c>
      <c r="F506" s="8">
        <v>20.829667000000001</v>
      </c>
      <c r="G506" s="18">
        <v>24.322917</v>
      </c>
      <c r="H506" s="240">
        <v>0</v>
      </c>
      <c r="I506" s="240">
        <v>0</v>
      </c>
      <c r="J506" s="240">
        <v>0</v>
      </c>
      <c r="K506" s="240">
        <v>0</v>
      </c>
      <c r="L506" s="240">
        <v>0</v>
      </c>
      <c r="M506" s="240">
        <v>0</v>
      </c>
      <c r="N506" s="240">
        <v>0</v>
      </c>
    </row>
    <row r="507" spans="1:14" x14ac:dyDescent="0.3">
      <c r="A507" s="135" t="s">
        <v>457</v>
      </c>
      <c r="B507" s="137" t="s">
        <v>413</v>
      </c>
      <c r="C507" s="137">
        <v>25</v>
      </c>
      <c r="D507" s="9">
        <v>70.2</v>
      </c>
      <c r="E507" s="8">
        <v>22.477</v>
      </c>
      <c r="F507" s="8">
        <v>21.7</v>
      </c>
      <c r="G507" s="18">
        <v>24.92</v>
      </c>
      <c r="H507" s="240">
        <v>0</v>
      </c>
      <c r="I507" s="240">
        <v>0</v>
      </c>
      <c r="J507" s="240">
        <v>0</v>
      </c>
      <c r="K507" s="240">
        <v>0</v>
      </c>
      <c r="L507" s="240">
        <v>0</v>
      </c>
      <c r="M507" s="240">
        <v>0</v>
      </c>
      <c r="N507" s="240">
        <v>0</v>
      </c>
    </row>
    <row r="508" spans="1:14" x14ac:dyDescent="0.3">
      <c r="A508" s="135" t="s">
        <v>457</v>
      </c>
      <c r="B508" s="137" t="s">
        <v>413</v>
      </c>
      <c r="C508" s="137">
        <v>26</v>
      </c>
      <c r="D508" s="9">
        <v>70.2</v>
      </c>
      <c r="E508" s="8">
        <v>22.482115</v>
      </c>
      <c r="F508" s="8">
        <v>22.503385000000002</v>
      </c>
      <c r="G508" s="18">
        <v>25.490385</v>
      </c>
      <c r="H508" s="240">
        <v>0</v>
      </c>
      <c r="I508" s="240">
        <v>0</v>
      </c>
      <c r="J508" s="240">
        <v>0</v>
      </c>
      <c r="K508" s="240">
        <v>0</v>
      </c>
      <c r="L508" s="240">
        <v>0</v>
      </c>
      <c r="M508" s="240">
        <v>0</v>
      </c>
      <c r="N508" s="240">
        <v>0</v>
      </c>
    </row>
    <row r="509" spans="1:14" x14ac:dyDescent="0.3">
      <c r="A509" s="135" t="s">
        <v>457</v>
      </c>
      <c r="B509" s="137" t="s">
        <v>413</v>
      </c>
      <c r="C509" s="137">
        <v>27</v>
      </c>
      <c r="D509" s="9">
        <v>70.2</v>
      </c>
      <c r="E509" s="8">
        <v>22.486851999999999</v>
      </c>
      <c r="F509" s="8">
        <v>23.247259</v>
      </c>
      <c r="G509" s="18">
        <v>26.055555999999999</v>
      </c>
      <c r="H509" s="240">
        <v>0</v>
      </c>
      <c r="I509" s="240">
        <v>0</v>
      </c>
      <c r="J509" s="240">
        <v>0</v>
      </c>
      <c r="K509" s="240">
        <v>0</v>
      </c>
      <c r="L509" s="240">
        <v>0</v>
      </c>
      <c r="M509" s="240">
        <v>0</v>
      </c>
      <c r="N509" s="240">
        <v>0</v>
      </c>
    </row>
    <row r="510" spans="1:14" x14ac:dyDescent="0.3">
      <c r="A510" s="135" t="s">
        <v>457</v>
      </c>
      <c r="B510" s="137" t="s">
        <v>413</v>
      </c>
      <c r="C510" s="137">
        <v>28</v>
      </c>
      <c r="D510" s="9">
        <v>70.2</v>
      </c>
      <c r="E510" s="8">
        <v>22.491250000000001</v>
      </c>
      <c r="F510" s="8">
        <v>23.937999999999999</v>
      </c>
      <c r="G510" s="18">
        <v>26.607143000000001</v>
      </c>
      <c r="H510" s="240">
        <v>0</v>
      </c>
      <c r="I510" s="240">
        <v>0</v>
      </c>
      <c r="J510" s="240">
        <v>0</v>
      </c>
      <c r="K510" s="240">
        <v>0</v>
      </c>
      <c r="L510" s="240">
        <v>0</v>
      </c>
      <c r="M510" s="240">
        <v>0</v>
      </c>
      <c r="N510" s="240">
        <v>0</v>
      </c>
    </row>
    <row r="511" spans="1:14" x14ac:dyDescent="0.3">
      <c r="A511" s="135" t="s">
        <v>457</v>
      </c>
      <c r="B511" s="137" t="s">
        <v>413</v>
      </c>
      <c r="C511" s="137">
        <v>29</v>
      </c>
      <c r="D511" s="9">
        <v>70.2</v>
      </c>
      <c r="E511" s="8">
        <v>22.495345</v>
      </c>
      <c r="F511" s="8">
        <v>24.581102999999999</v>
      </c>
      <c r="G511" s="18">
        <v>27.155172</v>
      </c>
      <c r="H511" s="240">
        <v>0</v>
      </c>
      <c r="I511" s="240">
        <v>0</v>
      </c>
      <c r="J511" s="240">
        <v>0</v>
      </c>
      <c r="K511" s="240">
        <v>0</v>
      </c>
      <c r="L511" s="240">
        <v>0</v>
      </c>
      <c r="M511" s="240">
        <v>0</v>
      </c>
      <c r="N511" s="240">
        <v>0</v>
      </c>
    </row>
    <row r="512" spans="1:14" x14ac:dyDescent="0.3">
      <c r="A512" s="138" t="s">
        <v>457</v>
      </c>
      <c r="B512" s="137" t="s">
        <v>413</v>
      </c>
      <c r="C512" s="137">
        <v>30</v>
      </c>
      <c r="D512" s="9">
        <v>70.2</v>
      </c>
      <c r="E512" s="8">
        <v>22.499167</v>
      </c>
      <c r="F512" s="8">
        <v>25.181332999999999</v>
      </c>
      <c r="G512" s="18">
        <v>27.683333000000001</v>
      </c>
      <c r="H512" s="240">
        <v>0</v>
      </c>
      <c r="I512" s="240">
        <v>0</v>
      </c>
      <c r="J512" s="240">
        <v>0</v>
      </c>
      <c r="K512" s="240">
        <v>0</v>
      </c>
      <c r="L512" s="240">
        <v>0</v>
      </c>
      <c r="M512" s="240">
        <v>0</v>
      </c>
      <c r="N512" s="240">
        <v>0</v>
      </c>
    </row>
    <row r="513" spans="1:14" x14ac:dyDescent="0.3">
      <c r="A513" s="141" t="s">
        <v>457</v>
      </c>
      <c r="B513" s="136" t="s">
        <v>414</v>
      </c>
      <c r="C513" s="136">
        <v>1</v>
      </c>
      <c r="D513" s="9">
        <v>28.664999999999999</v>
      </c>
      <c r="E513" s="8">
        <v>2.9257200000000001</v>
      </c>
      <c r="F513" s="8">
        <v>0.41176800000000002</v>
      </c>
      <c r="G513" s="18">
        <v>9.5</v>
      </c>
      <c r="H513" s="240">
        <v>0</v>
      </c>
      <c r="I513" s="240">
        <v>0</v>
      </c>
      <c r="J513" s="240">
        <v>0</v>
      </c>
      <c r="K513" s="240">
        <v>0</v>
      </c>
      <c r="L513" s="240">
        <v>0</v>
      </c>
      <c r="M513" s="240">
        <v>0</v>
      </c>
      <c r="N513" s="240">
        <v>0</v>
      </c>
    </row>
    <row r="514" spans="1:14" x14ac:dyDescent="0.3">
      <c r="A514" s="135" t="s">
        <v>457</v>
      </c>
      <c r="B514" s="136" t="s">
        <v>414</v>
      </c>
      <c r="C514" s="137">
        <v>2</v>
      </c>
      <c r="D514" s="9">
        <v>29.767499999999998</v>
      </c>
      <c r="E514" s="8">
        <v>2.9257200000000001</v>
      </c>
      <c r="F514" s="8">
        <v>0.61358900000000005</v>
      </c>
      <c r="G514" s="18">
        <v>8.125</v>
      </c>
      <c r="H514" s="240">
        <v>0</v>
      </c>
      <c r="I514" s="240">
        <v>0</v>
      </c>
      <c r="J514" s="240">
        <v>0</v>
      </c>
      <c r="K514" s="240">
        <v>0</v>
      </c>
      <c r="L514" s="240">
        <v>0</v>
      </c>
      <c r="M514" s="240">
        <v>0</v>
      </c>
      <c r="N514" s="240">
        <v>0</v>
      </c>
    </row>
    <row r="515" spans="1:14" x14ac:dyDescent="0.3">
      <c r="A515" s="135" t="s">
        <v>457</v>
      </c>
      <c r="B515" s="137" t="s">
        <v>414</v>
      </c>
      <c r="C515" s="137">
        <v>3</v>
      </c>
      <c r="D515" s="9">
        <v>30.135000000000002</v>
      </c>
      <c r="E515" s="8">
        <v>2.9257200000000001</v>
      </c>
      <c r="F515" s="8">
        <v>0.842499</v>
      </c>
      <c r="G515" s="18">
        <v>8</v>
      </c>
      <c r="H515" s="240">
        <v>0</v>
      </c>
      <c r="I515" s="240">
        <v>0</v>
      </c>
      <c r="J515" s="240">
        <v>0</v>
      </c>
      <c r="K515" s="240">
        <v>0</v>
      </c>
      <c r="L515" s="240">
        <v>0</v>
      </c>
      <c r="M515" s="240">
        <v>0</v>
      </c>
      <c r="N515" s="240">
        <v>0</v>
      </c>
    </row>
    <row r="516" spans="1:14" x14ac:dyDescent="0.3">
      <c r="A516" s="135" t="s">
        <v>457</v>
      </c>
      <c r="B516" s="137" t="s">
        <v>414</v>
      </c>
      <c r="C516" s="137">
        <v>4</v>
      </c>
      <c r="D516" s="9">
        <v>30.318750000000001</v>
      </c>
      <c r="E516" s="8">
        <v>2.9257200000000001</v>
      </c>
      <c r="F516" s="8">
        <v>0.95695399999999997</v>
      </c>
      <c r="G516" s="18">
        <v>8.1875</v>
      </c>
      <c r="H516" s="240">
        <v>0</v>
      </c>
      <c r="I516" s="240">
        <v>0</v>
      </c>
      <c r="J516" s="240">
        <v>0</v>
      </c>
      <c r="K516" s="240">
        <v>0</v>
      </c>
      <c r="L516" s="240">
        <v>0</v>
      </c>
      <c r="M516" s="240">
        <v>0</v>
      </c>
      <c r="N516" s="240">
        <v>0</v>
      </c>
    </row>
    <row r="517" spans="1:14" x14ac:dyDescent="0.3">
      <c r="A517" s="135" t="s">
        <v>457</v>
      </c>
      <c r="B517" s="137" t="s">
        <v>414</v>
      </c>
      <c r="C517" s="137">
        <v>5</v>
      </c>
      <c r="D517" s="9">
        <v>30.428999999999998</v>
      </c>
      <c r="E517" s="8">
        <v>2.9257200000000001</v>
      </c>
      <c r="F517" s="8">
        <v>1.129653</v>
      </c>
      <c r="G517" s="18">
        <v>8.5</v>
      </c>
      <c r="H517" s="240">
        <v>0</v>
      </c>
      <c r="I517" s="240">
        <v>0</v>
      </c>
      <c r="J517" s="240">
        <v>0</v>
      </c>
      <c r="K517" s="240">
        <v>0</v>
      </c>
      <c r="L517" s="240">
        <v>0</v>
      </c>
      <c r="M517" s="240">
        <v>0</v>
      </c>
      <c r="N517" s="240">
        <v>0</v>
      </c>
    </row>
    <row r="518" spans="1:14" x14ac:dyDescent="0.3">
      <c r="A518" s="135" t="s">
        <v>457</v>
      </c>
      <c r="B518" s="137" t="s">
        <v>414</v>
      </c>
      <c r="C518" s="137">
        <v>6</v>
      </c>
      <c r="D518" s="9">
        <v>30.502500000000001</v>
      </c>
      <c r="E518" s="8">
        <v>2.9257200000000001</v>
      </c>
      <c r="F518" s="8">
        <v>1.2624439999999999</v>
      </c>
      <c r="G518" s="18">
        <v>8.8333329999999997</v>
      </c>
      <c r="H518" s="240">
        <v>0</v>
      </c>
      <c r="I518" s="240">
        <v>0</v>
      </c>
      <c r="J518" s="240">
        <v>0</v>
      </c>
      <c r="K518" s="240">
        <v>0</v>
      </c>
      <c r="L518" s="240">
        <v>0</v>
      </c>
      <c r="M518" s="240">
        <v>0</v>
      </c>
      <c r="N518" s="240">
        <v>0</v>
      </c>
    </row>
    <row r="519" spans="1:14" x14ac:dyDescent="0.3">
      <c r="A519" s="135" t="s">
        <v>457</v>
      </c>
      <c r="B519" s="137" t="s">
        <v>414</v>
      </c>
      <c r="C519" s="137">
        <v>7</v>
      </c>
      <c r="D519" s="9">
        <v>30.555</v>
      </c>
      <c r="E519" s="8">
        <v>2.9257200000000001</v>
      </c>
      <c r="F519" s="8">
        <v>1.3572949999999999</v>
      </c>
      <c r="G519" s="18">
        <v>9.1785709999999998</v>
      </c>
      <c r="H519" s="240">
        <v>0</v>
      </c>
      <c r="I519" s="240">
        <v>0</v>
      </c>
      <c r="J519" s="240">
        <v>0</v>
      </c>
      <c r="K519" s="240">
        <v>0</v>
      </c>
      <c r="L519" s="240">
        <v>0</v>
      </c>
      <c r="M519" s="240">
        <v>0</v>
      </c>
      <c r="N519" s="240">
        <v>0</v>
      </c>
    </row>
    <row r="520" spans="1:14" x14ac:dyDescent="0.3">
      <c r="A520" s="135" t="s">
        <v>457</v>
      </c>
      <c r="B520" s="137" t="s">
        <v>414</v>
      </c>
      <c r="C520" s="137">
        <v>8</v>
      </c>
      <c r="D520" s="9">
        <v>30.594374999999999</v>
      </c>
      <c r="E520" s="8">
        <v>2.9257200000000001</v>
      </c>
      <c r="F520" s="8">
        <v>1.545221</v>
      </c>
      <c r="G520" s="18">
        <v>9.53125</v>
      </c>
      <c r="H520" s="240">
        <v>0</v>
      </c>
      <c r="I520" s="240">
        <v>0</v>
      </c>
      <c r="J520" s="240">
        <v>0</v>
      </c>
      <c r="K520" s="240">
        <v>0</v>
      </c>
      <c r="L520" s="240">
        <v>0</v>
      </c>
      <c r="M520" s="240">
        <v>0</v>
      </c>
      <c r="N520" s="240">
        <v>0</v>
      </c>
    </row>
    <row r="521" spans="1:14" x14ac:dyDescent="0.3">
      <c r="A521" s="135" t="s">
        <v>457</v>
      </c>
      <c r="B521" s="137" t="s">
        <v>414</v>
      </c>
      <c r="C521" s="137">
        <v>9</v>
      </c>
      <c r="D521" s="9">
        <v>30.625</v>
      </c>
      <c r="E521" s="8">
        <v>2.9257200000000001</v>
      </c>
      <c r="F521" s="8">
        <v>1.6913860000000001</v>
      </c>
      <c r="G521" s="18">
        <v>9.8888890000000007</v>
      </c>
      <c r="H521" s="240">
        <v>0</v>
      </c>
      <c r="I521" s="240">
        <v>0</v>
      </c>
      <c r="J521" s="240">
        <v>0</v>
      </c>
      <c r="K521" s="240">
        <v>0</v>
      </c>
      <c r="L521" s="240">
        <v>0</v>
      </c>
      <c r="M521" s="240">
        <v>0</v>
      </c>
      <c r="N521" s="240">
        <v>0</v>
      </c>
    </row>
    <row r="522" spans="1:14" x14ac:dyDescent="0.3">
      <c r="A522" s="135" t="s">
        <v>457</v>
      </c>
      <c r="B522" s="137" t="s">
        <v>414</v>
      </c>
      <c r="C522" s="137">
        <v>10</v>
      </c>
      <c r="D522" s="9">
        <v>30.6495</v>
      </c>
      <c r="E522" s="8">
        <v>2.9257200000000001</v>
      </c>
      <c r="F522" s="8">
        <v>1.8232470000000001</v>
      </c>
      <c r="G522" s="18">
        <v>10.225</v>
      </c>
      <c r="H522" s="240">
        <v>0</v>
      </c>
      <c r="I522" s="240">
        <v>0</v>
      </c>
      <c r="J522" s="240">
        <v>0</v>
      </c>
      <c r="K522" s="240">
        <v>0</v>
      </c>
      <c r="L522" s="240">
        <v>0</v>
      </c>
      <c r="M522" s="240">
        <v>0</v>
      </c>
      <c r="N522" s="240">
        <v>0</v>
      </c>
    </row>
    <row r="523" spans="1:14" x14ac:dyDescent="0.3">
      <c r="A523" s="135" t="s">
        <v>457</v>
      </c>
      <c r="B523" s="137" t="s">
        <v>414</v>
      </c>
      <c r="C523" s="137">
        <v>11</v>
      </c>
      <c r="D523" s="9">
        <v>30.669544999999999</v>
      </c>
      <c r="E523" s="8">
        <v>2.9257200000000001</v>
      </c>
      <c r="F523" s="8">
        <v>1.9311339999999999</v>
      </c>
      <c r="G523" s="18">
        <v>10.568182</v>
      </c>
      <c r="H523" s="240">
        <v>0</v>
      </c>
      <c r="I523" s="240">
        <v>0</v>
      </c>
      <c r="J523" s="240">
        <v>0</v>
      </c>
      <c r="K523" s="240">
        <v>0</v>
      </c>
      <c r="L523" s="240">
        <v>0</v>
      </c>
      <c r="M523" s="240">
        <v>0</v>
      </c>
      <c r="N523" s="240">
        <v>0</v>
      </c>
    </row>
    <row r="524" spans="1:14" x14ac:dyDescent="0.3">
      <c r="A524" s="135" t="s">
        <v>457</v>
      </c>
      <c r="B524" s="137" t="s">
        <v>414</v>
      </c>
      <c r="C524" s="137">
        <v>12</v>
      </c>
      <c r="D524" s="9">
        <v>30.686250000000001</v>
      </c>
      <c r="E524" s="8">
        <v>2.9257200000000001</v>
      </c>
      <c r="F524" s="8">
        <v>2.0952860000000002</v>
      </c>
      <c r="G524" s="18">
        <v>10.895833</v>
      </c>
      <c r="H524" s="240">
        <v>0</v>
      </c>
      <c r="I524" s="240">
        <v>0</v>
      </c>
      <c r="J524" s="240">
        <v>0</v>
      </c>
      <c r="K524" s="240">
        <v>0</v>
      </c>
      <c r="L524" s="240">
        <v>0</v>
      </c>
      <c r="M524" s="240">
        <v>0</v>
      </c>
      <c r="N524" s="240">
        <v>0</v>
      </c>
    </row>
    <row r="525" spans="1:14" x14ac:dyDescent="0.3">
      <c r="A525" s="135" t="s">
        <v>457</v>
      </c>
      <c r="B525" s="137" t="s">
        <v>414</v>
      </c>
      <c r="C525" s="137">
        <v>13</v>
      </c>
      <c r="D525" s="9">
        <v>30.700385000000001</v>
      </c>
      <c r="E525" s="8">
        <v>2.9257200000000001</v>
      </c>
      <c r="F525" s="8">
        <v>2.2341839999999999</v>
      </c>
      <c r="G525" s="18">
        <v>11.230769</v>
      </c>
      <c r="H525" s="240">
        <v>0</v>
      </c>
      <c r="I525" s="240">
        <v>0</v>
      </c>
      <c r="J525" s="240">
        <v>0</v>
      </c>
      <c r="K525" s="240">
        <v>0</v>
      </c>
      <c r="L525" s="240">
        <v>0</v>
      </c>
      <c r="M525" s="240">
        <v>0</v>
      </c>
      <c r="N525" s="240">
        <v>0</v>
      </c>
    </row>
    <row r="526" spans="1:14" x14ac:dyDescent="0.3">
      <c r="A526" s="135" t="s">
        <v>457</v>
      </c>
      <c r="B526" s="137" t="s">
        <v>414</v>
      </c>
      <c r="C526" s="137">
        <v>14</v>
      </c>
      <c r="D526" s="9">
        <v>30.712499999999999</v>
      </c>
      <c r="E526" s="8">
        <v>2.9257200000000001</v>
      </c>
      <c r="F526" s="8">
        <v>2.3841999999999999</v>
      </c>
      <c r="G526" s="18">
        <v>11.535714</v>
      </c>
      <c r="H526" s="240">
        <v>0</v>
      </c>
      <c r="I526" s="240">
        <v>0</v>
      </c>
      <c r="J526" s="240">
        <v>0</v>
      </c>
      <c r="K526" s="240">
        <v>0</v>
      </c>
      <c r="L526" s="240">
        <v>0</v>
      </c>
      <c r="M526" s="240">
        <v>0</v>
      </c>
      <c r="N526" s="240">
        <v>0</v>
      </c>
    </row>
    <row r="527" spans="1:14" x14ac:dyDescent="0.3">
      <c r="A527" s="135" t="s">
        <v>457</v>
      </c>
      <c r="B527" s="137" t="s">
        <v>414</v>
      </c>
      <c r="C527" s="137">
        <v>15</v>
      </c>
      <c r="D527" s="9">
        <v>30.722999999999999</v>
      </c>
      <c r="E527" s="8">
        <v>2.9257200000000001</v>
      </c>
      <c r="F527" s="8">
        <v>2.5142129999999998</v>
      </c>
      <c r="G527" s="18">
        <v>11.866667</v>
      </c>
      <c r="H527" s="240">
        <v>0</v>
      </c>
      <c r="I527" s="240">
        <v>0</v>
      </c>
      <c r="J527" s="240">
        <v>0</v>
      </c>
      <c r="K527" s="240">
        <v>0</v>
      </c>
      <c r="L527" s="240">
        <v>0</v>
      </c>
      <c r="M527" s="240">
        <v>0</v>
      </c>
      <c r="N527" s="240">
        <v>0</v>
      </c>
    </row>
    <row r="528" spans="1:14" x14ac:dyDescent="0.3">
      <c r="A528" s="135" t="s">
        <v>457</v>
      </c>
      <c r="B528" s="137" t="s">
        <v>414</v>
      </c>
      <c r="C528" s="137">
        <v>16</v>
      </c>
      <c r="D528" s="9">
        <v>30.732187</v>
      </c>
      <c r="E528" s="8">
        <v>2.9257200000000001</v>
      </c>
      <c r="F528" s="8">
        <v>2.6279750000000002</v>
      </c>
      <c r="G528" s="18">
        <v>12.171875</v>
      </c>
      <c r="H528" s="240">
        <v>0</v>
      </c>
      <c r="I528" s="240">
        <v>0</v>
      </c>
      <c r="J528" s="240">
        <v>0</v>
      </c>
      <c r="K528" s="240">
        <v>0</v>
      </c>
      <c r="L528" s="240">
        <v>0</v>
      </c>
      <c r="M528" s="240">
        <v>0</v>
      </c>
      <c r="N528" s="240">
        <v>0</v>
      </c>
    </row>
    <row r="529" spans="1:14" x14ac:dyDescent="0.3">
      <c r="A529" s="135" t="s">
        <v>457</v>
      </c>
      <c r="B529" s="137" t="s">
        <v>414</v>
      </c>
      <c r="C529" s="137">
        <v>17</v>
      </c>
      <c r="D529" s="9">
        <v>30.740293999999999</v>
      </c>
      <c r="E529" s="8">
        <v>2.9257200000000001</v>
      </c>
      <c r="F529" s="8">
        <v>2.7283529999999998</v>
      </c>
      <c r="G529" s="18">
        <v>12.470587999999999</v>
      </c>
      <c r="H529" s="240">
        <v>0</v>
      </c>
      <c r="I529" s="240">
        <v>0</v>
      </c>
      <c r="J529" s="240">
        <v>0</v>
      </c>
      <c r="K529" s="240">
        <v>0</v>
      </c>
      <c r="L529" s="240">
        <v>0</v>
      </c>
      <c r="M529" s="240">
        <v>0</v>
      </c>
      <c r="N529" s="240">
        <v>0</v>
      </c>
    </row>
    <row r="530" spans="1:14" x14ac:dyDescent="0.3">
      <c r="A530" s="135" t="s">
        <v>457</v>
      </c>
      <c r="B530" s="137" t="s">
        <v>414</v>
      </c>
      <c r="C530" s="137">
        <v>18</v>
      </c>
      <c r="D530" s="9">
        <v>30.747499999999999</v>
      </c>
      <c r="E530" s="8">
        <v>2.9257200000000001</v>
      </c>
      <c r="F530" s="8">
        <v>2.8946329999999998</v>
      </c>
      <c r="G530" s="18">
        <v>12.763889000000001</v>
      </c>
      <c r="H530" s="240">
        <v>0</v>
      </c>
      <c r="I530" s="240">
        <v>0</v>
      </c>
      <c r="J530" s="240">
        <v>0</v>
      </c>
      <c r="K530" s="240">
        <v>0</v>
      </c>
      <c r="L530" s="240">
        <v>0</v>
      </c>
      <c r="M530" s="240">
        <v>0</v>
      </c>
      <c r="N530" s="240">
        <v>0</v>
      </c>
    </row>
    <row r="531" spans="1:14" x14ac:dyDescent="0.3">
      <c r="A531" s="135" t="s">
        <v>457</v>
      </c>
      <c r="B531" s="137" t="s">
        <v>414</v>
      </c>
      <c r="C531" s="137">
        <v>19</v>
      </c>
      <c r="D531" s="9">
        <v>30.753947</v>
      </c>
      <c r="E531" s="8">
        <v>2.9257200000000001</v>
      </c>
      <c r="F531" s="8">
        <v>3.0434109999999999</v>
      </c>
      <c r="G531" s="18">
        <v>13.065789000000001</v>
      </c>
      <c r="H531" s="240">
        <v>0</v>
      </c>
      <c r="I531" s="240">
        <v>0</v>
      </c>
      <c r="J531" s="240">
        <v>0</v>
      </c>
      <c r="K531" s="240">
        <v>0</v>
      </c>
      <c r="L531" s="240">
        <v>0</v>
      </c>
      <c r="M531" s="240">
        <v>0</v>
      </c>
      <c r="N531" s="240">
        <v>0</v>
      </c>
    </row>
    <row r="532" spans="1:14" x14ac:dyDescent="0.3">
      <c r="A532" s="135" t="s">
        <v>457</v>
      </c>
      <c r="B532" s="137" t="s">
        <v>414</v>
      </c>
      <c r="C532" s="137">
        <v>20</v>
      </c>
      <c r="D532" s="9">
        <v>30.993052656940602</v>
      </c>
      <c r="E532" s="8">
        <v>2.9257200000000001</v>
      </c>
      <c r="F532" s="8">
        <v>3.1135999999999999</v>
      </c>
      <c r="G532" s="18">
        <v>13.808299999999999</v>
      </c>
      <c r="H532" s="240">
        <v>0</v>
      </c>
      <c r="I532" s="240">
        <v>0</v>
      </c>
      <c r="J532" s="240">
        <v>0</v>
      </c>
      <c r="K532" s="240">
        <v>0</v>
      </c>
      <c r="L532" s="240">
        <v>0</v>
      </c>
      <c r="M532" s="240">
        <v>0</v>
      </c>
      <c r="N532" s="240">
        <v>0</v>
      </c>
    </row>
    <row r="533" spans="1:14" x14ac:dyDescent="0.3">
      <c r="A533" s="135" t="s">
        <v>457</v>
      </c>
      <c r="B533" s="137" t="s">
        <v>414</v>
      </c>
      <c r="C533" s="137">
        <v>21</v>
      </c>
      <c r="D533" s="9">
        <v>31.021645588978252</v>
      </c>
      <c r="E533" s="8">
        <v>2.9257200000000001</v>
      </c>
      <c r="F533" s="8">
        <v>3.2307999999999999</v>
      </c>
      <c r="G533" s="18">
        <v>14.284099999999999</v>
      </c>
      <c r="H533" s="240">
        <v>0</v>
      </c>
      <c r="I533" s="240">
        <v>0</v>
      </c>
      <c r="J533" s="240">
        <v>0</v>
      </c>
      <c r="K533" s="240">
        <v>0</v>
      </c>
      <c r="L533" s="240">
        <v>0</v>
      </c>
      <c r="M533" s="240">
        <v>0</v>
      </c>
      <c r="N533" s="240">
        <v>0</v>
      </c>
    </row>
    <row r="534" spans="1:14" x14ac:dyDescent="0.3">
      <c r="A534" s="135" t="s">
        <v>457</v>
      </c>
      <c r="B534" s="137" t="s">
        <v>414</v>
      </c>
      <c r="C534" s="137">
        <v>22</v>
      </c>
      <c r="D534" s="9">
        <v>31.048932691591556</v>
      </c>
      <c r="E534" s="8">
        <v>2.9257200000000001</v>
      </c>
      <c r="F534" s="8">
        <v>3.3457999999999997</v>
      </c>
      <c r="G534" s="18">
        <v>14.7783</v>
      </c>
      <c r="H534" s="240">
        <v>0</v>
      </c>
      <c r="I534" s="240">
        <v>0</v>
      </c>
      <c r="J534" s="240">
        <v>0</v>
      </c>
      <c r="K534" s="240">
        <v>0</v>
      </c>
      <c r="L534" s="240">
        <v>0</v>
      </c>
      <c r="M534" s="240">
        <v>0</v>
      </c>
      <c r="N534" s="240">
        <v>0</v>
      </c>
    </row>
    <row r="535" spans="1:14" x14ac:dyDescent="0.3">
      <c r="A535" s="135" t="s">
        <v>457</v>
      </c>
      <c r="B535" s="137" t="s">
        <v>414</v>
      </c>
      <c r="C535" s="137">
        <v>23</v>
      </c>
      <c r="D535" s="9">
        <v>31.075029050251153</v>
      </c>
      <c r="E535" s="8">
        <v>2.9257200000000001</v>
      </c>
      <c r="F535" s="8">
        <v>3.4585999999999997</v>
      </c>
      <c r="G535" s="18">
        <v>15.290899999999999</v>
      </c>
      <c r="H535" s="240">
        <v>0</v>
      </c>
      <c r="I535" s="240">
        <v>0</v>
      </c>
      <c r="J535" s="240">
        <v>0</v>
      </c>
      <c r="K535" s="240">
        <v>0</v>
      </c>
      <c r="L535" s="240">
        <v>0</v>
      </c>
      <c r="M535" s="240">
        <v>0</v>
      </c>
      <c r="N535" s="240">
        <v>0</v>
      </c>
    </row>
    <row r="536" spans="1:14" x14ac:dyDescent="0.3">
      <c r="A536" s="135" t="s">
        <v>457</v>
      </c>
      <c r="B536" s="137" t="s">
        <v>414</v>
      </c>
      <c r="C536" s="137">
        <v>24</v>
      </c>
      <c r="D536" s="9">
        <v>31.100035135768042</v>
      </c>
      <c r="E536" s="8">
        <v>2.9257200000000001</v>
      </c>
      <c r="F536" s="8">
        <v>3.5691999999999999</v>
      </c>
      <c r="G536" s="18">
        <v>15.821899999999999</v>
      </c>
      <c r="H536" s="240">
        <v>0</v>
      </c>
      <c r="I536" s="240">
        <v>0</v>
      </c>
      <c r="J536" s="240">
        <v>0</v>
      </c>
      <c r="K536" s="240">
        <v>0</v>
      </c>
      <c r="L536" s="240">
        <v>0</v>
      </c>
      <c r="M536" s="240">
        <v>0</v>
      </c>
      <c r="N536" s="240">
        <v>0</v>
      </c>
    </row>
    <row r="537" spans="1:14" x14ac:dyDescent="0.3">
      <c r="A537" s="135" t="s">
        <v>457</v>
      </c>
      <c r="B537" s="137" t="s">
        <v>414</v>
      </c>
      <c r="C537" s="137">
        <v>25</v>
      </c>
      <c r="D537" s="9">
        <v>31.124039181834071</v>
      </c>
      <c r="E537" s="8">
        <v>2.9257200000000001</v>
      </c>
      <c r="F537" s="8">
        <v>3.6776</v>
      </c>
      <c r="G537" s="18">
        <v>16.371299999999998</v>
      </c>
      <c r="H537" s="240">
        <v>0</v>
      </c>
      <c r="I537" s="240">
        <v>0</v>
      </c>
      <c r="J537" s="240">
        <v>0</v>
      </c>
      <c r="K537" s="240">
        <v>0</v>
      </c>
      <c r="L537" s="240">
        <v>0</v>
      </c>
      <c r="M537" s="240">
        <v>0</v>
      </c>
      <c r="N537" s="240">
        <v>0</v>
      </c>
    </row>
    <row r="538" spans="1:14" x14ac:dyDescent="0.3">
      <c r="A538" s="135" t="s">
        <v>457</v>
      </c>
      <c r="B538" s="137" t="s">
        <v>414</v>
      </c>
      <c r="C538" s="137">
        <v>26</v>
      </c>
      <c r="D538" s="9">
        <v>31.147119097563095</v>
      </c>
      <c r="E538" s="8">
        <v>2.9257200000000001</v>
      </c>
      <c r="F538" s="8">
        <v>3.7838000000000003</v>
      </c>
      <c r="G538" s="18">
        <v>16.9391</v>
      </c>
      <c r="H538" s="240">
        <v>0</v>
      </c>
      <c r="I538" s="240">
        <v>0</v>
      </c>
      <c r="J538" s="240">
        <v>0</v>
      </c>
      <c r="K538" s="240">
        <v>0</v>
      </c>
      <c r="L538" s="240">
        <v>0</v>
      </c>
      <c r="M538" s="240">
        <v>0</v>
      </c>
      <c r="N538" s="240">
        <v>0</v>
      </c>
    </row>
    <row r="539" spans="1:14" x14ac:dyDescent="0.3">
      <c r="A539" s="135" t="s">
        <v>457</v>
      </c>
      <c r="B539" s="137" t="s">
        <v>414</v>
      </c>
      <c r="C539" s="137">
        <v>27</v>
      </c>
      <c r="D539" s="9">
        <v>31.169344020122473</v>
      </c>
      <c r="E539" s="8">
        <v>2.9257200000000001</v>
      </c>
      <c r="F539" s="8">
        <v>3.8878000000000004</v>
      </c>
      <c r="G539" s="18">
        <v>17.525300000000001</v>
      </c>
      <c r="H539" s="240">
        <v>0</v>
      </c>
      <c r="I539" s="240">
        <v>0</v>
      </c>
      <c r="J539" s="240">
        <v>0</v>
      </c>
      <c r="K539" s="240">
        <v>0</v>
      </c>
      <c r="L539" s="240">
        <v>0</v>
      </c>
      <c r="M539" s="240">
        <v>0</v>
      </c>
      <c r="N539" s="240">
        <v>0</v>
      </c>
    </row>
    <row r="540" spans="1:14" x14ac:dyDescent="0.3">
      <c r="A540" s="135" t="s">
        <v>457</v>
      </c>
      <c r="B540" s="137" t="s">
        <v>414</v>
      </c>
      <c r="C540" s="137">
        <v>28</v>
      </c>
      <c r="D540" s="9">
        <v>31.190775585829368</v>
      </c>
      <c r="E540" s="8">
        <v>2.9257200000000001</v>
      </c>
      <c r="F540" s="8">
        <v>3.9895999999999994</v>
      </c>
      <c r="G540" s="18">
        <v>18.129899999999999</v>
      </c>
      <c r="H540" s="240">
        <v>0</v>
      </c>
      <c r="I540" s="240">
        <v>0</v>
      </c>
      <c r="J540" s="240">
        <v>0</v>
      </c>
      <c r="K540" s="240">
        <v>0</v>
      </c>
      <c r="L540" s="240">
        <v>0</v>
      </c>
      <c r="M540" s="240">
        <v>0</v>
      </c>
      <c r="N540" s="240">
        <v>0</v>
      </c>
    </row>
    <row r="541" spans="1:14" x14ac:dyDescent="0.3">
      <c r="A541" s="135" t="s">
        <v>457</v>
      </c>
      <c r="B541" s="137" t="s">
        <v>414</v>
      </c>
      <c r="C541" s="137">
        <v>29</v>
      </c>
      <c r="D541" s="9">
        <v>31.211468978863913</v>
      </c>
      <c r="E541" s="8">
        <v>2.9257200000000001</v>
      </c>
      <c r="F541" s="8">
        <v>4.0891999999999999</v>
      </c>
      <c r="G541" s="18">
        <v>18.752899999999997</v>
      </c>
      <c r="H541" s="240">
        <v>0</v>
      </c>
      <c r="I541" s="240">
        <v>0</v>
      </c>
      <c r="J541" s="240">
        <v>0</v>
      </c>
      <c r="K541" s="240">
        <v>0</v>
      </c>
      <c r="L541" s="240">
        <v>0</v>
      </c>
      <c r="M541" s="240">
        <v>0</v>
      </c>
      <c r="N541" s="240">
        <v>0</v>
      </c>
    </row>
    <row r="542" spans="1:14" x14ac:dyDescent="0.3">
      <c r="A542" s="138" t="s">
        <v>457</v>
      </c>
      <c r="B542" s="137" t="s">
        <v>414</v>
      </c>
      <c r="C542" s="137">
        <v>30</v>
      </c>
      <c r="D542" s="9">
        <v>31.231473802736101</v>
      </c>
      <c r="E542" s="8">
        <v>2.9257200000000001</v>
      </c>
      <c r="F542" s="8">
        <v>4.1865999999999994</v>
      </c>
      <c r="G542" s="18">
        <v>19.394300000000001</v>
      </c>
      <c r="H542" s="240">
        <v>0</v>
      </c>
      <c r="I542" s="240">
        <v>0</v>
      </c>
      <c r="J542" s="240">
        <v>0</v>
      </c>
      <c r="K542" s="240">
        <v>0</v>
      </c>
      <c r="L542" s="240">
        <v>0</v>
      </c>
      <c r="M542" s="240">
        <v>0</v>
      </c>
      <c r="N542" s="240">
        <v>0</v>
      </c>
    </row>
    <row r="543" spans="1:14" x14ac:dyDescent="0.3">
      <c r="A543" s="141" t="s">
        <v>457</v>
      </c>
      <c r="B543" s="136" t="s">
        <v>415</v>
      </c>
      <c r="C543" s="136">
        <v>1</v>
      </c>
      <c r="D543" s="9">
        <v>28.664999999999999</v>
      </c>
      <c r="E543" s="8">
        <v>0</v>
      </c>
      <c r="F543" s="8">
        <v>3.7044000000000001</v>
      </c>
      <c r="G543" s="18">
        <v>4.25</v>
      </c>
      <c r="H543" s="240">
        <v>0</v>
      </c>
      <c r="I543" s="240">
        <v>0</v>
      </c>
      <c r="J543" s="240">
        <v>0</v>
      </c>
      <c r="K543" s="240">
        <v>0</v>
      </c>
      <c r="L543" s="240">
        <v>0</v>
      </c>
      <c r="M543" s="240">
        <v>0</v>
      </c>
      <c r="N543" s="240">
        <v>0</v>
      </c>
    </row>
    <row r="544" spans="1:14" x14ac:dyDescent="0.3">
      <c r="A544" s="135" t="s">
        <v>457</v>
      </c>
      <c r="B544" s="136" t="s">
        <v>415</v>
      </c>
      <c r="C544" s="137">
        <v>2</v>
      </c>
      <c r="D544" s="9">
        <v>29.767499999999998</v>
      </c>
      <c r="E544" s="8">
        <v>0</v>
      </c>
      <c r="F544" s="8">
        <v>4.6304999999999996</v>
      </c>
      <c r="G544" s="18">
        <v>3.5</v>
      </c>
      <c r="H544" s="240">
        <v>0</v>
      </c>
      <c r="I544" s="240">
        <v>0</v>
      </c>
      <c r="J544" s="240">
        <v>0</v>
      </c>
      <c r="K544" s="240">
        <v>0</v>
      </c>
      <c r="L544" s="240">
        <v>0</v>
      </c>
      <c r="M544" s="240">
        <v>0</v>
      </c>
      <c r="N544" s="240">
        <v>0</v>
      </c>
    </row>
    <row r="545" spans="1:14" x14ac:dyDescent="0.3">
      <c r="A545" s="135" t="s">
        <v>457</v>
      </c>
      <c r="B545" s="137" t="s">
        <v>415</v>
      </c>
      <c r="C545" s="137">
        <v>3</v>
      </c>
      <c r="D545" s="9">
        <v>30.135000000000002</v>
      </c>
      <c r="E545" s="8">
        <v>0</v>
      </c>
      <c r="F545" s="8">
        <v>5.1449999999999996</v>
      </c>
      <c r="G545" s="18">
        <v>3.5</v>
      </c>
      <c r="H545" s="240">
        <v>0</v>
      </c>
      <c r="I545" s="240">
        <v>0</v>
      </c>
      <c r="J545" s="240">
        <v>0</v>
      </c>
      <c r="K545" s="240">
        <v>0</v>
      </c>
      <c r="L545" s="240">
        <v>0</v>
      </c>
      <c r="M545" s="240">
        <v>0</v>
      </c>
      <c r="N545" s="240">
        <v>0</v>
      </c>
    </row>
    <row r="546" spans="1:14" x14ac:dyDescent="0.3">
      <c r="A546" s="135" t="s">
        <v>457</v>
      </c>
      <c r="B546" s="137" t="s">
        <v>415</v>
      </c>
      <c r="C546" s="137">
        <v>4</v>
      </c>
      <c r="D546" s="9">
        <v>30.318750000000001</v>
      </c>
      <c r="E546" s="8">
        <v>0</v>
      </c>
      <c r="F546" s="8">
        <v>5.5566000000000004</v>
      </c>
      <c r="G546" s="18">
        <v>3.625</v>
      </c>
      <c r="H546" s="240">
        <v>0</v>
      </c>
      <c r="I546" s="240">
        <v>0</v>
      </c>
      <c r="J546" s="240">
        <v>0</v>
      </c>
      <c r="K546" s="240">
        <v>0</v>
      </c>
      <c r="L546" s="240">
        <v>0</v>
      </c>
      <c r="M546" s="240">
        <v>0</v>
      </c>
      <c r="N546" s="240">
        <v>0</v>
      </c>
    </row>
    <row r="547" spans="1:14" x14ac:dyDescent="0.3">
      <c r="A547" s="135" t="s">
        <v>457</v>
      </c>
      <c r="B547" s="137" t="s">
        <v>415</v>
      </c>
      <c r="C547" s="137">
        <v>5</v>
      </c>
      <c r="D547" s="9">
        <v>30.428999999999998</v>
      </c>
      <c r="E547" s="8">
        <v>0</v>
      </c>
      <c r="F547" s="8">
        <v>5.9270399999999999</v>
      </c>
      <c r="G547" s="18">
        <v>3.75</v>
      </c>
      <c r="H547" s="240">
        <v>0</v>
      </c>
      <c r="I547" s="240">
        <v>0</v>
      </c>
      <c r="J547" s="240">
        <v>0</v>
      </c>
      <c r="K547" s="240">
        <v>0</v>
      </c>
      <c r="L547" s="240">
        <v>0</v>
      </c>
      <c r="M547" s="240">
        <v>0</v>
      </c>
      <c r="N547" s="240">
        <v>0</v>
      </c>
    </row>
    <row r="548" spans="1:14" x14ac:dyDescent="0.3">
      <c r="A548" s="135" t="s">
        <v>457</v>
      </c>
      <c r="B548" s="137" t="s">
        <v>415</v>
      </c>
      <c r="C548" s="137">
        <v>6</v>
      </c>
      <c r="D548" s="9">
        <v>30.502500000000001</v>
      </c>
      <c r="E548" s="8">
        <v>0</v>
      </c>
      <c r="F548" s="8">
        <v>6.1740000000000004</v>
      </c>
      <c r="G548" s="18">
        <v>3.9166669999999999</v>
      </c>
      <c r="H548" s="240">
        <v>0</v>
      </c>
      <c r="I548" s="240">
        <v>0</v>
      </c>
      <c r="J548" s="240">
        <v>0</v>
      </c>
      <c r="K548" s="240">
        <v>0</v>
      </c>
      <c r="L548" s="240">
        <v>0</v>
      </c>
      <c r="M548" s="240">
        <v>0</v>
      </c>
      <c r="N548" s="240">
        <v>0</v>
      </c>
    </row>
    <row r="549" spans="1:14" x14ac:dyDescent="0.3">
      <c r="A549" s="135" t="s">
        <v>457</v>
      </c>
      <c r="B549" s="137" t="s">
        <v>415</v>
      </c>
      <c r="C549" s="137">
        <v>7</v>
      </c>
      <c r="D549" s="9">
        <v>30.555</v>
      </c>
      <c r="E549" s="8">
        <v>0</v>
      </c>
      <c r="F549" s="8">
        <v>6.5267999999999997</v>
      </c>
      <c r="G549" s="18">
        <v>4.0714290000000002</v>
      </c>
      <c r="H549" s="240">
        <v>0</v>
      </c>
      <c r="I549" s="240">
        <v>0</v>
      </c>
      <c r="J549" s="240">
        <v>0</v>
      </c>
      <c r="K549" s="240">
        <v>0</v>
      </c>
      <c r="L549" s="240">
        <v>0</v>
      </c>
      <c r="M549" s="240">
        <v>0</v>
      </c>
      <c r="N549" s="240">
        <v>0</v>
      </c>
    </row>
    <row r="550" spans="1:14" x14ac:dyDescent="0.3">
      <c r="A550" s="135" t="s">
        <v>457</v>
      </c>
      <c r="B550" s="137" t="s">
        <v>415</v>
      </c>
      <c r="C550" s="137">
        <v>8</v>
      </c>
      <c r="D550" s="9">
        <v>30.594374999999999</v>
      </c>
      <c r="E550" s="8">
        <v>0</v>
      </c>
      <c r="F550" s="8">
        <v>6.7914000000000003</v>
      </c>
      <c r="G550" s="18">
        <v>4.25</v>
      </c>
      <c r="H550" s="240">
        <v>0</v>
      </c>
      <c r="I550" s="240">
        <v>0</v>
      </c>
      <c r="J550" s="240">
        <v>0</v>
      </c>
      <c r="K550" s="240">
        <v>0</v>
      </c>
      <c r="L550" s="240">
        <v>0</v>
      </c>
      <c r="M550" s="240">
        <v>0</v>
      </c>
      <c r="N550" s="240">
        <v>0</v>
      </c>
    </row>
    <row r="551" spans="1:14" x14ac:dyDescent="0.3">
      <c r="A551" s="135" t="s">
        <v>457</v>
      </c>
      <c r="B551" s="137" t="s">
        <v>415</v>
      </c>
      <c r="C551" s="137">
        <v>9</v>
      </c>
      <c r="D551" s="9">
        <v>30.625</v>
      </c>
      <c r="E551" s="8">
        <v>0</v>
      </c>
      <c r="F551" s="8">
        <v>6.9972000000000003</v>
      </c>
      <c r="G551" s="18">
        <v>4.3888889999999998</v>
      </c>
      <c r="H551" s="240">
        <v>0</v>
      </c>
      <c r="I551" s="240">
        <v>0</v>
      </c>
      <c r="J551" s="240">
        <v>0</v>
      </c>
      <c r="K551" s="240">
        <v>0</v>
      </c>
      <c r="L551" s="240">
        <v>0</v>
      </c>
      <c r="M551" s="240">
        <v>0</v>
      </c>
      <c r="N551" s="240">
        <v>0</v>
      </c>
    </row>
    <row r="552" spans="1:14" x14ac:dyDescent="0.3">
      <c r="A552" s="135" t="s">
        <v>457</v>
      </c>
      <c r="B552" s="137" t="s">
        <v>415</v>
      </c>
      <c r="C552" s="137">
        <v>10</v>
      </c>
      <c r="D552" s="9">
        <v>30.6495</v>
      </c>
      <c r="E552" s="8">
        <v>0</v>
      </c>
      <c r="F552" s="8">
        <v>7.2853199999999996</v>
      </c>
      <c r="G552" s="18">
        <v>4.55</v>
      </c>
      <c r="H552" s="240">
        <v>0</v>
      </c>
      <c r="I552" s="240">
        <v>0</v>
      </c>
      <c r="J552" s="240">
        <v>0</v>
      </c>
      <c r="K552" s="240">
        <v>0</v>
      </c>
      <c r="L552" s="240">
        <v>0</v>
      </c>
      <c r="M552" s="240">
        <v>0</v>
      </c>
      <c r="N552" s="240">
        <v>0</v>
      </c>
    </row>
    <row r="553" spans="1:14" x14ac:dyDescent="0.3">
      <c r="A553" s="135" t="s">
        <v>457</v>
      </c>
      <c r="B553" s="137" t="s">
        <v>415</v>
      </c>
      <c r="C553" s="137">
        <v>11</v>
      </c>
      <c r="D553" s="9">
        <v>30.669544999999999</v>
      </c>
      <c r="E553" s="8">
        <v>0</v>
      </c>
      <c r="F553" s="8">
        <v>7.5210549999999996</v>
      </c>
      <c r="G553" s="18">
        <v>4.7045450000000004</v>
      </c>
      <c r="H553" s="240">
        <v>0</v>
      </c>
      <c r="I553" s="240">
        <v>0</v>
      </c>
      <c r="J553" s="240">
        <v>0</v>
      </c>
      <c r="K553" s="240">
        <v>0</v>
      </c>
      <c r="L553" s="240">
        <v>0</v>
      </c>
      <c r="M553" s="240">
        <v>0</v>
      </c>
      <c r="N553" s="240">
        <v>0</v>
      </c>
    </row>
    <row r="554" spans="1:14" x14ac:dyDescent="0.3">
      <c r="A554" s="135" t="s">
        <v>457</v>
      </c>
      <c r="B554" s="137" t="s">
        <v>415</v>
      </c>
      <c r="C554" s="137">
        <v>12</v>
      </c>
      <c r="D554" s="9">
        <v>30.686250000000001</v>
      </c>
      <c r="E554" s="8">
        <v>0</v>
      </c>
      <c r="F554" s="8">
        <v>7.7175000000000002</v>
      </c>
      <c r="G554" s="18">
        <v>4.8541670000000003</v>
      </c>
      <c r="H554" s="240">
        <v>0</v>
      </c>
      <c r="I554" s="240">
        <v>0</v>
      </c>
      <c r="J554" s="240">
        <v>0</v>
      </c>
      <c r="K554" s="240">
        <v>0</v>
      </c>
      <c r="L554" s="240">
        <v>0</v>
      </c>
      <c r="M554" s="240">
        <v>0</v>
      </c>
      <c r="N554" s="240">
        <v>0</v>
      </c>
    </row>
    <row r="555" spans="1:14" x14ac:dyDescent="0.3">
      <c r="A555" s="135" t="s">
        <v>457</v>
      </c>
      <c r="B555" s="137" t="s">
        <v>415</v>
      </c>
      <c r="C555" s="137">
        <v>13</v>
      </c>
      <c r="D555" s="9">
        <v>30.700385000000001</v>
      </c>
      <c r="E555" s="8">
        <v>0</v>
      </c>
      <c r="F555" s="8">
        <v>7.8837229999999998</v>
      </c>
      <c r="G555" s="18">
        <v>5.0192310000000004</v>
      </c>
      <c r="H555" s="240">
        <v>0</v>
      </c>
      <c r="I555" s="240">
        <v>0</v>
      </c>
      <c r="J555" s="240">
        <v>0</v>
      </c>
      <c r="K555" s="240">
        <v>0</v>
      </c>
      <c r="L555" s="240">
        <v>0</v>
      </c>
      <c r="M555" s="240">
        <v>0</v>
      </c>
      <c r="N555" s="240">
        <v>0</v>
      </c>
    </row>
    <row r="556" spans="1:14" x14ac:dyDescent="0.3">
      <c r="A556" s="135" t="s">
        <v>457</v>
      </c>
      <c r="B556" s="137" t="s">
        <v>415</v>
      </c>
      <c r="C556" s="137">
        <v>14</v>
      </c>
      <c r="D556" s="9">
        <v>30.712499999999999</v>
      </c>
      <c r="E556" s="8">
        <v>0</v>
      </c>
      <c r="F556" s="8">
        <v>8.2908000000000008</v>
      </c>
      <c r="G556" s="18">
        <v>5.1607139999999996</v>
      </c>
      <c r="H556" s="240">
        <v>0</v>
      </c>
      <c r="I556" s="240">
        <v>0</v>
      </c>
      <c r="J556" s="240">
        <v>0</v>
      </c>
      <c r="K556" s="240">
        <v>0</v>
      </c>
      <c r="L556" s="240">
        <v>0</v>
      </c>
      <c r="M556" s="240">
        <v>0</v>
      </c>
      <c r="N556" s="240">
        <v>0</v>
      </c>
    </row>
    <row r="557" spans="1:14" x14ac:dyDescent="0.3">
      <c r="A557" s="135" t="s">
        <v>457</v>
      </c>
      <c r="B557" s="137" t="s">
        <v>415</v>
      </c>
      <c r="C557" s="137">
        <v>15</v>
      </c>
      <c r="D557" s="9">
        <v>30.722999999999999</v>
      </c>
      <c r="E557" s="8">
        <v>0</v>
      </c>
      <c r="F557" s="8">
        <v>8.6435999999999993</v>
      </c>
      <c r="G557" s="18">
        <v>5.3166669999999998</v>
      </c>
      <c r="H557" s="240">
        <v>0</v>
      </c>
      <c r="I557" s="240">
        <v>0</v>
      </c>
      <c r="J557" s="240">
        <v>0</v>
      </c>
      <c r="K557" s="240">
        <v>0</v>
      </c>
      <c r="L557" s="240">
        <v>0</v>
      </c>
      <c r="M557" s="240">
        <v>0</v>
      </c>
      <c r="N557" s="240">
        <v>0</v>
      </c>
    </row>
    <row r="558" spans="1:14" x14ac:dyDescent="0.3">
      <c r="A558" s="135" t="s">
        <v>457</v>
      </c>
      <c r="B558" s="137" t="s">
        <v>415</v>
      </c>
      <c r="C558" s="137">
        <v>16</v>
      </c>
      <c r="D558" s="9">
        <v>30.732187</v>
      </c>
      <c r="E558" s="8">
        <v>0</v>
      </c>
      <c r="F558" s="8">
        <v>8.9522999999999993</v>
      </c>
      <c r="G558" s="18">
        <v>5.46875</v>
      </c>
      <c r="H558" s="240">
        <v>0</v>
      </c>
      <c r="I558" s="240">
        <v>0</v>
      </c>
      <c r="J558" s="240">
        <v>0</v>
      </c>
      <c r="K558" s="240">
        <v>0</v>
      </c>
      <c r="L558" s="240">
        <v>0</v>
      </c>
      <c r="M558" s="240">
        <v>0</v>
      </c>
      <c r="N558" s="240">
        <v>0</v>
      </c>
    </row>
    <row r="559" spans="1:14" x14ac:dyDescent="0.3">
      <c r="A559" s="135" t="s">
        <v>457</v>
      </c>
      <c r="B559" s="137" t="s">
        <v>415</v>
      </c>
      <c r="C559" s="137">
        <v>17</v>
      </c>
      <c r="D559" s="9">
        <v>30.740293999999999</v>
      </c>
      <c r="E559" s="8">
        <v>0</v>
      </c>
      <c r="F559" s="8">
        <v>9.2246819999999996</v>
      </c>
      <c r="G559" s="18">
        <v>5.6029410000000004</v>
      </c>
      <c r="H559" s="240">
        <v>0</v>
      </c>
      <c r="I559" s="240">
        <v>0</v>
      </c>
      <c r="J559" s="240">
        <v>0</v>
      </c>
      <c r="K559" s="240">
        <v>0</v>
      </c>
      <c r="L559" s="240">
        <v>0</v>
      </c>
      <c r="M559" s="240">
        <v>0</v>
      </c>
      <c r="N559" s="240">
        <v>0</v>
      </c>
    </row>
    <row r="560" spans="1:14" x14ac:dyDescent="0.3">
      <c r="A560" s="135" t="s">
        <v>457</v>
      </c>
      <c r="B560" s="137" t="s">
        <v>415</v>
      </c>
      <c r="C560" s="137">
        <v>18</v>
      </c>
      <c r="D560" s="9">
        <v>30.747499999999999</v>
      </c>
      <c r="E560" s="8">
        <v>0</v>
      </c>
      <c r="F560" s="8">
        <v>9.4667999999999992</v>
      </c>
      <c r="G560" s="18">
        <v>5.75</v>
      </c>
      <c r="H560" s="240">
        <v>0</v>
      </c>
      <c r="I560" s="240">
        <v>0</v>
      </c>
      <c r="J560" s="240">
        <v>0</v>
      </c>
      <c r="K560" s="240">
        <v>0</v>
      </c>
      <c r="L560" s="240">
        <v>0</v>
      </c>
      <c r="M560" s="240">
        <v>0</v>
      </c>
      <c r="N560" s="240">
        <v>0</v>
      </c>
    </row>
    <row r="561" spans="1:14" x14ac:dyDescent="0.3">
      <c r="A561" s="135" t="s">
        <v>457</v>
      </c>
      <c r="B561" s="137" t="s">
        <v>415</v>
      </c>
      <c r="C561" s="137">
        <v>19</v>
      </c>
      <c r="D561" s="9">
        <v>30.753947</v>
      </c>
      <c r="E561" s="8">
        <v>0</v>
      </c>
      <c r="F561" s="8">
        <v>9.6834319999999998</v>
      </c>
      <c r="G561" s="18">
        <v>5.8815790000000003</v>
      </c>
      <c r="H561" s="240">
        <v>0</v>
      </c>
      <c r="I561" s="240">
        <v>0</v>
      </c>
      <c r="J561" s="240">
        <v>0</v>
      </c>
      <c r="K561" s="240">
        <v>0</v>
      </c>
      <c r="L561" s="240">
        <v>0</v>
      </c>
      <c r="M561" s="240">
        <v>0</v>
      </c>
      <c r="N561" s="240">
        <v>0</v>
      </c>
    </row>
    <row r="562" spans="1:14" x14ac:dyDescent="0.3">
      <c r="A562" s="135" t="s">
        <v>457</v>
      </c>
      <c r="B562" s="137" t="s">
        <v>415</v>
      </c>
      <c r="C562" s="137">
        <v>20</v>
      </c>
      <c r="D562" s="9">
        <v>30.75975</v>
      </c>
      <c r="E562" s="8">
        <v>0</v>
      </c>
      <c r="F562" s="8">
        <v>9.8783999999999992</v>
      </c>
      <c r="G562" s="18">
        <v>6.0250000000000004</v>
      </c>
      <c r="H562" s="240">
        <v>0</v>
      </c>
      <c r="I562" s="240">
        <v>0</v>
      </c>
      <c r="J562" s="240">
        <v>0</v>
      </c>
      <c r="K562" s="240">
        <v>0</v>
      </c>
      <c r="L562" s="240">
        <v>0</v>
      </c>
      <c r="M562" s="240">
        <v>0</v>
      </c>
      <c r="N562" s="240">
        <v>0</v>
      </c>
    </row>
    <row r="563" spans="1:14" x14ac:dyDescent="0.3">
      <c r="A563" s="135" t="s">
        <v>457</v>
      </c>
      <c r="B563" s="137" t="s">
        <v>415</v>
      </c>
      <c r="C563" s="137">
        <v>21</v>
      </c>
      <c r="D563" s="9">
        <v>30.765000000000001</v>
      </c>
      <c r="E563" s="8">
        <v>0</v>
      </c>
      <c r="F563" s="8">
        <v>10.0548</v>
      </c>
      <c r="G563" s="18">
        <v>6.1547619999999998</v>
      </c>
      <c r="H563" s="240">
        <v>0</v>
      </c>
      <c r="I563" s="240">
        <v>0</v>
      </c>
      <c r="J563" s="240">
        <v>0</v>
      </c>
      <c r="K563" s="240">
        <v>0</v>
      </c>
      <c r="L563" s="240">
        <v>0</v>
      </c>
      <c r="M563" s="240">
        <v>0</v>
      </c>
      <c r="N563" s="240">
        <v>0</v>
      </c>
    </row>
    <row r="564" spans="1:14" x14ac:dyDescent="0.3">
      <c r="A564" s="135" t="s">
        <v>457</v>
      </c>
      <c r="B564" s="137" t="s">
        <v>415</v>
      </c>
      <c r="C564" s="137">
        <v>22</v>
      </c>
      <c r="D564" s="9">
        <v>30.769773000000001</v>
      </c>
      <c r="E564" s="8">
        <v>0</v>
      </c>
      <c r="F564" s="8">
        <v>10.215164</v>
      </c>
      <c r="G564" s="18">
        <v>6.2840910000000001</v>
      </c>
      <c r="H564" s="240">
        <v>0</v>
      </c>
      <c r="I564" s="240">
        <v>0</v>
      </c>
      <c r="J564" s="240">
        <v>0</v>
      </c>
      <c r="K564" s="240">
        <v>0</v>
      </c>
      <c r="L564" s="240">
        <v>0</v>
      </c>
      <c r="M564" s="240">
        <v>0</v>
      </c>
      <c r="N564" s="240">
        <v>0</v>
      </c>
    </row>
    <row r="565" spans="1:14" x14ac:dyDescent="0.3">
      <c r="A565" s="135" t="s">
        <v>457</v>
      </c>
      <c r="B565" s="137" t="s">
        <v>415</v>
      </c>
      <c r="C565" s="137">
        <v>23</v>
      </c>
      <c r="D565" s="9">
        <v>30.77413</v>
      </c>
      <c r="E565" s="8">
        <v>0</v>
      </c>
      <c r="F565" s="8">
        <v>10.361583</v>
      </c>
      <c r="G565" s="18">
        <v>6.4021739999999996</v>
      </c>
      <c r="H565" s="240">
        <v>0</v>
      </c>
      <c r="I565" s="240">
        <v>0</v>
      </c>
      <c r="J565" s="240">
        <v>0</v>
      </c>
      <c r="K565" s="240">
        <v>0</v>
      </c>
      <c r="L565" s="240">
        <v>0</v>
      </c>
      <c r="M565" s="240">
        <v>0</v>
      </c>
      <c r="N565" s="240">
        <v>0</v>
      </c>
    </row>
    <row r="566" spans="1:14" x14ac:dyDescent="0.3">
      <c r="A566" s="135" t="s">
        <v>457</v>
      </c>
      <c r="B566" s="137" t="s">
        <v>415</v>
      </c>
      <c r="C566" s="137">
        <v>24</v>
      </c>
      <c r="D566" s="9">
        <v>30.778124999999999</v>
      </c>
      <c r="E566" s="8">
        <v>0</v>
      </c>
      <c r="F566" s="8">
        <v>10.54725</v>
      </c>
      <c r="G566" s="18">
        <v>6.53125</v>
      </c>
      <c r="H566" s="240">
        <v>0</v>
      </c>
      <c r="I566" s="240">
        <v>0</v>
      </c>
      <c r="J566" s="240">
        <v>0</v>
      </c>
      <c r="K566" s="240">
        <v>0</v>
      </c>
      <c r="L566" s="240">
        <v>0</v>
      </c>
      <c r="M566" s="240">
        <v>0</v>
      </c>
      <c r="N566" s="240">
        <v>0</v>
      </c>
    </row>
    <row r="567" spans="1:14" x14ac:dyDescent="0.3">
      <c r="A567" s="135" t="s">
        <v>457</v>
      </c>
      <c r="B567" s="137" t="s">
        <v>415</v>
      </c>
      <c r="C567" s="137">
        <v>25</v>
      </c>
      <c r="D567" s="9">
        <v>30.7818</v>
      </c>
      <c r="E567" s="8">
        <v>0</v>
      </c>
      <c r="F567" s="8">
        <v>10.718064</v>
      </c>
      <c r="G567" s="18">
        <v>6.66</v>
      </c>
      <c r="H567" s="240">
        <v>0</v>
      </c>
      <c r="I567" s="240">
        <v>0</v>
      </c>
      <c r="J567" s="240">
        <v>0</v>
      </c>
      <c r="K567" s="240">
        <v>0</v>
      </c>
      <c r="L567" s="240">
        <v>0</v>
      </c>
      <c r="M567" s="240">
        <v>0</v>
      </c>
      <c r="N567" s="240">
        <v>0</v>
      </c>
    </row>
    <row r="568" spans="1:14" x14ac:dyDescent="0.3">
      <c r="A568" s="135" t="s">
        <v>457</v>
      </c>
      <c r="B568" s="137" t="s">
        <v>415</v>
      </c>
      <c r="C568" s="137">
        <v>26</v>
      </c>
      <c r="D568" s="9">
        <v>30.785191999999999</v>
      </c>
      <c r="E568" s="8">
        <v>0</v>
      </c>
      <c r="F568" s="8">
        <v>10.875738</v>
      </c>
      <c r="G568" s="18">
        <v>6.7788459999999997</v>
      </c>
      <c r="H568" s="240">
        <v>0</v>
      </c>
      <c r="I568" s="240">
        <v>0</v>
      </c>
      <c r="J568" s="240">
        <v>0</v>
      </c>
      <c r="K568" s="240">
        <v>0</v>
      </c>
      <c r="L568" s="240">
        <v>0</v>
      </c>
      <c r="M568" s="240">
        <v>0</v>
      </c>
      <c r="N568" s="240">
        <v>0</v>
      </c>
    </row>
    <row r="569" spans="1:14" x14ac:dyDescent="0.3">
      <c r="A569" s="135" t="s">
        <v>457</v>
      </c>
      <c r="B569" s="137" t="s">
        <v>415</v>
      </c>
      <c r="C569" s="137">
        <v>27</v>
      </c>
      <c r="D569" s="9">
        <v>30.788333000000002</v>
      </c>
      <c r="E569" s="8">
        <v>0</v>
      </c>
      <c r="F569" s="8">
        <v>11.067467000000001</v>
      </c>
      <c r="G569" s="18">
        <v>6.8981479999999999</v>
      </c>
      <c r="H569" s="240">
        <v>0</v>
      </c>
      <c r="I569" s="240">
        <v>0</v>
      </c>
      <c r="J569" s="240">
        <v>0</v>
      </c>
      <c r="K569" s="240">
        <v>0</v>
      </c>
      <c r="L569" s="240">
        <v>0</v>
      </c>
      <c r="M569" s="240">
        <v>0</v>
      </c>
      <c r="N569" s="240">
        <v>0</v>
      </c>
    </row>
    <row r="570" spans="1:14" x14ac:dyDescent="0.3">
      <c r="A570" s="135" t="s">
        <v>457</v>
      </c>
      <c r="B570" s="137" t="s">
        <v>415</v>
      </c>
      <c r="C570" s="137">
        <v>28</v>
      </c>
      <c r="D570" s="9">
        <v>30.791250000000002</v>
      </c>
      <c r="E570" s="8">
        <v>0</v>
      </c>
      <c r="F570" s="8">
        <v>11.2455</v>
      </c>
      <c r="G570" s="18">
        <v>7.0178570000000002</v>
      </c>
      <c r="H570" s="240">
        <v>0</v>
      </c>
      <c r="I570" s="240">
        <v>0</v>
      </c>
      <c r="J570" s="240">
        <v>0</v>
      </c>
      <c r="K570" s="240">
        <v>0</v>
      </c>
      <c r="L570" s="240">
        <v>0</v>
      </c>
      <c r="M570" s="240">
        <v>0</v>
      </c>
      <c r="N570" s="240">
        <v>0</v>
      </c>
    </row>
    <row r="571" spans="1:14" x14ac:dyDescent="0.3">
      <c r="A571" s="135" t="s">
        <v>457</v>
      </c>
      <c r="B571" s="137" t="s">
        <v>415</v>
      </c>
      <c r="C571" s="137">
        <v>29</v>
      </c>
      <c r="D571" s="9">
        <v>30.793966000000001</v>
      </c>
      <c r="E571" s="8">
        <v>0</v>
      </c>
      <c r="F571" s="8">
        <v>11.453834000000001</v>
      </c>
      <c r="G571" s="18">
        <v>7.137931</v>
      </c>
      <c r="H571" s="240">
        <v>0</v>
      </c>
      <c r="I571" s="240">
        <v>0</v>
      </c>
      <c r="J571" s="240">
        <v>0</v>
      </c>
      <c r="K571" s="240">
        <v>0</v>
      </c>
      <c r="L571" s="240">
        <v>0</v>
      </c>
      <c r="M571" s="240">
        <v>0</v>
      </c>
      <c r="N571" s="240">
        <v>0</v>
      </c>
    </row>
    <row r="572" spans="1:14" x14ac:dyDescent="0.3">
      <c r="A572" s="138" t="s">
        <v>457</v>
      </c>
      <c r="B572" s="137" t="s">
        <v>415</v>
      </c>
      <c r="C572" s="137">
        <v>30</v>
      </c>
      <c r="D572" s="9">
        <v>30.796500000000002</v>
      </c>
      <c r="E572" s="8">
        <v>0</v>
      </c>
      <c r="F572" s="8">
        <v>11.64828</v>
      </c>
      <c r="G572" s="18">
        <v>7.2583330000000004</v>
      </c>
      <c r="H572" s="240">
        <v>0</v>
      </c>
      <c r="I572" s="240">
        <v>0</v>
      </c>
      <c r="J572" s="240">
        <v>0</v>
      </c>
      <c r="K572" s="240">
        <v>0</v>
      </c>
      <c r="L572" s="240">
        <v>0</v>
      </c>
      <c r="M572" s="240">
        <v>0</v>
      </c>
      <c r="N572" s="240">
        <v>0</v>
      </c>
    </row>
    <row r="573" spans="1:14" x14ac:dyDescent="0.3">
      <c r="A573" s="141" t="s">
        <v>457</v>
      </c>
      <c r="B573" s="136" t="s">
        <v>422</v>
      </c>
      <c r="C573" s="136">
        <v>1</v>
      </c>
      <c r="D573" s="9">
        <v>10.3302</v>
      </c>
      <c r="E573" s="8">
        <v>2.9257200000000001</v>
      </c>
      <c r="F573" s="8">
        <v>0.41176800000000002</v>
      </c>
      <c r="G573" s="18">
        <v>9.5</v>
      </c>
      <c r="H573" s="240">
        <v>0</v>
      </c>
      <c r="I573" s="240">
        <v>0</v>
      </c>
      <c r="J573" s="240">
        <v>0</v>
      </c>
      <c r="K573" s="240">
        <v>0</v>
      </c>
      <c r="L573" s="240">
        <v>0</v>
      </c>
      <c r="M573" s="240">
        <v>0</v>
      </c>
      <c r="N573" s="240">
        <v>0</v>
      </c>
    </row>
    <row r="574" spans="1:14" x14ac:dyDescent="0.3">
      <c r="A574" s="135" t="s">
        <v>457</v>
      </c>
      <c r="B574" s="136" t="s">
        <v>422</v>
      </c>
      <c r="C574" s="137">
        <v>2</v>
      </c>
      <c r="D574" s="9">
        <v>10.605600000000001</v>
      </c>
      <c r="E574" s="8">
        <v>2.9257200000000001</v>
      </c>
      <c r="F574" s="8">
        <v>0.61358900000000005</v>
      </c>
      <c r="G574" s="18">
        <v>7.625</v>
      </c>
      <c r="H574" s="240">
        <v>0</v>
      </c>
      <c r="I574" s="240">
        <v>0</v>
      </c>
      <c r="J574" s="240">
        <v>0</v>
      </c>
      <c r="K574" s="240">
        <v>0</v>
      </c>
      <c r="L574" s="240">
        <v>0</v>
      </c>
      <c r="M574" s="240">
        <v>0</v>
      </c>
      <c r="N574" s="240">
        <v>0</v>
      </c>
    </row>
    <row r="575" spans="1:14" x14ac:dyDescent="0.3">
      <c r="A575" s="135" t="s">
        <v>457</v>
      </c>
      <c r="B575" s="137" t="s">
        <v>422</v>
      </c>
      <c r="C575" s="137">
        <v>3</v>
      </c>
      <c r="D575" s="9">
        <v>10.6974</v>
      </c>
      <c r="E575" s="8">
        <v>2.9257200000000001</v>
      </c>
      <c r="F575" s="8">
        <v>0.75851999999999997</v>
      </c>
      <c r="G575" s="18">
        <v>7.3333329999999997</v>
      </c>
      <c r="H575" s="240">
        <v>0</v>
      </c>
      <c r="I575" s="240">
        <v>0</v>
      </c>
      <c r="J575" s="240">
        <v>0</v>
      </c>
      <c r="K575" s="240">
        <v>0</v>
      </c>
      <c r="L575" s="240">
        <v>0</v>
      </c>
      <c r="M575" s="240">
        <v>0</v>
      </c>
      <c r="N575" s="240">
        <v>0</v>
      </c>
    </row>
    <row r="576" spans="1:14" x14ac:dyDescent="0.3">
      <c r="A576" s="135" t="s">
        <v>457</v>
      </c>
      <c r="B576" s="137" t="s">
        <v>422</v>
      </c>
      <c r="C576" s="137">
        <v>4</v>
      </c>
      <c r="D576" s="9">
        <v>10.7433</v>
      </c>
      <c r="E576" s="8">
        <v>2.9257200000000001</v>
      </c>
      <c r="F576" s="8">
        <v>0.89397000000000004</v>
      </c>
      <c r="G576" s="18">
        <v>7.375</v>
      </c>
      <c r="H576" s="240">
        <v>0</v>
      </c>
      <c r="I576" s="240">
        <v>0</v>
      </c>
      <c r="J576" s="240">
        <v>0</v>
      </c>
      <c r="K576" s="240">
        <v>0</v>
      </c>
      <c r="L576" s="240">
        <v>0</v>
      </c>
      <c r="M576" s="240">
        <v>0</v>
      </c>
      <c r="N576" s="240">
        <v>0</v>
      </c>
    </row>
    <row r="577" spans="1:14" x14ac:dyDescent="0.3">
      <c r="A577" s="135" t="s">
        <v>457</v>
      </c>
      <c r="B577" s="137" t="s">
        <v>422</v>
      </c>
      <c r="C577" s="137">
        <v>5</v>
      </c>
      <c r="D577" s="9">
        <v>10.77084</v>
      </c>
      <c r="E577" s="8">
        <v>2.9257200000000001</v>
      </c>
      <c r="F577" s="8">
        <v>1.0792660000000001</v>
      </c>
      <c r="G577" s="18">
        <v>7.5</v>
      </c>
      <c r="H577" s="240">
        <v>0</v>
      </c>
      <c r="I577" s="240">
        <v>0</v>
      </c>
      <c r="J577" s="240">
        <v>0</v>
      </c>
      <c r="K577" s="240">
        <v>0</v>
      </c>
      <c r="L577" s="240">
        <v>0</v>
      </c>
      <c r="M577" s="240">
        <v>0</v>
      </c>
      <c r="N577" s="240">
        <v>0</v>
      </c>
    </row>
    <row r="578" spans="1:14" x14ac:dyDescent="0.3">
      <c r="A578" s="135" t="s">
        <v>457</v>
      </c>
      <c r="B578" s="137" t="s">
        <v>422</v>
      </c>
      <c r="C578" s="137">
        <v>6</v>
      </c>
      <c r="D578" s="9">
        <v>10.789199999999999</v>
      </c>
      <c r="E578" s="8">
        <v>2.9257200000000001</v>
      </c>
      <c r="F578" s="8">
        <v>1.202796</v>
      </c>
      <c r="G578" s="18">
        <v>7.75</v>
      </c>
      <c r="H578" s="240">
        <v>0</v>
      </c>
      <c r="I578" s="240">
        <v>0</v>
      </c>
      <c r="J578" s="240">
        <v>0</v>
      </c>
      <c r="K578" s="240">
        <v>0</v>
      </c>
      <c r="L578" s="240">
        <v>0</v>
      </c>
      <c r="M578" s="240">
        <v>0</v>
      </c>
      <c r="N578" s="240">
        <v>0</v>
      </c>
    </row>
    <row r="579" spans="1:14" x14ac:dyDescent="0.3">
      <c r="A579" s="135" t="s">
        <v>457</v>
      </c>
      <c r="B579" s="137" t="s">
        <v>422</v>
      </c>
      <c r="C579" s="137">
        <v>7</v>
      </c>
      <c r="D579" s="9">
        <v>10.802314000000001</v>
      </c>
      <c r="E579" s="8">
        <v>2.9257200000000001</v>
      </c>
      <c r="F579" s="8">
        <v>1.306168</v>
      </c>
      <c r="G579" s="18">
        <v>7.9642860000000004</v>
      </c>
      <c r="H579" s="240">
        <v>0</v>
      </c>
      <c r="I579" s="240">
        <v>0</v>
      </c>
      <c r="J579" s="240">
        <v>0</v>
      </c>
      <c r="K579" s="240">
        <v>0</v>
      </c>
      <c r="L579" s="240">
        <v>0</v>
      </c>
      <c r="M579" s="240">
        <v>0</v>
      </c>
      <c r="N579" s="240">
        <v>0</v>
      </c>
    </row>
    <row r="580" spans="1:14" x14ac:dyDescent="0.3">
      <c r="A580" s="135" t="s">
        <v>457</v>
      </c>
      <c r="B580" s="137" t="s">
        <v>422</v>
      </c>
      <c r="C580" s="137">
        <v>8</v>
      </c>
      <c r="D580" s="9">
        <v>10.812150000000001</v>
      </c>
      <c r="E580" s="8">
        <v>2.9257200000000001</v>
      </c>
      <c r="F580" s="8">
        <v>1.383697</v>
      </c>
      <c r="G580" s="18">
        <v>8.21875</v>
      </c>
      <c r="H580" s="240">
        <v>0</v>
      </c>
      <c r="I580" s="240">
        <v>0</v>
      </c>
      <c r="J580" s="240">
        <v>0</v>
      </c>
      <c r="K580" s="240">
        <v>0</v>
      </c>
      <c r="L580" s="240">
        <v>0</v>
      </c>
      <c r="M580" s="240">
        <v>0</v>
      </c>
      <c r="N580" s="240">
        <v>0</v>
      </c>
    </row>
    <row r="581" spans="1:14" x14ac:dyDescent="0.3">
      <c r="A581" s="135" t="s">
        <v>457</v>
      </c>
      <c r="B581" s="137" t="s">
        <v>422</v>
      </c>
      <c r="C581" s="137">
        <v>9</v>
      </c>
      <c r="D581" s="9">
        <v>10.819800000000001</v>
      </c>
      <c r="E581" s="8">
        <v>2.9257200000000001</v>
      </c>
      <c r="F581" s="8">
        <v>1.547809</v>
      </c>
      <c r="G581" s="18">
        <v>8.5</v>
      </c>
      <c r="H581" s="240">
        <v>0</v>
      </c>
      <c r="I581" s="240">
        <v>0</v>
      </c>
      <c r="J581" s="240">
        <v>0</v>
      </c>
      <c r="K581" s="240">
        <v>0</v>
      </c>
      <c r="L581" s="240">
        <v>0</v>
      </c>
      <c r="M581" s="240">
        <v>0</v>
      </c>
      <c r="N581" s="240">
        <v>0</v>
      </c>
    </row>
    <row r="582" spans="1:14" x14ac:dyDescent="0.3">
      <c r="A582" s="135" t="s">
        <v>457</v>
      </c>
      <c r="B582" s="137" t="s">
        <v>422</v>
      </c>
      <c r="C582" s="137">
        <v>10</v>
      </c>
      <c r="D582" s="9">
        <v>10.82592</v>
      </c>
      <c r="E582" s="8">
        <v>2.9257200000000001</v>
      </c>
      <c r="F582" s="8">
        <v>1.679098</v>
      </c>
      <c r="G582" s="18">
        <v>8.75</v>
      </c>
      <c r="H582" s="240">
        <v>0</v>
      </c>
      <c r="I582" s="240">
        <v>0</v>
      </c>
      <c r="J582" s="240">
        <v>0</v>
      </c>
      <c r="K582" s="240">
        <v>0</v>
      </c>
      <c r="L582" s="240">
        <v>0</v>
      </c>
      <c r="M582" s="240">
        <v>0</v>
      </c>
      <c r="N582" s="240">
        <v>0</v>
      </c>
    </row>
    <row r="583" spans="1:14" x14ac:dyDescent="0.3">
      <c r="A583" s="135" t="s">
        <v>457</v>
      </c>
      <c r="B583" s="137" t="s">
        <v>422</v>
      </c>
      <c r="C583" s="137">
        <v>11</v>
      </c>
      <c r="D583" s="9">
        <v>10.830927000000001</v>
      </c>
      <c r="E583" s="8">
        <v>2.9257200000000001</v>
      </c>
      <c r="F583" s="8">
        <v>1.7865169999999999</v>
      </c>
      <c r="G583" s="18">
        <v>9</v>
      </c>
      <c r="H583" s="240">
        <v>0</v>
      </c>
      <c r="I583" s="240">
        <v>0</v>
      </c>
      <c r="J583" s="240">
        <v>0</v>
      </c>
      <c r="K583" s="240">
        <v>0</v>
      </c>
      <c r="L583" s="240">
        <v>0</v>
      </c>
      <c r="M583" s="240">
        <v>0</v>
      </c>
      <c r="N583" s="240">
        <v>0</v>
      </c>
    </row>
    <row r="584" spans="1:14" x14ac:dyDescent="0.3">
      <c r="A584" s="135" t="s">
        <v>457</v>
      </c>
      <c r="B584" s="137" t="s">
        <v>422</v>
      </c>
      <c r="C584" s="137">
        <v>12</v>
      </c>
      <c r="D584" s="9">
        <v>10.835100000000001</v>
      </c>
      <c r="E584" s="8">
        <v>2.9257200000000001</v>
      </c>
      <c r="F584" s="8">
        <v>1.888474</v>
      </c>
      <c r="G584" s="18">
        <v>9.2708329999999997</v>
      </c>
      <c r="H584" s="240">
        <v>0</v>
      </c>
      <c r="I584" s="240">
        <v>0</v>
      </c>
      <c r="J584" s="240">
        <v>0</v>
      </c>
      <c r="K584" s="240">
        <v>0</v>
      </c>
      <c r="L584" s="240">
        <v>0</v>
      </c>
      <c r="M584" s="240">
        <v>0</v>
      </c>
      <c r="N584" s="240">
        <v>0</v>
      </c>
    </row>
    <row r="585" spans="1:14" x14ac:dyDescent="0.3">
      <c r="A585" s="135" t="s">
        <v>457</v>
      </c>
      <c r="B585" s="137" t="s">
        <v>422</v>
      </c>
      <c r="C585" s="137">
        <v>13</v>
      </c>
      <c r="D585" s="9">
        <v>10.838630999999999</v>
      </c>
      <c r="E585" s="8">
        <v>2.9257200000000001</v>
      </c>
      <c r="F585" s="8">
        <v>1.974745</v>
      </c>
      <c r="G585" s="18">
        <v>9.5192309999999996</v>
      </c>
      <c r="H585" s="240">
        <v>0</v>
      </c>
      <c r="I585" s="240">
        <v>0</v>
      </c>
      <c r="J585" s="240">
        <v>0</v>
      </c>
      <c r="K585" s="240">
        <v>0</v>
      </c>
      <c r="L585" s="240">
        <v>0</v>
      </c>
      <c r="M585" s="240">
        <v>0</v>
      </c>
      <c r="N585" s="240">
        <v>0</v>
      </c>
    </row>
    <row r="586" spans="1:14" x14ac:dyDescent="0.3">
      <c r="A586" s="135" t="s">
        <v>457</v>
      </c>
      <c r="B586" s="137" t="s">
        <v>422</v>
      </c>
      <c r="C586" s="137">
        <v>14</v>
      </c>
      <c r="D586" s="9">
        <v>10.841657</v>
      </c>
      <c r="E586" s="8">
        <v>2.9257200000000001</v>
      </c>
      <c r="F586" s="8">
        <v>2.1123319999999999</v>
      </c>
      <c r="G586" s="18">
        <v>9.7678569999999993</v>
      </c>
      <c r="H586" s="240">
        <v>0</v>
      </c>
      <c r="I586" s="240">
        <v>0</v>
      </c>
      <c r="J586" s="240">
        <v>0</v>
      </c>
      <c r="K586" s="240">
        <v>0</v>
      </c>
      <c r="L586" s="240">
        <v>0</v>
      </c>
      <c r="M586" s="240">
        <v>0</v>
      </c>
      <c r="N586" s="240">
        <v>0</v>
      </c>
    </row>
    <row r="587" spans="1:14" x14ac:dyDescent="0.3">
      <c r="A587" s="135" t="s">
        <v>457</v>
      </c>
      <c r="B587" s="137" t="s">
        <v>422</v>
      </c>
      <c r="C587" s="137">
        <v>15</v>
      </c>
      <c r="D587" s="9">
        <v>10.844279999999999</v>
      </c>
      <c r="E587" s="8">
        <v>2.9257200000000001</v>
      </c>
      <c r="F587" s="8">
        <v>2.2315740000000002</v>
      </c>
      <c r="G587" s="18">
        <v>10.016667</v>
      </c>
      <c r="H587" s="240">
        <v>0</v>
      </c>
      <c r="I587" s="240">
        <v>0</v>
      </c>
      <c r="J587" s="240">
        <v>0</v>
      </c>
      <c r="K587" s="240">
        <v>0</v>
      </c>
      <c r="L587" s="240">
        <v>0</v>
      </c>
      <c r="M587" s="240">
        <v>0</v>
      </c>
      <c r="N587" s="240">
        <v>0</v>
      </c>
    </row>
    <row r="588" spans="1:14" x14ac:dyDescent="0.3">
      <c r="A588" s="135" t="s">
        <v>457</v>
      </c>
      <c r="B588" s="137" t="s">
        <v>422</v>
      </c>
      <c r="C588" s="137">
        <v>16</v>
      </c>
      <c r="D588" s="9">
        <v>10.846575</v>
      </c>
      <c r="E588" s="8">
        <v>2.9257200000000001</v>
      </c>
      <c r="F588" s="8">
        <v>2.363</v>
      </c>
      <c r="G588" s="18">
        <v>10.25</v>
      </c>
      <c r="H588" s="240">
        <v>0</v>
      </c>
      <c r="I588" s="240">
        <v>0</v>
      </c>
      <c r="J588" s="240">
        <v>0</v>
      </c>
      <c r="K588" s="240">
        <v>0</v>
      </c>
      <c r="L588" s="240">
        <v>0</v>
      </c>
      <c r="M588" s="240">
        <v>0</v>
      </c>
      <c r="N588" s="240">
        <v>0</v>
      </c>
    </row>
    <row r="589" spans="1:14" x14ac:dyDescent="0.3">
      <c r="A589" s="135" t="s">
        <v>457</v>
      </c>
      <c r="B589" s="137" t="s">
        <v>422</v>
      </c>
      <c r="C589" s="137">
        <v>17</v>
      </c>
      <c r="D589" s="9">
        <v>10.848599999999999</v>
      </c>
      <c r="E589" s="8">
        <v>2.9257200000000001</v>
      </c>
      <c r="F589" s="8">
        <v>2.4789650000000001</v>
      </c>
      <c r="G589" s="18">
        <v>10.5</v>
      </c>
      <c r="H589" s="240">
        <v>0</v>
      </c>
      <c r="I589" s="240">
        <v>0</v>
      </c>
      <c r="J589" s="240">
        <v>0</v>
      </c>
      <c r="K589" s="240">
        <v>0</v>
      </c>
      <c r="L589" s="240">
        <v>0</v>
      </c>
      <c r="M589" s="240">
        <v>0</v>
      </c>
      <c r="N589" s="240">
        <v>0</v>
      </c>
    </row>
    <row r="590" spans="1:14" x14ac:dyDescent="0.3">
      <c r="A590" s="135" t="s">
        <v>457</v>
      </c>
      <c r="B590" s="137" t="s">
        <v>422</v>
      </c>
      <c r="C590" s="137">
        <v>18</v>
      </c>
      <c r="D590" s="9">
        <v>10.8504</v>
      </c>
      <c r="E590" s="8">
        <v>2.9257200000000001</v>
      </c>
      <c r="F590" s="8">
        <v>2.5820449999999999</v>
      </c>
      <c r="G590" s="18">
        <v>10.736110999999999</v>
      </c>
      <c r="H590" s="240">
        <v>0</v>
      </c>
      <c r="I590" s="240">
        <v>0</v>
      </c>
      <c r="J590" s="240">
        <v>0</v>
      </c>
      <c r="K590" s="240">
        <v>0</v>
      </c>
      <c r="L590" s="240">
        <v>0</v>
      </c>
      <c r="M590" s="240">
        <v>0</v>
      </c>
      <c r="N590" s="240">
        <v>0</v>
      </c>
    </row>
    <row r="591" spans="1:14" x14ac:dyDescent="0.3">
      <c r="A591" s="135" t="s">
        <v>457</v>
      </c>
      <c r="B591" s="137" t="s">
        <v>422</v>
      </c>
      <c r="C591" s="137">
        <v>19</v>
      </c>
      <c r="D591" s="9">
        <v>10.852010999999999</v>
      </c>
      <c r="E591" s="8">
        <v>2.9257200000000001</v>
      </c>
      <c r="F591" s="8">
        <v>2.674274</v>
      </c>
      <c r="G591" s="18">
        <v>10.960526</v>
      </c>
      <c r="H591" s="240">
        <v>0</v>
      </c>
      <c r="I591" s="240">
        <v>0</v>
      </c>
      <c r="J591" s="240">
        <v>0</v>
      </c>
      <c r="K591" s="240">
        <v>0</v>
      </c>
      <c r="L591" s="240">
        <v>0</v>
      </c>
      <c r="M591" s="240">
        <v>0</v>
      </c>
      <c r="N591" s="240">
        <v>0</v>
      </c>
    </row>
    <row r="592" spans="1:14" x14ac:dyDescent="0.3">
      <c r="A592" s="135" t="s">
        <v>457</v>
      </c>
      <c r="B592" s="137" t="s">
        <v>422</v>
      </c>
      <c r="C592" s="137">
        <v>20</v>
      </c>
      <c r="D592" s="9">
        <v>10.85346</v>
      </c>
      <c r="E592" s="8">
        <v>2.9257200000000001</v>
      </c>
      <c r="F592" s="8">
        <v>2.8266309999999999</v>
      </c>
      <c r="G592" s="18">
        <v>11.2</v>
      </c>
      <c r="H592" s="240">
        <v>0</v>
      </c>
      <c r="I592" s="240">
        <v>0</v>
      </c>
      <c r="J592" s="240">
        <v>0</v>
      </c>
      <c r="K592" s="240">
        <v>0</v>
      </c>
      <c r="L592" s="240">
        <v>0</v>
      </c>
      <c r="M592" s="240">
        <v>0</v>
      </c>
      <c r="N592" s="240">
        <v>0</v>
      </c>
    </row>
    <row r="593" spans="1:14" x14ac:dyDescent="0.3">
      <c r="A593" s="135" t="s">
        <v>457</v>
      </c>
      <c r="B593" s="137" t="s">
        <v>422</v>
      </c>
      <c r="C593" s="137">
        <v>21</v>
      </c>
      <c r="D593" s="9">
        <v>10.854771</v>
      </c>
      <c r="E593" s="8">
        <v>2.9257200000000001</v>
      </c>
      <c r="F593" s="8">
        <v>2.964477</v>
      </c>
      <c r="G593" s="18">
        <v>11.428571</v>
      </c>
      <c r="H593" s="240">
        <v>0</v>
      </c>
      <c r="I593" s="240">
        <v>0</v>
      </c>
      <c r="J593" s="240">
        <v>0</v>
      </c>
      <c r="K593" s="240">
        <v>0</v>
      </c>
      <c r="L593" s="240">
        <v>0</v>
      </c>
      <c r="M593" s="240">
        <v>0</v>
      </c>
      <c r="N593" s="240">
        <v>0</v>
      </c>
    </row>
    <row r="594" spans="1:14" x14ac:dyDescent="0.3">
      <c r="A594" s="135" t="s">
        <v>457</v>
      </c>
      <c r="B594" s="137" t="s">
        <v>422</v>
      </c>
      <c r="C594" s="137">
        <v>22</v>
      </c>
      <c r="D594" s="9">
        <v>10.855964</v>
      </c>
      <c r="E594" s="8">
        <v>2.9257200000000001</v>
      </c>
      <c r="F594" s="8">
        <v>3.0897920000000001</v>
      </c>
      <c r="G594" s="18">
        <v>11.647727</v>
      </c>
      <c r="H594" s="240">
        <v>0</v>
      </c>
      <c r="I594" s="240">
        <v>0</v>
      </c>
      <c r="J594" s="240">
        <v>0</v>
      </c>
      <c r="K594" s="240">
        <v>0</v>
      </c>
      <c r="L594" s="240">
        <v>0</v>
      </c>
      <c r="M594" s="240">
        <v>0</v>
      </c>
      <c r="N594" s="240">
        <v>0</v>
      </c>
    </row>
    <row r="595" spans="1:14" x14ac:dyDescent="0.3">
      <c r="A595" s="135" t="s">
        <v>457</v>
      </c>
      <c r="B595" s="137" t="s">
        <v>422</v>
      </c>
      <c r="C595" s="137">
        <v>23</v>
      </c>
      <c r="D595" s="9">
        <v>10.910554896335569</v>
      </c>
      <c r="E595" s="8">
        <v>2.9257200000000001</v>
      </c>
      <c r="F595" s="8">
        <v>3.1272000000000006</v>
      </c>
      <c r="G595" s="18">
        <v>12.406700000000001</v>
      </c>
      <c r="H595" s="240">
        <v>0</v>
      </c>
      <c r="I595" s="240">
        <v>0</v>
      </c>
      <c r="J595" s="240">
        <v>0</v>
      </c>
      <c r="K595" s="240">
        <v>0</v>
      </c>
      <c r="L595" s="240">
        <v>0</v>
      </c>
      <c r="M595" s="240">
        <v>0</v>
      </c>
      <c r="N595" s="240">
        <v>0</v>
      </c>
    </row>
    <row r="596" spans="1:14" x14ac:dyDescent="0.3">
      <c r="A596" s="135" t="s">
        <v>457</v>
      </c>
      <c r="B596" s="137" t="s">
        <v>422</v>
      </c>
      <c r="C596" s="137">
        <v>24</v>
      </c>
      <c r="D596" s="9">
        <v>10.916100414094338</v>
      </c>
      <c r="E596" s="8">
        <v>2.9257200000000001</v>
      </c>
      <c r="F596" s="8">
        <v>3.2311000000000001</v>
      </c>
      <c r="G596" s="18">
        <v>12.8185</v>
      </c>
      <c r="H596" s="240">
        <v>0</v>
      </c>
      <c r="I596" s="240">
        <v>0</v>
      </c>
      <c r="J596" s="240">
        <v>0</v>
      </c>
      <c r="K596" s="240">
        <v>0</v>
      </c>
      <c r="L596" s="240">
        <v>0</v>
      </c>
      <c r="M596" s="240">
        <v>0</v>
      </c>
      <c r="N596" s="240">
        <v>0</v>
      </c>
    </row>
    <row r="597" spans="1:14" x14ac:dyDescent="0.3">
      <c r="A597" s="135" t="s">
        <v>457</v>
      </c>
      <c r="B597" s="137" t="s">
        <v>422</v>
      </c>
      <c r="C597" s="137">
        <v>25</v>
      </c>
      <c r="D597" s="9">
        <v>10.921419519980327</v>
      </c>
      <c r="E597" s="8">
        <v>2.9257200000000001</v>
      </c>
      <c r="F597" s="8">
        <v>3.3336000000000001</v>
      </c>
      <c r="G597" s="18">
        <v>13.248100000000001</v>
      </c>
      <c r="H597" s="240">
        <v>0</v>
      </c>
      <c r="I597" s="240">
        <v>0</v>
      </c>
      <c r="J597" s="240">
        <v>0</v>
      </c>
      <c r="K597" s="240">
        <v>0</v>
      </c>
      <c r="L597" s="240">
        <v>0</v>
      </c>
      <c r="M597" s="240">
        <v>0</v>
      </c>
      <c r="N597" s="240">
        <v>0</v>
      </c>
    </row>
    <row r="598" spans="1:14" x14ac:dyDescent="0.3">
      <c r="A598" s="135" t="s">
        <v>457</v>
      </c>
      <c r="B598" s="137" t="s">
        <v>422</v>
      </c>
      <c r="C598" s="137">
        <v>26</v>
      </c>
      <c r="D598" s="9">
        <v>10.926529978904199</v>
      </c>
      <c r="E598" s="8">
        <v>2.9257200000000001</v>
      </c>
      <c r="F598" s="8">
        <v>3.4347000000000003</v>
      </c>
      <c r="G598" s="18">
        <v>13.695499999999999</v>
      </c>
      <c r="H598" s="240">
        <v>0</v>
      </c>
      <c r="I598" s="240">
        <v>0</v>
      </c>
      <c r="J598" s="240">
        <v>0</v>
      </c>
      <c r="K598" s="240">
        <v>0</v>
      </c>
      <c r="L598" s="240">
        <v>0</v>
      </c>
      <c r="M598" s="240">
        <v>0</v>
      </c>
      <c r="N598" s="240">
        <v>0</v>
      </c>
    </row>
    <row r="599" spans="1:14" x14ac:dyDescent="0.3">
      <c r="A599" s="135" t="s">
        <v>457</v>
      </c>
      <c r="B599" s="137" t="s">
        <v>422</v>
      </c>
      <c r="C599" s="137">
        <v>27</v>
      </c>
      <c r="D599" s="9">
        <v>10.931447543640365</v>
      </c>
      <c r="E599" s="8">
        <v>2.9257200000000001</v>
      </c>
      <c r="F599" s="8">
        <v>3.5344000000000002</v>
      </c>
      <c r="G599" s="18">
        <v>14.160699999999999</v>
      </c>
      <c r="H599" s="240">
        <v>0</v>
      </c>
      <c r="I599" s="240">
        <v>0</v>
      </c>
      <c r="J599" s="240">
        <v>0</v>
      </c>
      <c r="K599" s="240">
        <v>0</v>
      </c>
      <c r="L599" s="240">
        <v>0</v>
      </c>
      <c r="M599" s="240">
        <v>0</v>
      </c>
      <c r="N599" s="240">
        <v>0</v>
      </c>
    </row>
    <row r="600" spans="1:14" x14ac:dyDescent="0.3">
      <c r="A600" s="135" t="s">
        <v>457</v>
      </c>
      <c r="B600" s="137" t="s">
        <v>422</v>
      </c>
      <c r="C600" s="137">
        <v>28</v>
      </c>
      <c r="D600" s="9">
        <v>10.936186247675829</v>
      </c>
      <c r="E600" s="8">
        <v>2.9257200000000001</v>
      </c>
      <c r="F600" s="8">
        <v>3.6327000000000003</v>
      </c>
      <c r="G600" s="18">
        <v>14.643699999999999</v>
      </c>
      <c r="H600" s="240">
        <v>0</v>
      </c>
      <c r="I600" s="240">
        <v>0</v>
      </c>
      <c r="J600" s="240">
        <v>0</v>
      </c>
      <c r="K600" s="240">
        <v>0</v>
      </c>
      <c r="L600" s="240">
        <v>0</v>
      </c>
      <c r="M600" s="240">
        <v>0</v>
      </c>
      <c r="N600" s="240">
        <v>0</v>
      </c>
    </row>
    <row r="601" spans="1:14" x14ac:dyDescent="0.3">
      <c r="A601" s="135" t="s">
        <v>457</v>
      </c>
      <c r="B601" s="137" t="s">
        <v>422</v>
      </c>
      <c r="C601" s="137">
        <v>29</v>
      </c>
      <c r="D601" s="9">
        <v>10.940758646647238</v>
      </c>
      <c r="E601" s="8">
        <v>2.9257200000000001</v>
      </c>
      <c r="F601" s="8">
        <v>3.7296</v>
      </c>
      <c r="G601" s="18">
        <v>15.144499999999999</v>
      </c>
      <c r="H601" s="240">
        <v>0</v>
      </c>
      <c r="I601" s="240">
        <v>0</v>
      </c>
      <c r="J601" s="240">
        <v>0</v>
      </c>
      <c r="K601" s="240">
        <v>0</v>
      </c>
      <c r="L601" s="240">
        <v>0</v>
      </c>
      <c r="M601" s="240">
        <v>0</v>
      </c>
      <c r="N601" s="240">
        <v>0</v>
      </c>
    </row>
    <row r="602" spans="1:14" x14ac:dyDescent="0.3">
      <c r="A602" s="138" t="s">
        <v>457</v>
      </c>
      <c r="B602" s="137" t="s">
        <v>422</v>
      </c>
      <c r="C602" s="137">
        <v>30</v>
      </c>
      <c r="D602" s="9">
        <v>10.94517601883058</v>
      </c>
      <c r="E602" s="8">
        <v>2.9257200000000001</v>
      </c>
      <c r="F602" s="8">
        <v>3.8251000000000004</v>
      </c>
      <c r="G602" s="18">
        <v>15.6631</v>
      </c>
      <c r="H602" s="240">
        <v>0</v>
      </c>
      <c r="I602" s="240">
        <v>0</v>
      </c>
      <c r="J602" s="240">
        <v>0</v>
      </c>
      <c r="K602" s="240">
        <v>0</v>
      </c>
      <c r="L602" s="240">
        <v>0</v>
      </c>
      <c r="M602" s="240">
        <v>0</v>
      </c>
      <c r="N602" s="240">
        <v>0</v>
      </c>
    </row>
    <row r="603" spans="1:14" x14ac:dyDescent="0.3">
      <c r="A603" s="142" t="s">
        <v>458</v>
      </c>
      <c r="B603" s="143" t="s">
        <v>412</v>
      </c>
      <c r="C603" s="143">
        <v>1</v>
      </c>
      <c r="D603" s="9">
        <v>70.2</v>
      </c>
      <c r="E603" s="8">
        <v>0</v>
      </c>
      <c r="F603" s="8">
        <v>55.125</v>
      </c>
      <c r="G603" s="18">
        <v>5</v>
      </c>
      <c r="H603" s="240">
        <v>0</v>
      </c>
      <c r="I603" s="240">
        <v>0</v>
      </c>
      <c r="J603" s="240">
        <v>0</v>
      </c>
      <c r="K603" s="240">
        <v>0</v>
      </c>
      <c r="L603" s="240">
        <v>0</v>
      </c>
      <c r="M603" s="240">
        <v>0</v>
      </c>
      <c r="N603" s="240">
        <v>0</v>
      </c>
    </row>
    <row r="604" spans="1:14" x14ac:dyDescent="0.3">
      <c r="A604" s="135" t="s">
        <v>458</v>
      </c>
      <c r="B604" s="136" t="s">
        <v>412</v>
      </c>
      <c r="C604" s="137">
        <v>2</v>
      </c>
      <c r="D604" s="9">
        <v>70.2</v>
      </c>
      <c r="E604" s="8">
        <v>0</v>
      </c>
      <c r="F604" s="8">
        <v>55.125</v>
      </c>
      <c r="G604" s="18">
        <v>5</v>
      </c>
      <c r="H604" s="240">
        <v>0</v>
      </c>
      <c r="I604" s="240">
        <v>0</v>
      </c>
      <c r="J604" s="240">
        <v>0</v>
      </c>
      <c r="K604" s="240">
        <v>0</v>
      </c>
      <c r="L604" s="240">
        <v>0</v>
      </c>
      <c r="M604" s="240">
        <v>0</v>
      </c>
      <c r="N604" s="240">
        <v>0</v>
      </c>
    </row>
    <row r="605" spans="1:14" x14ac:dyDescent="0.3">
      <c r="A605" s="135" t="s">
        <v>458</v>
      </c>
      <c r="B605" s="137" t="s">
        <v>412</v>
      </c>
      <c r="C605" s="137">
        <v>3</v>
      </c>
      <c r="D605" s="9">
        <v>70.2</v>
      </c>
      <c r="E605" s="8">
        <v>0</v>
      </c>
      <c r="F605" s="8">
        <v>55.125</v>
      </c>
      <c r="G605" s="18">
        <v>5.3333329999999997</v>
      </c>
      <c r="H605" s="240">
        <v>0</v>
      </c>
      <c r="I605" s="240">
        <v>0</v>
      </c>
      <c r="J605" s="240">
        <v>0</v>
      </c>
      <c r="K605" s="240">
        <v>0</v>
      </c>
      <c r="L605" s="240">
        <v>0</v>
      </c>
      <c r="M605" s="240">
        <v>0</v>
      </c>
      <c r="N605" s="240">
        <v>0</v>
      </c>
    </row>
    <row r="606" spans="1:14" x14ac:dyDescent="0.3">
      <c r="A606" s="135" t="s">
        <v>458</v>
      </c>
      <c r="B606" s="137" t="s">
        <v>412</v>
      </c>
      <c r="C606" s="137">
        <v>4</v>
      </c>
      <c r="D606" s="9">
        <v>70.2</v>
      </c>
      <c r="E606" s="8">
        <v>0</v>
      </c>
      <c r="F606" s="8">
        <v>55.125</v>
      </c>
      <c r="G606" s="18">
        <v>5.75</v>
      </c>
      <c r="H606" s="240">
        <v>0</v>
      </c>
      <c r="I606" s="240">
        <v>0</v>
      </c>
      <c r="J606" s="240">
        <v>0</v>
      </c>
      <c r="K606" s="240">
        <v>0</v>
      </c>
      <c r="L606" s="240">
        <v>0</v>
      </c>
      <c r="M606" s="240">
        <v>0</v>
      </c>
      <c r="N606" s="240">
        <v>0</v>
      </c>
    </row>
    <row r="607" spans="1:14" x14ac:dyDescent="0.3">
      <c r="A607" s="135" t="s">
        <v>458</v>
      </c>
      <c r="B607" s="137" t="s">
        <v>412</v>
      </c>
      <c r="C607" s="137">
        <v>5</v>
      </c>
      <c r="D607" s="9">
        <v>70.2</v>
      </c>
      <c r="E607" s="8">
        <v>0</v>
      </c>
      <c r="F607" s="8">
        <v>55.125</v>
      </c>
      <c r="G607" s="18">
        <v>6.1</v>
      </c>
      <c r="H607" s="240">
        <v>0</v>
      </c>
      <c r="I607" s="240">
        <v>0</v>
      </c>
      <c r="J607" s="240">
        <v>0</v>
      </c>
      <c r="K607" s="240">
        <v>0</v>
      </c>
      <c r="L607" s="240">
        <v>0</v>
      </c>
      <c r="M607" s="240">
        <v>0</v>
      </c>
      <c r="N607" s="240">
        <v>0</v>
      </c>
    </row>
    <row r="608" spans="1:14" x14ac:dyDescent="0.3">
      <c r="A608" s="135" t="s">
        <v>458</v>
      </c>
      <c r="B608" s="137" t="s">
        <v>412</v>
      </c>
      <c r="C608" s="137">
        <v>6</v>
      </c>
      <c r="D608" s="9">
        <v>70.2</v>
      </c>
      <c r="E608" s="8">
        <v>0</v>
      </c>
      <c r="F608" s="8">
        <v>55.125</v>
      </c>
      <c r="G608" s="18">
        <v>6.4583329999999997</v>
      </c>
      <c r="H608" s="240">
        <v>0</v>
      </c>
      <c r="I608" s="240">
        <v>0</v>
      </c>
      <c r="J608" s="240">
        <v>0</v>
      </c>
      <c r="K608" s="240">
        <v>0</v>
      </c>
      <c r="L608" s="240">
        <v>0</v>
      </c>
      <c r="M608" s="240">
        <v>0</v>
      </c>
      <c r="N608" s="240">
        <v>0</v>
      </c>
    </row>
    <row r="609" spans="1:14" x14ac:dyDescent="0.3">
      <c r="A609" s="135" t="s">
        <v>458</v>
      </c>
      <c r="B609" s="137" t="s">
        <v>412</v>
      </c>
      <c r="C609" s="137">
        <v>7</v>
      </c>
      <c r="D609" s="9">
        <v>70.2</v>
      </c>
      <c r="E609" s="8">
        <v>0</v>
      </c>
      <c r="F609" s="8">
        <v>57.75</v>
      </c>
      <c r="G609" s="18">
        <v>6.9285709999999998</v>
      </c>
      <c r="H609" s="240">
        <v>0</v>
      </c>
      <c r="I609" s="240">
        <v>0</v>
      </c>
      <c r="J609" s="240">
        <v>0</v>
      </c>
      <c r="K609" s="240">
        <v>0</v>
      </c>
      <c r="L609" s="240">
        <v>0</v>
      </c>
      <c r="M609" s="240">
        <v>0</v>
      </c>
      <c r="N609" s="240">
        <v>0</v>
      </c>
    </row>
    <row r="610" spans="1:14" x14ac:dyDescent="0.3">
      <c r="A610" s="135" t="s">
        <v>458</v>
      </c>
      <c r="B610" s="137" t="s">
        <v>412</v>
      </c>
      <c r="C610" s="137">
        <v>8</v>
      </c>
      <c r="D610" s="9">
        <v>70.2</v>
      </c>
      <c r="E610" s="8">
        <v>0</v>
      </c>
      <c r="F610" s="8">
        <v>59.71875</v>
      </c>
      <c r="G610" s="18">
        <v>7.34375</v>
      </c>
      <c r="H610" s="240">
        <v>0</v>
      </c>
      <c r="I610" s="240">
        <v>0</v>
      </c>
      <c r="J610" s="240">
        <v>0</v>
      </c>
      <c r="K610" s="240">
        <v>0</v>
      </c>
      <c r="L610" s="240">
        <v>0</v>
      </c>
      <c r="M610" s="240">
        <v>0</v>
      </c>
      <c r="N610" s="240">
        <v>0</v>
      </c>
    </row>
    <row r="611" spans="1:14" x14ac:dyDescent="0.3">
      <c r="A611" s="135" t="s">
        <v>458</v>
      </c>
      <c r="B611" s="137" t="s">
        <v>412</v>
      </c>
      <c r="C611" s="137">
        <v>9</v>
      </c>
      <c r="D611" s="9">
        <v>70.2</v>
      </c>
      <c r="E611" s="8">
        <v>0</v>
      </c>
      <c r="F611" s="8">
        <v>61.25</v>
      </c>
      <c r="G611" s="18">
        <v>7.75</v>
      </c>
      <c r="H611" s="240">
        <v>0</v>
      </c>
      <c r="I611" s="240">
        <v>0</v>
      </c>
      <c r="J611" s="240">
        <v>0</v>
      </c>
      <c r="K611" s="240">
        <v>0</v>
      </c>
      <c r="L611" s="240">
        <v>0</v>
      </c>
      <c r="M611" s="240">
        <v>0</v>
      </c>
      <c r="N611" s="240">
        <v>0</v>
      </c>
    </row>
    <row r="612" spans="1:14" x14ac:dyDescent="0.3">
      <c r="A612" s="135" t="s">
        <v>458</v>
      </c>
      <c r="B612" s="137" t="s">
        <v>412</v>
      </c>
      <c r="C612" s="137">
        <v>10</v>
      </c>
      <c r="D612" s="9">
        <v>70.2</v>
      </c>
      <c r="E612" s="8">
        <v>0</v>
      </c>
      <c r="F612" s="8">
        <v>62.475000000000001</v>
      </c>
      <c r="G612" s="18">
        <v>8.15</v>
      </c>
      <c r="H612" s="240">
        <v>0</v>
      </c>
      <c r="I612" s="240">
        <v>0</v>
      </c>
      <c r="J612" s="240">
        <v>0</v>
      </c>
      <c r="K612" s="240">
        <v>0</v>
      </c>
      <c r="L612" s="240">
        <v>0</v>
      </c>
      <c r="M612" s="240">
        <v>0</v>
      </c>
      <c r="N612" s="240">
        <v>0</v>
      </c>
    </row>
    <row r="613" spans="1:14" x14ac:dyDescent="0.3">
      <c r="A613" s="135" t="s">
        <v>458</v>
      </c>
      <c r="B613" s="137" t="s">
        <v>412</v>
      </c>
      <c r="C613" s="137">
        <v>11</v>
      </c>
      <c r="D613" s="9">
        <v>70.2</v>
      </c>
      <c r="E613" s="8">
        <v>0</v>
      </c>
      <c r="F613" s="8">
        <v>63.477272999999997</v>
      </c>
      <c r="G613" s="18">
        <v>8.5227269999999997</v>
      </c>
      <c r="H613" s="240">
        <v>0</v>
      </c>
      <c r="I613" s="240">
        <v>0</v>
      </c>
      <c r="J613" s="240">
        <v>0</v>
      </c>
      <c r="K613" s="240">
        <v>0</v>
      </c>
      <c r="L613" s="240">
        <v>0</v>
      </c>
      <c r="M613" s="240">
        <v>0</v>
      </c>
      <c r="N613" s="240">
        <v>0</v>
      </c>
    </row>
    <row r="614" spans="1:14" x14ac:dyDescent="0.3">
      <c r="A614" s="135" t="s">
        <v>458</v>
      </c>
      <c r="B614" s="137" t="s">
        <v>412</v>
      </c>
      <c r="C614" s="137">
        <v>12</v>
      </c>
      <c r="D614" s="9">
        <v>70.2</v>
      </c>
      <c r="E614" s="8">
        <v>0</v>
      </c>
      <c r="F614" s="8">
        <v>64.3125</v>
      </c>
      <c r="G614" s="18">
        <v>8.875</v>
      </c>
      <c r="H614" s="240">
        <v>0</v>
      </c>
      <c r="I614" s="240">
        <v>0</v>
      </c>
      <c r="J614" s="240">
        <v>0</v>
      </c>
      <c r="K614" s="240">
        <v>0</v>
      </c>
      <c r="L614" s="240">
        <v>0</v>
      </c>
      <c r="M614" s="240">
        <v>0</v>
      </c>
      <c r="N614" s="240">
        <v>0</v>
      </c>
    </row>
    <row r="615" spans="1:14" x14ac:dyDescent="0.3">
      <c r="A615" s="135" t="s">
        <v>458</v>
      </c>
      <c r="B615" s="137" t="s">
        <v>412</v>
      </c>
      <c r="C615" s="137">
        <v>13</v>
      </c>
      <c r="D615" s="9">
        <v>70.2</v>
      </c>
      <c r="E615" s="8">
        <v>0</v>
      </c>
      <c r="F615" s="8">
        <v>65.019231000000005</v>
      </c>
      <c r="G615" s="18">
        <v>9.2115379999999991</v>
      </c>
      <c r="H615" s="240">
        <v>0</v>
      </c>
      <c r="I615" s="240">
        <v>0</v>
      </c>
      <c r="J615" s="240">
        <v>0</v>
      </c>
      <c r="K615" s="240">
        <v>0</v>
      </c>
      <c r="L615" s="240">
        <v>0</v>
      </c>
      <c r="M615" s="240">
        <v>0</v>
      </c>
      <c r="N615" s="240">
        <v>0</v>
      </c>
    </row>
    <row r="616" spans="1:14" x14ac:dyDescent="0.3">
      <c r="A616" s="135" t="s">
        <v>458</v>
      </c>
      <c r="B616" s="137" t="s">
        <v>412</v>
      </c>
      <c r="C616" s="137">
        <v>14</v>
      </c>
      <c r="D616" s="9">
        <v>70.2</v>
      </c>
      <c r="E616" s="8">
        <v>0</v>
      </c>
      <c r="F616" s="8">
        <v>65.625</v>
      </c>
      <c r="G616" s="18">
        <v>9.5357140000000005</v>
      </c>
      <c r="H616" s="240">
        <v>0</v>
      </c>
      <c r="I616" s="240">
        <v>0</v>
      </c>
      <c r="J616" s="240">
        <v>0</v>
      </c>
      <c r="K616" s="240">
        <v>0</v>
      </c>
      <c r="L616" s="240">
        <v>0</v>
      </c>
      <c r="M616" s="240">
        <v>0</v>
      </c>
      <c r="N616" s="240">
        <v>0</v>
      </c>
    </row>
    <row r="617" spans="1:14" x14ac:dyDescent="0.3">
      <c r="A617" s="135" t="s">
        <v>458</v>
      </c>
      <c r="B617" s="137" t="s">
        <v>412</v>
      </c>
      <c r="C617" s="137">
        <v>15</v>
      </c>
      <c r="D617" s="9">
        <v>70.2</v>
      </c>
      <c r="E617" s="8">
        <v>0</v>
      </c>
      <c r="F617" s="8">
        <v>66.150000000000006</v>
      </c>
      <c r="G617" s="18">
        <v>9.85</v>
      </c>
      <c r="H617" s="240">
        <v>0</v>
      </c>
      <c r="I617" s="240">
        <v>0</v>
      </c>
      <c r="J617" s="240">
        <v>0</v>
      </c>
      <c r="K617" s="240">
        <v>0</v>
      </c>
      <c r="L617" s="240">
        <v>0</v>
      </c>
      <c r="M617" s="240">
        <v>0</v>
      </c>
      <c r="N617" s="240">
        <v>0</v>
      </c>
    </row>
    <row r="618" spans="1:14" x14ac:dyDescent="0.3">
      <c r="A618" s="135" t="s">
        <v>458</v>
      </c>
      <c r="B618" s="137" t="s">
        <v>412</v>
      </c>
      <c r="C618" s="137">
        <v>16</v>
      </c>
      <c r="D618" s="9">
        <v>70.2</v>
      </c>
      <c r="E618" s="8">
        <v>0</v>
      </c>
      <c r="F618" s="8">
        <v>67.757812000000001</v>
      </c>
      <c r="G618" s="18">
        <v>10.234375</v>
      </c>
      <c r="H618" s="240">
        <v>0</v>
      </c>
      <c r="I618" s="240">
        <v>0</v>
      </c>
      <c r="J618" s="240">
        <v>0</v>
      </c>
      <c r="K618" s="240">
        <v>0</v>
      </c>
      <c r="L618" s="240">
        <v>0</v>
      </c>
      <c r="M618" s="240">
        <v>0</v>
      </c>
      <c r="N618" s="240">
        <v>0</v>
      </c>
    </row>
    <row r="619" spans="1:14" x14ac:dyDescent="0.3">
      <c r="A619" s="135" t="s">
        <v>458</v>
      </c>
      <c r="B619" s="137" t="s">
        <v>412</v>
      </c>
      <c r="C619" s="137">
        <v>17</v>
      </c>
      <c r="D619" s="9">
        <v>70.2</v>
      </c>
      <c r="E619" s="8">
        <v>0</v>
      </c>
      <c r="F619" s="8">
        <v>69.176471000000006</v>
      </c>
      <c r="G619" s="18">
        <v>10.588234999999999</v>
      </c>
      <c r="H619" s="240">
        <v>0</v>
      </c>
      <c r="I619" s="240">
        <v>0</v>
      </c>
      <c r="J619" s="240">
        <v>0</v>
      </c>
      <c r="K619" s="240">
        <v>0</v>
      </c>
      <c r="L619" s="240">
        <v>0</v>
      </c>
      <c r="M619" s="240">
        <v>0</v>
      </c>
      <c r="N619" s="240">
        <v>0</v>
      </c>
    </row>
    <row r="620" spans="1:14" x14ac:dyDescent="0.3">
      <c r="A620" s="135" t="s">
        <v>458</v>
      </c>
      <c r="B620" s="137" t="s">
        <v>412</v>
      </c>
      <c r="C620" s="137">
        <v>18</v>
      </c>
      <c r="D620" s="9">
        <v>70.2</v>
      </c>
      <c r="E620" s="8">
        <v>0</v>
      </c>
      <c r="F620" s="8">
        <v>70.4375</v>
      </c>
      <c r="G620" s="18">
        <v>10.930555999999999</v>
      </c>
      <c r="H620" s="240">
        <v>0</v>
      </c>
      <c r="I620" s="240">
        <v>0</v>
      </c>
      <c r="J620" s="240">
        <v>0</v>
      </c>
      <c r="K620" s="240">
        <v>0</v>
      </c>
      <c r="L620" s="240">
        <v>0</v>
      </c>
      <c r="M620" s="240">
        <v>0</v>
      </c>
      <c r="N620" s="240">
        <v>0</v>
      </c>
    </row>
    <row r="621" spans="1:14" x14ac:dyDescent="0.3">
      <c r="A621" s="135" t="s">
        <v>458</v>
      </c>
      <c r="B621" s="137" t="s">
        <v>412</v>
      </c>
      <c r="C621" s="137">
        <v>19</v>
      </c>
      <c r="D621" s="9">
        <v>70.2</v>
      </c>
      <c r="E621" s="8">
        <v>0</v>
      </c>
      <c r="F621" s="8">
        <v>71.565788999999995</v>
      </c>
      <c r="G621" s="18">
        <v>11.276316</v>
      </c>
      <c r="H621" s="240">
        <v>0</v>
      </c>
      <c r="I621" s="240">
        <v>0</v>
      </c>
      <c r="J621" s="240">
        <v>0</v>
      </c>
      <c r="K621" s="240">
        <v>0</v>
      </c>
      <c r="L621" s="240">
        <v>0</v>
      </c>
      <c r="M621" s="240">
        <v>0</v>
      </c>
      <c r="N621" s="240">
        <v>0</v>
      </c>
    </row>
    <row r="622" spans="1:14" x14ac:dyDescent="0.3">
      <c r="A622" s="135" t="s">
        <v>458</v>
      </c>
      <c r="B622" s="137" t="s">
        <v>412</v>
      </c>
      <c r="C622" s="137">
        <v>20</v>
      </c>
      <c r="D622" s="9">
        <v>70.2</v>
      </c>
      <c r="E622" s="8">
        <v>0</v>
      </c>
      <c r="F622" s="8">
        <v>72.581249999999997</v>
      </c>
      <c r="G622" s="18">
        <v>11.6</v>
      </c>
      <c r="H622" s="240">
        <v>0</v>
      </c>
      <c r="I622" s="240">
        <v>0</v>
      </c>
      <c r="J622" s="240">
        <v>0</v>
      </c>
      <c r="K622" s="240">
        <v>0</v>
      </c>
      <c r="L622" s="240">
        <v>0</v>
      </c>
      <c r="M622" s="240">
        <v>0</v>
      </c>
      <c r="N622" s="240">
        <v>0</v>
      </c>
    </row>
    <row r="623" spans="1:14" x14ac:dyDescent="0.3">
      <c r="A623" s="135" t="s">
        <v>458</v>
      </c>
      <c r="B623" s="137" t="s">
        <v>412</v>
      </c>
      <c r="C623" s="137">
        <v>21</v>
      </c>
      <c r="D623" s="9">
        <v>70.2</v>
      </c>
      <c r="E623" s="8">
        <v>0</v>
      </c>
      <c r="F623" s="8">
        <v>73.5</v>
      </c>
      <c r="G623" s="18">
        <v>11.916667</v>
      </c>
      <c r="H623" s="240">
        <v>0</v>
      </c>
      <c r="I623" s="240">
        <v>0</v>
      </c>
      <c r="J623" s="240">
        <v>0</v>
      </c>
      <c r="K623" s="240">
        <v>0</v>
      </c>
      <c r="L623" s="240">
        <v>0</v>
      </c>
      <c r="M623" s="240">
        <v>0</v>
      </c>
      <c r="N623" s="240">
        <v>0</v>
      </c>
    </row>
    <row r="624" spans="1:14" x14ac:dyDescent="0.3">
      <c r="A624" s="135" t="s">
        <v>458</v>
      </c>
      <c r="B624" s="137" t="s">
        <v>412</v>
      </c>
      <c r="C624" s="137">
        <v>22</v>
      </c>
      <c r="D624" s="9">
        <v>70.2</v>
      </c>
      <c r="E624" s="8">
        <v>0</v>
      </c>
      <c r="F624" s="8">
        <v>74.335227000000003</v>
      </c>
      <c r="G624" s="18">
        <v>12.227273</v>
      </c>
      <c r="H624" s="240">
        <v>0</v>
      </c>
      <c r="I624" s="240">
        <v>0</v>
      </c>
      <c r="J624" s="240">
        <v>0</v>
      </c>
      <c r="K624" s="240">
        <v>0</v>
      </c>
      <c r="L624" s="240">
        <v>0</v>
      </c>
      <c r="M624" s="240">
        <v>0</v>
      </c>
      <c r="N624" s="240">
        <v>0</v>
      </c>
    </row>
    <row r="625" spans="1:14" x14ac:dyDescent="0.3">
      <c r="A625" s="135" t="s">
        <v>458</v>
      </c>
      <c r="B625" s="137" t="s">
        <v>412</v>
      </c>
      <c r="C625" s="137">
        <v>23</v>
      </c>
      <c r="D625" s="9">
        <v>70.2</v>
      </c>
      <c r="E625" s="8">
        <v>0</v>
      </c>
      <c r="F625" s="8">
        <v>75.097825999999998</v>
      </c>
      <c r="G625" s="18">
        <v>12.532609000000001</v>
      </c>
      <c r="H625" s="240">
        <v>0</v>
      </c>
      <c r="I625" s="240">
        <v>0</v>
      </c>
      <c r="J625" s="240">
        <v>0</v>
      </c>
      <c r="K625" s="240">
        <v>0</v>
      </c>
      <c r="L625" s="240">
        <v>0</v>
      </c>
      <c r="M625" s="240">
        <v>0</v>
      </c>
      <c r="N625" s="240">
        <v>0</v>
      </c>
    </row>
    <row r="626" spans="1:14" x14ac:dyDescent="0.3">
      <c r="A626" s="135" t="s">
        <v>458</v>
      </c>
      <c r="B626" s="137" t="s">
        <v>412</v>
      </c>
      <c r="C626" s="137">
        <v>24</v>
      </c>
      <c r="D626" s="9">
        <v>70.2</v>
      </c>
      <c r="E626" s="8">
        <v>0</v>
      </c>
      <c r="F626" s="8">
        <v>75.796875</v>
      </c>
      <c r="G626" s="18">
        <v>12.822917</v>
      </c>
      <c r="H626" s="240">
        <v>0</v>
      </c>
      <c r="I626" s="240">
        <v>0</v>
      </c>
      <c r="J626" s="240">
        <v>0</v>
      </c>
      <c r="K626" s="240">
        <v>0</v>
      </c>
      <c r="L626" s="240">
        <v>0</v>
      </c>
      <c r="M626" s="240">
        <v>0</v>
      </c>
      <c r="N626" s="240">
        <v>0</v>
      </c>
    </row>
    <row r="627" spans="1:14" x14ac:dyDescent="0.3">
      <c r="A627" s="135" t="s">
        <v>458</v>
      </c>
      <c r="B627" s="137" t="s">
        <v>412</v>
      </c>
      <c r="C627" s="137">
        <v>25</v>
      </c>
      <c r="D627" s="9">
        <v>70.2</v>
      </c>
      <c r="E627" s="8">
        <v>0</v>
      </c>
      <c r="F627" s="8">
        <v>76.44</v>
      </c>
      <c r="G627" s="18">
        <v>13.12</v>
      </c>
      <c r="H627" s="240">
        <v>0</v>
      </c>
      <c r="I627" s="240">
        <v>0</v>
      </c>
      <c r="J627" s="240">
        <v>0</v>
      </c>
      <c r="K627" s="240">
        <v>0</v>
      </c>
      <c r="L627" s="240">
        <v>0</v>
      </c>
      <c r="M627" s="240">
        <v>0</v>
      </c>
      <c r="N627" s="240">
        <v>0</v>
      </c>
    </row>
    <row r="628" spans="1:14" x14ac:dyDescent="0.3">
      <c r="A628" s="135" t="s">
        <v>458</v>
      </c>
      <c r="B628" s="137" t="s">
        <v>412</v>
      </c>
      <c r="C628" s="137">
        <v>26</v>
      </c>
      <c r="D628" s="9">
        <v>70.2</v>
      </c>
      <c r="E628" s="8">
        <v>0</v>
      </c>
      <c r="F628" s="8">
        <v>77.033653999999999</v>
      </c>
      <c r="G628" s="18">
        <v>13.403846</v>
      </c>
      <c r="H628" s="240">
        <v>0</v>
      </c>
      <c r="I628" s="240">
        <v>0</v>
      </c>
      <c r="J628" s="240">
        <v>0</v>
      </c>
      <c r="K628" s="240">
        <v>0</v>
      </c>
      <c r="L628" s="240">
        <v>0</v>
      </c>
      <c r="M628" s="240">
        <v>0</v>
      </c>
      <c r="N628" s="240">
        <v>0</v>
      </c>
    </row>
    <row r="629" spans="1:14" x14ac:dyDescent="0.3">
      <c r="A629" s="135" t="s">
        <v>458</v>
      </c>
      <c r="B629" s="137" t="s">
        <v>412</v>
      </c>
      <c r="C629" s="137">
        <v>27</v>
      </c>
      <c r="D629" s="9">
        <v>70.2</v>
      </c>
      <c r="E629" s="8">
        <v>0</v>
      </c>
      <c r="F629" s="8">
        <v>77.583332999999996</v>
      </c>
      <c r="G629" s="18">
        <v>13.675926</v>
      </c>
      <c r="H629" s="240">
        <v>0</v>
      </c>
      <c r="I629" s="240">
        <v>0</v>
      </c>
      <c r="J629" s="240">
        <v>0</v>
      </c>
      <c r="K629" s="240">
        <v>0</v>
      </c>
      <c r="L629" s="240">
        <v>0</v>
      </c>
      <c r="M629" s="240">
        <v>0</v>
      </c>
      <c r="N629" s="240">
        <v>0</v>
      </c>
    </row>
    <row r="630" spans="1:14" x14ac:dyDescent="0.3">
      <c r="A630" s="135" t="s">
        <v>458</v>
      </c>
      <c r="B630" s="137" t="s">
        <v>412</v>
      </c>
      <c r="C630" s="137">
        <v>28</v>
      </c>
      <c r="D630" s="9">
        <v>70.2</v>
      </c>
      <c r="E630" s="8">
        <v>0</v>
      </c>
      <c r="F630" s="8">
        <v>78.09375</v>
      </c>
      <c r="G630" s="18">
        <v>13.946429</v>
      </c>
      <c r="H630" s="240">
        <v>0</v>
      </c>
      <c r="I630" s="240">
        <v>0</v>
      </c>
      <c r="J630" s="240">
        <v>0</v>
      </c>
      <c r="K630" s="240">
        <v>0</v>
      </c>
      <c r="L630" s="240">
        <v>0</v>
      </c>
      <c r="M630" s="240">
        <v>0</v>
      </c>
      <c r="N630" s="240">
        <v>0</v>
      </c>
    </row>
    <row r="631" spans="1:14" x14ac:dyDescent="0.3">
      <c r="A631" s="135" t="s">
        <v>458</v>
      </c>
      <c r="B631" s="137" t="s">
        <v>412</v>
      </c>
      <c r="C631" s="137">
        <v>29</v>
      </c>
      <c r="D631" s="9">
        <v>70.2</v>
      </c>
      <c r="E631" s="8">
        <v>0</v>
      </c>
      <c r="F631" s="8">
        <v>79.202585999999997</v>
      </c>
      <c r="G631" s="18">
        <v>14.267241</v>
      </c>
      <c r="H631" s="240">
        <v>0</v>
      </c>
      <c r="I631" s="240">
        <v>0</v>
      </c>
      <c r="J631" s="240">
        <v>0</v>
      </c>
      <c r="K631" s="240">
        <v>0</v>
      </c>
      <c r="L631" s="240">
        <v>0</v>
      </c>
      <c r="M631" s="240">
        <v>0</v>
      </c>
      <c r="N631" s="240">
        <v>0</v>
      </c>
    </row>
    <row r="632" spans="1:14" x14ac:dyDescent="0.3">
      <c r="A632" s="138" t="s">
        <v>458</v>
      </c>
      <c r="B632" s="137" t="s">
        <v>412</v>
      </c>
      <c r="C632" s="137">
        <v>30</v>
      </c>
      <c r="D632" s="9">
        <v>70.2</v>
      </c>
      <c r="E632" s="8">
        <v>0</v>
      </c>
      <c r="F632" s="8">
        <v>80.237499999999997</v>
      </c>
      <c r="G632" s="18">
        <v>14.574999999999999</v>
      </c>
      <c r="H632" s="240">
        <v>0</v>
      </c>
      <c r="I632" s="240">
        <v>0</v>
      </c>
      <c r="J632" s="240">
        <v>0</v>
      </c>
      <c r="K632" s="240">
        <v>0</v>
      </c>
      <c r="L632" s="240">
        <v>0</v>
      </c>
      <c r="M632" s="240">
        <v>0</v>
      </c>
      <c r="N632" s="240">
        <v>0</v>
      </c>
    </row>
    <row r="633" spans="1:14" x14ac:dyDescent="0.3">
      <c r="A633" s="142" t="s">
        <v>458</v>
      </c>
      <c r="B633" s="143" t="s">
        <v>413</v>
      </c>
      <c r="C633" s="143">
        <v>1</v>
      </c>
      <c r="D633" s="9">
        <v>70.2</v>
      </c>
      <c r="E633" s="8">
        <v>19.285</v>
      </c>
      <c r="F633" s="8">
        <v>5.4880000000000004</v>
      </c>
      <c r="G633" s="18">
        <v>10</v>
      </c>
      <c r="H633" s="240">
        <v>0</v>
      </c>
      <c r="I633" s="240">
        <v>0</v>
      </c>
      <c r="J633" s="240">
        <v>0</v>
      </c>
      <c r="K633" s="240">
        <v>0</v>
      </c>
      <c r="L633" s="240">
        <v>0</v>
      </c>
      <c r="M633" s="240">
        <v>0</v>
      </c>
      <c r="N633" s="240">
        <v>0</v>
      </c>
    </row>
    <row r="634" spans="1:14" x14ac:dyDescent="0.3">
      <c r="A634" s="135" t="s">
        <v>458</v>
      </c>
      <c r="B634" s="136" t="s">
        <v>413</v>
      </c>
      <c r="C634" s="137">
        <v>2</v>
      </c>
      <c r="D634" s="9">
        <v>70.2</v>
      </c>
      <c r="E634" s="8">
        <v>20.947500000000002</v>
      </c>
      <c r="F634" s="8">
        <v>5.4880000000000004</v>
      </c>
      <c r="G634" s="18">
        <v>10.3</v>
      </c>
      <c r="H634" s="240">
        <v>0</v>
      </c>
      <c r="I634" s="240">
        <v>0</v>
      </c>
      <c r="J634" s="240">
        <v>0</v>
      </c>
      <c r="K634" s="240">
        <v>0</v>
      </c>
      <c r="L634" s="240">
        <v>0</v>
      </c>
      <c r="M634" s="240">
        <v>0</v>
      </c>
      <c r="N634" s="240">
        <v>0</v>
      </c>
    </row>
    <row r="635" spans="1:14" x14ac:dyDescent="0.3">
      <c r="A635" s="135" t="s">
        <v>458</v>
      </c>
      <c r="B635" s="137" t="s">
        <v>413</v>
      </c>
      <c r="C635" s="137">
        <v>3</v>
      </c>
      <c r="D635" s="9">
        <v>70.2</v>
      </c>
      <c r="E635" s="8">
        <v>21.501667000000001</v>
      </c>
      <c r="F635" s="8">
        <v>7.0279999999999996</v>
      </c>
      <c r="G635" s="18">
        <v>10.666667</v>
      </c>
      <c r="H635" s="240">
        <v>0</v>
      </c>
      <c r="I635" s="240">
        <v>0</v>
      </c>
      <c r="J635" s="240">
        <v>0</v>
      </c>
      <c r="K635" s="240">
        <v>0</v>
      </c>
      <c r="L635" s="240">
        <v>0</v>
      </c>
      <c r="M635" s="240">
        <v>0</v>
      </c>
      <c r="N635" s="240">
        <v>0</v>
      </c>
    </row>
    <row r="636" spans="1:14" x14ac:dyDescent="0.3">
      <c r="A636" s="135" t="s">
        <v>458</v>
      </c>
      <c r="B636" s="137" t="s">
        <v>413</v>
      </c>
      <c r="C636" s="137">
        <v>4</v>
      </c>
      <c r="D636" s="9">
        <v>70.2</v>
      </c>
      <c r="E636" s="8">
        <v>21.778749999999999</v>
      </c>
      <c r="F636" s="8">
        <v>7.798</v>
      </c>
      <c r="G636" s="18">
        <v>11.4375</v>
      </c>
      <c r="H636" s="240">
        <v>0</v>
      </c>
      <c r="I636" s="240">
        <v>0</v>
      </c>
      <c r="J636" s="240">
        <v>0</v>
      </c>
      <c r="K636" s="240">
        <v>0</v>
      </c>
      <c r="L636" s="240">
        <v>0</v>
      </c>
      <c r="M636" s="240">
        <v>0</v>
      </c>
      <c r="N636" s="240">
        <v>0</v>
      </c>
    </row>
    <row r="637" spans="1:14" x14ac:dyDescent="0.3">
      <c r="A637" s="135" t="s">
        <v>458</v>
      </c>
      <c r="B637" s="137" t="s">
        <v>413</v>
      </c>
      <c r="C637" s="137">
        <v>5</v>
      </c>
      <c r="D637" s="9">
        <v>70.2</v>
      </c>
      <c r="E637" s="8">
        <v>21.945</v>
      </c>
      <c r="F637" s="8">
        <v>8.26</v>
      </c>
      <c r="G637" s="18">
        <v>12.15</v>
      </c>
      <c r="H637" s="240">
        <v>0</v>
      </c>
      <c r="I637" s="240">
        <v>0</v>
      </c>
      <c r="J637" s="240">
        <v>0</v>
      </c>
      <c r="K637" s="240">
        <v>0</v>
      </c>
      <c r="L637" s="240">
        <v>0</v>
      </c>
      <c r="M637" s="240">
        <v>0</v>
      </c>
      <c r="N637" s="240">
        <v>0</v>
      </c>
    </row>
    <row r="638" spans="1:14" x14ac:dyDescent="0.3">
      <c r="A638" s="135" t="s">
        <v>458</v>
      </c>
      <c r="B638" s="137" t="s">
        <v>413</v>
      </c>
      <c r="C638" s="137">
        <v>6</v>
      </c>
      <c r="D638" s="9">
        <v>70.2</v>
      </c>
      <c r="E638" s="8">
        <v>22.055833</v>
      </c>
      <c r="F638" s="8">
        <v>8.5679999999999996</v>
      </c>
      <c r="G638" s="18">
        <v>12.916667</v>
      </c>
      <c r="H638" s="240">
        <v>0</v>
      </c>
      <c r="I638" s="240">
        <v>0</v>
      </c>
      <c r="J638" s="240">
        <v>0</v>
      </c>
      <c r="K638" s="240">
        <v>0</v>
      </c>
      <c r="L638" s="240">
        <v>0</v>
      </c>
      <c r="M638" s="240">
        <v>0</v>
      </c>
      <c r="N638" s="240">
        <v>0</v>
      </c>
    </row>
    <row r="639" spans="1:14" x14ac:dyDescent="0.3">
      <c r="A639" s="135" t="s">
        <v>458</v>
      </c>
      <c r="B639" s="137" t="s">
        <v>413</v>
      </c>
      <c r="C639" s="137">
        <v>7</v>
      </c>
      <c r="D639" s="9">
        <v>70.2</v>
      </c>
      <c r="E639" s="8">
        <v>22.135000000000002</v>
      </c>
      <c r="F639" s="8">
        <v>9.6479999999999997</v>
      </c>
      <c r="G639" s="18">
        <v>13.678571</v>
      </c>
      <c r="H639" s="240">
        <v>0</v>
      </c>
      <c r="I639" s="240">
        <v>0</v>
      </c>
      <c r="J639" s="240">
        <v>0</v>
      </c>
      <c r="K639" s="240">
        <v>0</v>
      </c>
      <c r="L639" s="240">
        <v>0</v>
      </c>
      <c r="M639" s="240">
        <v>0</v>
      </c>
      <c r="N639" s="240">
        <v>0</v>
      </c>
    </row>
    <row r="640" spans="1:14" x14ac:dyDescent="0.3">
      <c r="A640" s="135" t="s">
        <v>458</v>
      </c>
      <c r="B640" s="137" t="s">
        <v>413</v>
      </c>
      <c r="C640" s="137">
        <v>8</v>
      </c>
      <c r="D640" s="9">
        <v>70.2</v>
      </c>
      <c r="E640" s="8">
        <v>22.194375000000001</v>
      </c>
      <c r="F640" s="8">
        <v>10.458</v>
      </c>
      <c r="G640" s="18">
        <v>14.40625</v>
      </c>
      <c r="H640" s="240">
        <v>0</v>
      </c>
      <c r="I640" s="240">
        <v>0</v>
      </c>
      <c r="J640" s="240">
        <v>0</v>
      </c>
      <c r="K640" s="240">
        <v>0</v>
      </c>
      <c r="L640" s="240">
        <v>0</v>
      </c>
      <c r="M640" s="240">
        <v>0</v>
      </c>
      <c r="N640" s="240">
        <v>0</v>
      </c>
    </row>
    <row r="641" spans="1:14" x14ac:dyDescent="0.3">
      <c r="A641" s="135" t="s">
        <v>458</v>
      </c>
      <c r="B641" s="137" t="s">
        <v>413</v>
      </c>
      <c r="C641" s="137">
        <v>9</v>
      </c>
      <c r="D641" s="9">
        <v>70.2</v>
      </c>
      <c r="E641" s="8">
        <v>22.240556000000002</v>
      </c>
      <c r="F641" s="8">
        <v>11.087999999999999</v>
      </c>
      <c r="G641" s="18">
        <v>15.111110999999999</v>
      </c>
      <c r="H641" s="240">
        <v>0</v>
      </c>
      <c r="I641" s="240">
        <v>0</v>
      </c>
      <c r="J641" s="240">
        <v>0</v>
      </c>
      <c r="K641" s="240">
        <v>0</v>
      </c>
      <c r="L641" s="240">
        <v>0</v>
      </c>
      <c r="M641" s="240">
        <v>0</v>
      </c>
      <c r="N641" s="240">
        <v>0</v>
      </c>
    </row>
    <row r="642" spans="1:14" x14ac:dyDescent="0.3">
      <c r="A642" s="135" t="s">
        <v>458</v>
      </c>
      <c r="B642" s="137" t="s">
        <v>413</v>
      </c>
      <c r="C642" s="137">
        <v>10</v>
      </c>
      <c r="D642" s="9">
        <v>70.2</v>
      </c>
      <c r="E642" s="8">
        <v>22.2775</v>
      </c>
      <c r="F642" s="8">
        <v>11.592000000000001</v>
      </c>
      <c r="G642" s="18">
        <v>15.8</v>
      </c>
      <c r="H642" s="240">
        <v>0</v>
      </c>
      <c r="I642" s="240">
        <v>0</v>
      </c>
      <c r="J642" s="240">
        <v>0</v>
      </c>
      <c r="K642" s="240">
        <v>0</v>
      </c>
      <c r="L642" s="240">
        <v>0</v>
      </c>
      <c r="M642" s="240">
        <v>0</v>
      </c>
      <c r="N642" s="240">
        <v>0</v>
      </c>
    </row>
    <row r="643" spans="1:14" x14ac:dyDescent="0.3">
      <c r="A643" s="135" t="s">
        <v>458</v>
      </c>
      <c r="B643" s="137" t="s">
        <v>413</v>
      </c>
      <c r="C643" s="137">
        <v>11</v>
      </c>
      <c r="D643" s="9">
        <v>70.2</v>
      </c>
      <c r="E643" s="8">
        <v>22.307727</v>
      </c>
      <c r="F643" s="8">
        <v>12.004364000000001</v>
      </c>
      <c r="G643" s="18">
        <v>16.454545</v>
      </c>
      <c r="H643" s="240">
        <v>0</v>
      </c>
      <c r="I643" s="240">
        <v>0</v>
      </c>
      <c r="J643" s="240">
        <v>0</v>
      </c>
      <c r="K643" s="240">
        <v>0</v>
      </c>
      <c r="L643" s="240">
        <v>0</v>
      </c>
      <c r="M643" s="240">
        <v>0</v>
      </c>
      <c r="N643" s="240">
        <v>0</v>
      </c>
    </row>
    <row r="644" spans="1:14" x14ac:dyDescent="0.3">
      <c r="A644" s="135" t="s">
        <v>458</v>
      </c>
      <c r="B644" s="137" t="s">
        <v>413</v>
      </c>
      <c r="C644" s="137">
        <v>12</v>
      </c>
      <c r="D644" s="9">
        <v>70.2</v>
      </c>
      <c r="E644" s="8">
        <v>22.332916999999998</v>
      </c>
      <c r="F644" s="8">
        <v>12.966333000000001</v>
      </c>
      <c r="G644" s="18">
        <v>17.145833</v>
      </c>
      <c r="H644" s="240">
        <v>0</v>
      </c>
      <c r="I644" s="240">
        <v>0</v>
      </c>
      <c r="J644" s="240">
        <v>0</v>
      </c>
      <c r="K644" s="240">
        <v>0</v>
      </c>
      <c r="L644" s="240">
        <v>0</v>
      </c>
      <c r="M644" s="240">
        <v>0</v>
      </c>
      <c r="N644" s="240">
        <v>0</v>
      </c>
    </row>
    <row r="645" spans="1:14" x14ac:dyDescent="0.3">
      <c r="A645" s="135" t="s">
        <v>458</v>
      </c>
      <c r="B645" s="137" t="s">
        <v>413</v>
      </c>
      <c r="C645" s="137">
        <v>13</v>
      </c>
      <c r="D645" s="9">
        <v>70.2</v>
      </c>
      <c r="E645" s="8">
        <v>22.354230999999999</v>
      </c>
      <c r="F645" s="8">
        <v>13.780308</v>
      </c>
      <c r="G645" s="18">
        <v>17.807691999999999</v>
      </c>
      <c r="H645" s="240">
        <v>0</v>
      </c>
      <c r="I645" s="240">
        <v>0</v>
      </c>
      <c r="J645" s="240">
        <v>0</v>
      </c>
      <c r="K645" s="240">
        <v>0</v>
      </c>
      <c r="L645" s="240">
        <v>0</v>
      </c>
      <c r="M645" s="240">
        <v>0</v>
      </c>
      <c r="N645" s="240">
        <v>0</v>
      </c>
    </row>
    <row r="646" spans="1:14" x14ac:dyDescent="0.3">
      <c r="A646" s="135" t="s">
        <v>458</v>
      </c>
      <c r="B646" s="137" t="s">
        <v>413</v>
      </c>
      <c r="C646" s="137">
        <v>14</v>
      </c>
      <c r="D646" s="9">
        <v>70.2</v>
      </c>
      <c r="E646" s="8">
        <v>22.372499999999999</v>
      </c>
      <c r="F646" s="8">
        <v>14.478</v>
      </c>
      <c r="G646" s="18">
        <v>18.446428999999998</v>
      </c>
      <c r="H646" s="240">
        <v>0</v>
      </c>
      <c r="I646" s="240">
        <v>0</v>
      </c>
      <c r="J646" s="240">
        <v>0</v>
      </c>
      <c r="K646" s="240">
        <v>0</v>
      </c>
      <c r="L646" s="240">
        <v>0</v>
      </c>
      <c r="M646" s="240">
        <v>0</v>
      </c>
      <c r="N646" s="240">
        <v>0</v>
      </c>
    </row>
    <row r="647" spans="1:14" x14ac:dyDescent="0.3">
      <c r="A647" s="135" t="s">
        <v>458</v>
      </c>
      <c r="B647" s="137" t="s">
        <v>413</v>
      </c>
      <c r="C647" s="137">
        <v>15</v>
      </c>
      <c r="D647" s="9">
        <v>70.2</v>
      </c>
      <c r="E647" s="8">
        <v>22.388332999999999</v>
      </c>
      <c r="F647" s="8">
        <v>15.082667000000001</v>
      </c>
      <c r="G647" s="18">
        <v>19.066666999999999</v>
      </c>
      <c r="H647" s="240">
        <v>0</v>
      </c>
      <c r="I647" s="240">
        <v>0</v>
      </c>
      <c r="J647" s="240">
        <v>0</v>
      </c>
      <c r="K647" s="240">
        <v>0</v>
      </c>
      <c r="L647" s="240">
        <v>0</v>
      </c>
      <c r="M647" s="240">
        <v>0</v>
      </c>
      <c r="N647" s="240">
        <v>0</v>
      </c>
    </row>
    <row r="648" spans="1:14" x14ac:dyDescent="0.3">
      <c r="A648" s="135" t="s">
        <v>458</v>
      </c>
      <c r="B648" s="137" t="s">
        <v>413</v>
      </c>
      <c r="C648" s="137">
        <v>16</v>
      </c>
      <c r="D648" s="9">
        <v>70.2</v>
      </c>
      <c r="E648" s="8">
        <v>22.402187000000001</v>
      </c>
      <c r="F648" s="8">
        <v>15.611750000000001</v>
      </c>
      <c r="G648" s="18">
        <v>19.671875</v>
      </c>
      <c r="H648" s="240">
        <v>0</v>
      </c>
      <c r="I648" s="240">
        <v>0</v>
      </c>
      <c r="J648" s="240">
        <v>0</v>
      </c>
      <c r="K648" s="240">
        <v>0</v>
      </c>
      <c r="L648" s="240">
        <v>0</v>
      </c>
      <c r="M648" s="240">
        <v>0</v>
      </c>
      <c r="N648" s="240">
        <v>0</v>
      </c>
    </row>
    <row r="649" spans="1:14" x14ac:dyDescent="0.3">
      <c r="A649" s="135" t="s">
        <v>458</v>
      </c>
      <c r="B649" s="137" t="s">
        <v>413</v>
      </c>
      <c r="C649" s="137">
        <v>17</v>
      </c>
      <c r="D649" s="9">
        <v>70.2</v>
      </c>
      <c r="E649" s="8">
        <v>22.414411999999999</v>
      </c>
      <c r="F649" s="8">
        <v>16.078588</v>
      </c>
      <c r="G649" s="18">
        <v>20.25</v>
      </c>
      <c r="H649" s="240">
        <v>0</v>
      </c>
      <c r="I649" s="240">
        <v>0</v>
      </c>
      <c r="J649" s="240">
        <v>0</v>
      </c>
      <c r="K649" s="240">
        <v>0</v>
      </c>
      <c r="L649" s="240">
        <v>0</v>
      </c>
      <c r="M649" s="240">
        <v>0</v>
      </c>
      <c r="N649" s="240">
        <v>0</v>
      </c>
    </row>
    <row r="650" spans="1:14" x14ac:dyDescent="0.3">
      <c r="A650" s="135" t="s">
        <v>458</v>
      </c>
      <c r="B650" s="137" t="s">
        <v>413</v>
      </c>
      <c r="C650" s="137">
        <v>18</v>
      </c>
      <c r="D650" s="9">
        <v>70.2</v>
      </c>
      <c r="E650" s="8">
        <v>22.425277999999999</v>
      </c>
      <c r="F650" s="8">
        <v>16.983556</v>
      </c>
      <c r="G650" s="18">
        <v>20.888888999999999</v>
      </c>
      <c r="H650" s="240">
        <v>0</v>
      </c>
      <c r="I650" s="240">
        <v>0</v>
      </c>
      <c r="J650" s="240">
        <v>0</v>
      </c>
      <c r="K650" s="240">
        <v>0</v>
      </c>
      <c r="L650" s="240">
        <v>0</v>
      </c>
      <c r="M650" s="240">
        <v>0</v>
      </c>
      <c r="N650" s="240">
        <v>0</v>
      </c>
    </row>
    <row r="651" spans="1:14" x14ac:dyDescent="0.3">
      <c r="A651" s="135" t="s">
        <v>458</v>
      </c>
      <c r="B651" s="137" t="s">
        <v>413</v>
      </c>
      <c r="C651" s="137">
        <v>19</v>
      </c>
      <c r="D651" s="9">
        <v>70.2</v>
      </c>
      <c r="E651" s="8">
        <v>22.434999999999999</v>
      </c>
      <c r="F651" s="8">
        <v>17.793263</v>
      </c>
      <c r="G651" s="18">
        <v>21.5</v>
      </c>
      <c r="H651" s="240">
        <v>0</v>
      </c>
      <c r="I651" s="240">
        <v>0</v>
      </c>
      <c r="J651" s="240">
        <v>0</v>
      </c>
      <c r="K651" s="240">
        <v>0</v>
      </c>
      <c r="L651" s="240">
        <v>0</v>
      </c>
      <c r="M651" s="240">
        <v>0</v>
      </c>
      <c r="N651" s="240">
        <v>0</v>
      </c>
    </row>
    <row r="652" spans="1:14" x14ac:dyDescent="0.3">
      <c r="A652" s="135" t="s">
        <v>458</v>
      </c>
      <c r="B652" s="137" t="s">
        <v>413</v>
      </c>
      <c r="C652" s="137">
        <v>20</v>
      </c>
      <c r="D652" s="9">
        <v>70.2</v>
      </c>
      <c r="E652" s="8">
        <v>22.443750000000001</v>
      </c>
      <c r="F652" s="8">
        <v>18.521999999999998</v>
      </c>
      <c r="G652" s="18">
        <v>22.087499999999999</v>
      </c>
      <c r="H652" s="240">
        <v>0</v>
      </c>
      <c r="I652" s="240">
        <v>0</v>
      </c>
      <c r="J652" s="240">
        <v>0</v>
      </c>
      <c r="K652" s="240">
        <v>0</v>
      </c>
      <c r="L652" s="240">
        <v>0</v>
      </c>
      <c r="M652" s="240">
        <v>0</v>
      </c>
      <c r="N652" s="240">
        <v>0</v>
      </c>
    </row>
    <row r="653" spans="1:14" x14ac:dyDescent="0.3">
      <c r="A653" s="135" t="s">
        <v>458</v>
      </c>
      <c r="B653" s="137" t="s">
        <v>413</v>
      </c>
      <c r="C653" s="137">
        <v>21</v>
      </c>
      <c r="D653" s="9">
        <v>70.2</v>
      </c>
      <c r="E653" s="8">
        <v>22.451667</v>
      </c>
      <c r="F653" s="8">
        <v>19.181332999999999</v>
      </c>
      <c r="G653" s="18">
        <v>22.666667</v>
      </c>
      <c r="H653" s="240">
        <v>0</v>
      </c>
      <c r="I653" s="240">
        <v>0</v>
      </c>
      <c r="J653" s="240">
        <v>0</v>
      </c>
      <c r="K653" s="240">
        <v>0</v>
      </c>
      <c r="L653" s="240">
        <v>0</v>
      </c>
      <c r="M653" s="240">
        <v>0</v>
      </c>
      <c r="N653" s="240">
        <v>0</v>
      </c>
    </row>
    <row r="654" spans="1:14" x14ac:dyDescent="0.3">
      <c r="A654" s="135" t="s">
        <v>458</v>
      </c>
      <c r="B654" s="137" t="s">
        <v>413</v>
      </c>
      <c r="C654" s="137">
        <v>22</v>
      </c>
      <c r="D654" s="9">
        <v>70.2</v>
      </c>
      <c r="E654" s="8">
        <v>22.458863999999998</v>
      </c>
      <c r="F654" s="8">
        <v>19.780726999999999</v>
      </c>
      <c r="G654" s="18">
        <v>23.238636</v>
      </c>
      <c r="H654" s="240">
        <v>0</v>
      </c>
      <c r="I654" s="240">
        <v>0</v>
      </c>
      <c r="J654" s="240">
        <v>0</v>
      </c>
      <c r="K654" s="240">
        <v>0</v>
      </c>
      <c r="L654" s="240">
        <v>0</v>
      </c>
      <c r="M654" s="240">
        <v>0</v>
      </c>
      <c r="N654" s="240">
        <v>0</v>
      </c>
    </row>
    <row r="655" spans="1:14" x14ac:dyDescent="0.3">
      <c r="A655" s="135" t="s">
        <v>458</v>
      </c>
      <c r="B655" s="137" t="s">
        <v>413</v>
      </c>
      <c r="C655" s="137">
        <v>23</v>
      </c>
      <c r="D655" s="9">
        <v>70.2</v>
      </c>
      <c r="E655" s="8">
        <v>22.465434999999999</v>
      </c>
      <c r="F655" s="8">
        <v>20.327999999999999</v>
      </c>
      <c r="G655" s="18">
        <v>23.782609000000001</v>
      </c>
      <c r="H655" s="240">
        <v>0</v>
      </c>
      <c r="I655" s="240">
        <v>0</v>
      </c>
      <c r="J655" s="240">
        <v>0</v>
      </c>
      <c r="K655" s="240">
        <v>0</v>
      </c>
      <c r="L655" s="240">
        <v>0</v>
      </c>
      <c r="M655" s="240">
        <v>0</v>
      </c>
      <c r="N655" s="240">
        <v>0</v>
      </c>
    </row>
    <row r="656" spans="1:14" x14ac:dyDescent="0.3">
      <c r="A656" s="135" t="s">
        <v>458</v>
      </c>
      <c r="B656" s="137" t="s">
        <v>413</v>
      </c>
      <c r="C656" s="137">
        <v>24</v>
      </c>
      <c r="D656" s="9">
        <v>70.2</v>
      </c>
      <c r="E656" s="8">
        <v>22.471457999999998</v>
      </c>
      <c r="F656" s="8">
        <v>20.829667000000001</v>
      </c>
      <c r="G656" s="18">
        <v>24.322917</v>
      </c>
      <c r="H656" s="240">
        <v>0</v>
      </c>
      <c r="I656" s="240">
        <v>0</v>
      </c>
      <c r="J656" s="240">
        <v>0</v>
      </c>
      <c r="K656" s="240">
        <v>0</v>
      </c>
      <c r="L656" s="240">
        <v>0</v>
      </c>
      <c r="M656" s="240">
        <v>0</v>
      </c>
      <c r="N656" s="240">
        <v>0</v>
      </c>
    </row>
    <row r="657" spans="1:14" x14ac:dyDescent="0.3">
      <c r="A657" s="135" t="s">
        <v>458</v>
      </c>
      <c r="B657" s="137" t="s">
        <v>413</v>
      </c>
      <c r="C657" s="137">
        <v>25</v>
      </c>
      <c r="D657" s="9">
        <v>70.2</v>
      </c>
      <c r="E657" s="8">
        <v>22.477</v>
      </c>
      <c r="F657" s="8">
        <v>21.7</v>
      </c>
      <c r="G657" s="18">
        <v>24.92</v>
      </c>
      <c r="H657" s="240">
        <v>0</v>
      </c>
      <c r="I657" s="240">
        <v>0</v>
      </c>
      <c r="J657" s="240">
        <v>0</v>
      </c>
      <c r="K657" s="240">
        <v>0</v>
      </c>
      <c r="L657" s="240">
        <v>0</v>
      </c>
      <c r="M657" s="240">
        <v>0</v>
      </c>
      <c r="N657" s="240">
        <v>0</v>
      </c>
    </row>
    <row r="658" spans="1:14" x14ac:dyDescent="0.3">
      <c r="A658" s="135" t="s">
        <v>458</v>
      </c>
      <c r="B658" s="137" t="s">
        <v>413</v>
      </c>
      <c r="C658" s="137">
        <v>26</v>
      </c>
      <c r="D658" s="9">
        <v>70.2</v>
      </c>
      <c r="E658" s="8">
        <v>22.482115</v>
      </c>
      <c r="F658" s="8">
        <v>22.503385000000002</v>
      </c>
      <c r="G658" s="18">
        <v>25.490385</v>
      </c>
      <c r="H658" s="240">
        <v>0</v>
      </c>
      <c r="I658" s="240">
        <v>0</v>
      </c>
      <c r="J658" s="240">
        <v>0</v>
      </c>
      <c r="K658" s="240">
        <v>0</v>
      </c>
      <c r="L658" s="240">
        <v>0</v>
      </c>
      <c r="M658" s="240">
        <v>0</v>
      </c>
      <c r="N658" s="240">
        <v>0</v>
      </c>
    </row>
    <row r="659" spans="1:14" x14ac:dyDescent="0.3">
      <c r="A659" s="135" t="s">
        <v>458</v>
      </c>
      <c r="B659" s="137" t="s">
        <v>413</v>
      </c>
      <c r="C659" s="137">
        <v>27</v>
      </c>
      <c r="D659" s="9">
        <v>70.2</v>
      </c>
      <c r="E659" s="8">
        <v>22.486851999999999</v>
      </c>
      <c r="F659" s="8">
        <v>23.247259</v>
      </c>
      <c r="G659" s="18">
        <v>26.055555999999999</v>
      </c>
      <c r="H659" s="240">
        <v>0</v>
      </c>
      <c r="I659" s="240">
        <v>0</v>
      </c>
      <c r="J659" s="240">
        <v>0</v>
      </c>
      <c r="K659" s="240">
        <v>0</v>
      </c>
      <c r="L659" s="240">
        <v>0</v>
      </c>
      <c r="M659" s="240">
        <v>0</v>
      </c>
      <c r="N659" s="240">
        <v>0</v>
      </c>
    </row>
    <row r="660" spans="1:14" x14ac:dyDescent="0.3">
      <c r="A660" s="135" t="s">
        <v>458</v>
      </c>
      <c r="B660" s="137" t="s">
        <v>413</v>
      </c>
      <c r="C660" s="137">
        <v>28</v>
      </c>
      <c r="D660" s="9">
        <v>70.2</v>
      </c>
      <c r="E660" s="8">
        <v>22.491250000000001</v>
      </c>
      <c r="F660" s="8">
        <v>23.937999999999999</v>
      </c>
      <c r="G660" s="18">
        <v>26.607143000000001</v>
      </c>
      <c r="H660" s="240">
        <v>0</v>
      </c>
      <c r="I660" s="240">
        <v>0</v>
      </c>
      <c r="J660" s="240">
        <v>0</v>
      </c>
      <c r="K660" s="240">
        <v>0</v>
      </c>
      <c r="L660" s="240">
        <v>0</v>
      </c>
      <c r="M660" s="240">
        <v>0</v>
      </c>
      <c r="N660" s="240">
        <v>0</v>
      </c>
    </row>
    <row r="661" spans="1:14" x14ac:dyDescent="0.3">
      <c r="A661" s="135" t="s">
        <v>458</v>
      </c>
      <c r="B661" s="137" t="s">
        <v>413</v>
      </c>
      <c r="C661" s="137">
        <v>29</v>
      </c>
      <c r="D661" s="9">
        <v>70.2</v>
      </c>
      <c r="E661" s="8">
        <v>22.495345</v>
      </c>
      <c r="F661" s="8">
        <v>24.581102999999999</v>
      </c>
      <c r="G661" s="18">
        <v>27.155172</v>
      </c>
      <c r="H661" s="240">
        <v>0</v>
      </c>
      <c r="I661" s="240">
        <v>0</v>
      </c>
      <c r="J661" s="240">
        <v>0</v>
      </c>
      <c r="K661" s="240">
        <v>0</v>
      </c>
      <c r="L661" s="240">
        <v>0</v>
      </c>
      <c r="M661" s="240">
        <v>0</v>
      </c>
      <c r="N661" s="240">
        <v>0</v>
      </c>
    </row>
    <row r="662" spans="1:14" x14ac:dyDescent="0.3">
      <c r="A662" s="138" t="s">
        <v>458</v>
      </c>
      <c r="B662" s="137" t="s">
        <v>413</v>
      </c>
      <c r="C662" s="137">
        <v>30</v>
      </c>
      <c r="D662" s="9">
        <v>70.2</v>
      </c>
      <c r="E662" s="8">
        <v>22.499167</v>
      </c>
      <c r="F662" s="8">
        <v>25.181332999999999</v>
      </c>
      <c r="G662" s="18">
        <v>27.683333000000001</v>
      </c>
      <c r="H662" s="240">
        <v>0</v>
      </c>
      <c r="I662" s="240">
        <v>0</v>
      </c>
      <c r="J662" s="240">
        <v>0</v>
      </c>
      <c r="K662" s="240">
        <v>0</v>
      </c>
      <c r="L662" s="240">
        <v>0</v>
      </c>
      <c r="M662" s="240">
        <v>0</v>
      </c>
      <c r="N662" s="240">
        <v>0</v>
      </c>
    </row>
    <row r="663" spans="1:14" x14ac:dyDescent="0.3">
      <c r="A663" s="142" t="s">
        <v>458</v>
      </c>
      <c r="B663" s="143" t="s">
        <v>414</v>
      </c>
      <c r="C663" s="143">
        <v>1</v>
      </c>
      <c r="D663" s="9">
        <v>28.664999999999999</v>
      </c>
      <c r="E663" s="8">
        <v>2.9257200000000001</v>
      </c>
      <c r="F663" s="8">
        <v>0.41176800000000002</v>
      </c>
      <c r="G663" s="18">
        <v>9.5</v>
      </c>
      <c r="H663" s="240">
        <v>0</v>
      </c>
      <c r="I663" s="240">
        <v>0</v>
      </c>
      <c r="J663" s="240">
        <v>0</v>
      </c>
      <c r="K663" s="240">
        <v>0</v>
      </c>
      <c r="L663" s="240">
        <v>0</v>
      </c>
      <c r="M663" s="240">
        <v>0</v>
      </c>
      <c r="N663" s="240">
        <v>0</v>
      </c>
    </row>
    <row r="664" spans="1:14" x14ac:dyDescent="0.3">
      <c r="A664" s="135" t="s">
        <v>458</v>
      </c>
      <c r="B664" s="136" t="s">
        <v>414</v>
      </c>
      <c r="C664" s="137">
        <v>2</v>
      </c>
      <c r="D664" s="9">
        <v>29.767499999999998</v>
      </c>
      <c r="E664" s="8">
        <v>2.9257200000000001</v>
      </c>
      <c r="F664" s="8">
        <v>0.61358900000000005</v>
      </c>
      <c r="G664" s="18">
        <v>8.125</v>
      </c>
      <c r="H664" s="240">
        <v>0</v>
      </c>
      <c r="I664" s="240">
        <v>0</v>
      </c>
      <c r="J664" s="240">
        <v>0</v>
      </c>
      <c r="K664" s="240">
        <v>0</v>
      </c>
      <c r="L664" s="240">
        <v>0</v>
      </c>
      <c r="M664" s="240">
        <v>0</v>
      </c>
      <c r="N664" s="240">
        <v>0</v>
      </c>
    </row>
    <row r="665" spans="1:14" x14ac:dyDescent="0.3">
      <c r="A665" s="135" t="s">
        <v>458</v>
      </c>
      <c r="B665" s="137" t="s">
        <v>414</v>
      </c>
      <c r="C665" s="137">
        <v>3</v>
      </c>
      <c r="D665" s="9">
        <v>30.135000000000002</v>
      </c>
      <c r="E665" s="8">
        <v>2.9257200000000001</v>
      </c>
      <c r="F665" s="8">
        <v>0.842499</v>
      </c>
      <c r="G665" s="18">
        <v>8</v>
      </c>
      <c r="H665" s="240">
        <v>0</v>
      </c>
      <c r="I665" s="240">
        <v>0</v>
      </c>
      <c r="J665" s="240">
        <v>0</v>
      </c>
      <c r="K665" s="240">
        <v>0</v>
      </c>
      <c r="L665" s="240">
        <v>0</v>
      </c>
      <c r="M665" s="240">
        <v>0</v>
      </c>
      <c r="N665" s="240">
        <v>0</v>
      </c>
    </row>
    <row r="666" spans="1:14" x14ac:dyDescent="0.3">
      <c r="A666" s="135" t="s">
        <v>458</v>
      </c>
      <c r="B666" s="137" t="s">
        <v>414</v>
      </c>
      <c r="C666" s="137">
        <v>4</v>
      </c>
      <c r="D666" s="9">
        <v>30.318750000000001</v>
      </c>
      <c r="E666" s="8">
        <v>2.9257200000000001</v>
      </c>
      <c r="F666" s="8">
        <v>0.95695399999999997</v>
      </c>
      <c r="G666" s="18">
        <v>8.1875</v>
      </c>
      <c r="H666" s="240">
        <v>0</v>
      </c>
      <c r="I666" s="240">
        <v>0</v>
      </c>
      <c r="J666" s="240">
        <v>0</v>
      </c>
      <c r="K666" s="240">
        <v>0</v>
      </c>
      <c r="L666" s="240">
        <v>0</v>
      </c>
      <c r="M666" s="240">
        <v>0</v>
      </c>
      <c r="N666" s="240">
        <v>0</v>
      </c>
    </row>
    <row r="667" spans="1:14" x14ac:dyDescent="0.3">
      <c r="A667" s="135" t="s">
        <v>458</v>
      </c>
      <c r="B667" s="137" t="s">
        <v>414</v>
      </c>
      <c r="C667" s="137">
        <v>5</v>
      </c>
      <c r="D667" s="9">
        <v>30.428999999999998</v>
      </c>
      <c r="E667" s="8">
        <v>2.9257200000000001</v>
      </c>
      <c r="F667" s="8">
        <v>1.129653</v>
      </c>
      <c r="G667" s="18">
        <v>8.5</v>
      </c>
      <c r="H667" s="240">
        <v>0</v>
      </c>
      <c r="I667" s="240">
        <v>0</v>
      </c>
      <c r="J667" s="240">
        <v>0</v>
      </c>
      <c r="K667" s="240">
        <v>0</v>
      </c>
      <c r="L667" s="240">
        <v>0</v>
      </c>
      <c r="M667" s="240">
        <v>0</v>
      </c>
      <c r="N667" s="240">
        <v>0</v>
      </c>
    </row>
    <row r="668" spans="1:14" x14ac:dyDescent="0.3">
      <c r="A668" s="135" t="s">
        <v>458</v>
      </c>
      <c r="B668" s="137" t="s">
        <v>414</v>
      </c>
      <c r="C668" s="137">
        <v>6</v>
      </c>
      <c r="D668" s="9">
        <v>30.502500000000001</v>
      </c>
      <c r="E668" s="8">
        <v>2.9257200000000001</v>
      </c>
      <c r="F668" s="8">
        <v>1.2624439999999999</v>
      </c>
      <c r="G668" s="18">
        <v>8.8333329999999997</v>
      </c>
      <c r="H668" s="240">
        <v>0</v>
      </c>
      <c r="I668" s="240">
        <v>0</v>
      </c>
      <c r="J668" s="240">
        <v>0</v>
      </c>
      <c r="K668" s="240">
        <v>0</v>
      </c>
      <c r="L668" s="240">
        <v>0</v>
      </c>
      <c r="M668" s="240">
        <v>0</v>
      </c>
      <c r="N668" s="240">
        <v>0</v>
      </c>
    </row>
    <row r="669" spans="1:14" x14ac:dyDescent="0.3">
      <c r="A669" s="135" t="s">
        <v>458</v>
      </c>
      <c r="B669" s="137" t="s">
        <v>414</v>
      </c>
      <c r="C669" s="137">
        <v>7</v>
      </c>
      <c r="D669" s="9">
        <v>30.555</v>
      </c>
      <c r="E669" s="8">
        <v>2.9257200000000001</v>
      </c>
      <c r="F669" s="8">
        <v>1.3572949999999999</v>
      </c>
      <c r="G669" s="18">
        <v>9.1785709999999998</v>
      </c>
      <c r="H669" s="240">
        <v>0</v>
      </c>
      <c r="I669" s="240">
        <v>0</v>
      </c>
      <c r="J669" s="240">
        <v>0</v>
      </c>
      <c r="K669" s="240">
        <v>0</v>
      </c>
      <c r="L669" s="240">
        <v>0</v>
      </c>
      <c r="M669" s="240">
        <v>0</v>
      </c>
      <c r="N669" s="240">
        <v>0</v>
      </c>
    </row>
    <row r="670" spans="1:14" x14ac:dyDescent="0.3">
      <c r="A670" s="135" t="s">
        <v>458</v>
      </c>
      <c r="B670" s="137" t="s">
        <v>414</v>
      </c>
      <c r="C670" s="137">
        <v>8</v>
      </c>
      <c r="D670" s="9">
        <v>30.594374999999999</v>
      </c>
      <c r="E670" s="8">
        <v>2.9257200000000001</v>
      </c>
      <c r="F670" s="8">
        <v>1.545221</v>
      </c>
      <c r="G670" s="18">
        <v>9.53125</v>
      </c>
      <c r="H670" s="240">
        <v>0</v>
      </c>
      <c r="I670" s="240">
        <v>0</v>
      </c>
      <c r="J670" s="240">
        <v>0</v>
      </c>
      <c r="K670" s="240">
        <v>0</v>
      </c>
      <c r="L670" s="240">
        <v>0</v>
      </c>
      <c r="M670" s="240">
        <v>0</v>
      </c>
      <c r="N670" s="240">
        <v>0</v>
      </c>
    </row>
    <row r="671" spans="1:14" x14ac:dyDescent="0.3">
      <c r="A671" s="135" t="s">
        <v>458</v>
      </c>
      <c r="B671" s="137" t="s">
        <v>414</v>
      </c>
      <c r="C671" s="137">
        <v>9</v>
      </c>
      <c r="D671" s="9">
        <v>30.625</v>
      </c>
      <c r="E671" s="8">
        <v>2.9257200000000001</v>
      </c>
      <c r="F671" s="8">
        <v>1.6913860000000001</v>
      </c>
      <c r="G671" s="18">
        <v>9.8888890000000007</v>
      </c>
      <c r="H671" s="240">
        <v>0</v>
      </c>
      <c r="I671" s="240">
        <v>0</v>
      </c>
      <c r="J671" s="240">
        <v>0</v>
      </c>
      <c r="K671" s="240">
        <v>0</v>
      </c>
      <c r="L671" s="240">
        <v>0</v>
      </c>
      <c r="M671" s="240">
        <v>0</v>
      </c>
      <c r="N671" s="240">
        <v>0</v>
      </c>
    </row>
    <row r="672" spans="1:14" x14ac:dyDescent="0.3">
      <c r="A672" s="135" t="s">
        <v>458</v>
      </c>
      <c r="B672" s="137" t="s">
        <v>414</v>
      </c>
      <c r="C672" s="137">
        <v>10</v>
      </c>
      <c r="D672" s="9">
        <v>30.6495</v>
      </c>
      <c r="E672" s="8">
        <v>2.9257200000000001</v>
      </c>
      <c r="F672" s="8">
        <v>1.8232470000000001</v>
      </c>
      <c r="G672" s="18">
        <v>10.225</v>
      </c>
      <c r="H672" s="240">
        <v>0</v>
      </c>
      <c r="I672" s="240">
        <v>0</v>
      </c>
      <c r="J672" s="240">
        <v>0</v>
      </c>
      <c r="K672" s="240">
        <v>0</v>
      </c>
      <c r="L672" s="240">
        <v>0</v>
      </c>
      <c r="M672" s="240">
        <v>0</v>
      </c>
      <c r="N672" s="240">
        <v>0</v>
      </c>
    </row>
    <row r="673" spans="1:14" x14ac:dyDescent="0.3">
      <c r="A673" s="135" t="s">
        <v>458</v>
      </c>
      <c r="B673" s="137" t="s">
        <v>414</v>
      </c>
      <c r="C673" s="137">
        <v>11</v>
      </c>
      <c r="D673" s="9">
        <v>30.669544999999999</v>
      </c>
      <c r="E673" s="8">
        <v>2.9257200000000001</v>
      </c>
      <c r="F673" s="8">
        <v>1.9311339999999999</v>
      </c>
      <c r="G673" s="18">
        <v>10.568182</v>
      </c>
      <c r="H673" s="240">
        <v>0</v>
      </c>
      <c r="I673" s="240">
        <v>0</v>
      </c>
      <c r="J673" s="240">
        <v>0</v>
      </c>
      <c r="K673" s="240">
        <v>0</v>
      </c>
      <c r="L673" s="240">
        <v>0</v>
      </c>
      <c r="M673" s="240">
        <v>0</v>
      </c>
      <c r="N673" s="240">
        <v>0</v>
      </c>
    </row>
    <row r="674" spans="1:14" x14ac:dyDescent="0.3">
      <c r="A674" s="135" t="s">
        <v>458</v>
      </c>
      <c r="B674" s="137" t="s">
        <v>414</v>
      </c>
      <c r="C674" s="137">
        <v>12</v>
      </c>
      <c r="D674" s="9">
        <v>30.686250000000001</v>
      </c>
      <c r="E674" s="8">
        <v>2.9257200000000001</v>
      </c>
      <c r="F674" s="8">
        <v>2.0952860000000002</v>
      </c>
      <c r="G674" s="18">
        <v>10.895833</v>
      </c>
      <c r="H674" s="240">
        <v>0</v>
      </c>
      <c r="I674" s="240">
        <v>0</v>
      </c>
      <c r="J674" s="240">
        <v>0</v>
      </c>
      <c r="K674" s="240">
        <v>0</v>
      </c>
      <c r="L674" s="240">
        <v>0</v>
      </c>
      <c r="M674" s="240">
        <v>0</v>
      </c>
      <c r="N674" s="240">
        <v>0</v>
      </c>
    </row>
    <row r="675" spans="1:14" x14ac:dyDescent="0.3">
      <c r="A675" s="135" t="s">
        <v>458</v>
      </c>
      <c r="B675" s="137" t="s">
        <v>414</v>
      </c>
      <c r="C675" s="137">
        <v>13</v>
      </c>
      <c r="D675" s="9">
        <v>30.700385000000001</v>
      </c>
      <c r="E675" s="8">
        <v>2.9257200000000001</v>
      </c>
      <c r="F675" s="8">
        <v>2.2341839999999999</v>
      </c>
      <c r="G675" s="18">
        <v>11.230769</v>
      </c>
      <c r="H675" s="240">
        <v>0</v>
      </c>
      <c r="I675" s="240">
        <v>0</v>
      </c>
      <c r="J675" s="240">
        <v>0</v>
      </c>
      <c r="K675" s="240">
        <v>0</v>
      </c>
      <c r="L675" s="240">
        <v>0</v>
      </c>
      <c r="M675" s="240">
        <v>0</v>
      </c>
      <c r="N675" s="240">
        <v>0</v>
      </c>
    </row>
    <row r="676" spans="1:14" x14ac:dyDescent="0.3">
      <c r="A676" s="135" t="s">
        <v>458</v>
      </c>
      <c r="B676" s="137" t="s">
        <v>414</v>
      </c>
      <c r="C676" s="137">
        <v>14</v>
      </c>
      <c r="D676" s="9">
        <v>30.712499999999999</v>
      </c>
      <c r="E676" s="8">
        <v>2.9257200000000001</v>
      </c>
      <c r="F676" s="8">
        <v>2.3841999999999999</v>
      </c>
      <c r="G676" s="18">
        <v>11.535714</v>
      </c>
      <c r="H676" s="240">
        <v>0</v>
      </c>
      <c r="I676" s="240">
        <v>0</v>
      </c>
      <c r="J676" s="240">
        <v>0</v>
      </c>
      <c r="K676" s="240">
        <v>0</v>
      </c>
      <c r="L676" s="240">
        <v>0</v>
      </c>
      <c r="M676" s="240">
        <v>0</v>
      </c>
      <c r="N676" s="240">
        <v>0</v>
      </c>
    </row>
    <row r="677" spans="1:14" x14ac:dyDescent="0.3">
      <c r="A677" s="135" t="s">
        <v>458</v>
      </c>
      <c r="B677" s="137" t="s">
        <v>414</v>
      </c>
      <c r="C677" s="137">
        <v>15</v>
      </c>
      <c r="D677" s="9">
        <v>30.722999999999999</v>
      </c>
      <c r="E677" s="8">
        <v>2.9257200000000001</v>
      </c>
      <c r="F677" s="8">
        <v>2.5142129999999998</v>
      </c>
      <c r="G677" s="18">
        <v>11.866667</v>
      </c>
      <c r="H677" s="240">
        <v>0</v>
      </c>
      <c r="I677" s="240">
        <v>0</v>
      </c>
      <c r="J677" s="240">
        <v>0</v>
      </c>
      <c r="K677" s="240">
        <v>0</v>
      </c>
      <c r="L677" s="240">
        <v>0</v>
      </c>
      <c r="M677" s="240">
        <v>0</v>
      </c>
      <c r="N677" s="240">
        <v>0</v>
      </c>
    </row>
    <row r="678" spans="1:14" x14ac:dyDescent="0.3">
      <c r="A678" s="135" t="s">
        <v>458</v>
      </c>
      <c r="B678" s="137" t="s">
        <v>414</v>
      </c>
      <c r="C678" s="137">
        <v>16</v>
      </c>
      <c r="D678" s="9">
        <v>30.732187</v>
      </c>
      <c r="E678" s="8">
        <v>2.9257200000000001</v>
      </c>
      <c r="F678" s="8">
        <v>2.6279750000000002</v>
      </c>
      <c r="G678" s="18">
        <v>12.171875</v>
      </c>
      <c r="H678" s="240">
        <v>0</v>
      </c>
      <c r="I678" s="240">
        <v>0</v>
      </c>
      <c r="J678" s="240">
        <v>0</v>
      </c>
      <c r="K678" s="240">
        <v>0</v>
      </c>
      <c r="L678" s="240">
        <v>0</v>
      </c>
      <c r="M678" s="240">
        <v>0</v>
      </c>
      <c r="N678" s="240">
        <v>0</v>
      </c>
    </row>
    <row r="679" spans="1:14" x14ac:dyDescent="0.3">
      <c r="A679" s="135" t="s">
        <v>458</v>
      </c>
      <c r="B679" s="137" t="s">
        <v>414</v>
      </c>
      <c r="C679" s="137">
        <v>17</v>
      </c>
      <c r="D679" s="9">
        <v>30.740293999999999</v>
      </c>
      <c r="E679" s="8">
        <v>2.9257200000000001</v>
      </c>
      <c r="F679" s="8">
        <v>2.7283529999999998</v>
      </c>
      <c r="G679" s="18">
        <v>12.470587999999999</v>
      </c>
      <c r="H679" s="240">
        <v>0</v>
      </c>
      <c r="I679" s="240">
        <v>0</v>
      </c>
      <c r="J679" s="240">
        <v>0</v>
      </c>
      <c r="K679" s="240">
        <v>0</v>
      </c>
      <c r="L679" s="240">
        <v>0</v>
      </c>
      <c r="M679" s="240">
        <v>0</v>
      </c>
      <c r="N679" s="240">
        <v>0</v>
      </c>
    </row>
    <row r="680" spans="1:14" x14ac:dyDescent="0.3">
      <c r="A680" s="135" t="s">
        <v>458</v>
      </c>
      <c r="B680" s="137" t="s">
        <v>414</v>
      </c>
      <c r="C680" s="137">
        <v>18</v>
      </c>
      <c r="D680" s="9">
        <v>30.747499999999999</v>
      </c>
      <c r="E680" s="8">
        <v>2.9257200000000001</v>
      </c>
      <c r="F680" s="8">
        <v>2.8946329999999998</v>
      </c>
      <c r="G680" s="18">
        <v>12.763889000000001</v>
      </c>
      <c r="H680" s="240">
        <v>0</v>
      </c>
      <c r="I680" s="240">
        <v>0</v>
      </c>
      <c r="J680" s="240">
        <v>0</v>
      </c>
      <c r="K680" s="240">
        <v>0</v>
      </c>
      <c r="L680" s="240">
        <v>0</v>
      </c>
      <c r="M680" s="240">
        <v>0</v>
      </c>
      <c r="N680" s="240">
        <v>0</v>
      </c>
    </row>
    <row r="681" spans="1:14" x14ac:dyDescent="0.3">
      <c r="A681" s="135" t="s">
        <v>458</v>
      </c>
      <c r="B681" s="137" t="s">
        <v>414</v>
      </c>
      <c r="C681" s="137">
        <v>19</v>
      </c>
      <c r="D681" s="9">
        <v>30.753947</v>
      </c>
      <c r="E681" s="8">
        <v>2.9257200000000001</v>
      </c>
      <c r="F681" s="8">
        <v>3.0434109999999999</v>
      </c>
      <c r="G681" s="18">
        <v>13.065789000000001</v>
      </c>
      <c r="H681" s="240">
        <v>0</v>
      </c>
      <c r="I681" s="240">
        <v>0</v>
      </c>
      <c r="J681" s="240">
        <v>0</v>
      </c>
      <c r="K681" s="240">
        <v>0</v>
      </c>
      <c r="L681" s="240">
        <v>0</v>
      </c>
      <c r="M681" s="240">
        <v>0</v>
      </c>
      <c r="N681" s="240">
        <v>0</v>
      </c>
    </row>
    <row r="682" spans="1:14" x14ac:dyDescent="0.3">
      <c r="A682" s="135" t="s">
        <v>458</v>
      </c>
      <c r="B682" s="137" t="s">
        <v>414</v>
      </c>
      <c r="C682" s="137">
        <v>20</v>
      </c>
      <c r="D682" s="9">
        <v>30.993052656940602</v>
      </c>
      <c r="E682" s="8">
        <v>2.9257200000000001</v>
      </c>
      <c r="F682" s="8">
        <v>3.1135999999999999</v>
      </c>
      <c r="G682" s="18">
        <v>13.808299999999999</v>
      </c>
      <c r="H682" s="240">
        <v>0</v>
      </c>
      <c r="I682" s="240">
        <v>0</v>
      </c>
      <c r="J682" s="240">
        <v>0</v>
      </c>
      <c r="K682" s="240">
        <v>0</v>
      </c>
      <c r="L682" s="240">
        <v>0</v>
      </c>
      <c r="M682" s="240">
        <v>0</v>
      </c>
      <c r="N682" s="240">
        <v>0</v>
      </c>
    </row>
    <row r="683" spans="1:14" x14ac:dyDescent="0.3">
      <c r="A683" s="135" t="s">
        <v>458</v>
      </c>
      <c r="B683" s="137" t="s">
        <v>414</v>
      </c>
      <c r="C683" s="137">
        <v>21</v>
      </c>
      <c r="D683" s="9">
        <v>31.021645588978252</v>
      </c>
      <c r="E683" s="8">
        <v>2.9257200000000001</v>
      </c>
      <c r="F683" s="8">
        <v>3.2307999999999999</v>
      </c>
      <c r="G683" s="18">
        <v>14.284099999999999</v>
      </c>
      <c r="H683" s="240">
        <v>0</v>
      </c>
      <c r="I683" s="240">
        <v>0</v>
      </c>
      <c r="J683" s="240">
        <v>0</v>
      </c>
      <c r="K683" s="240">
        <v>0</v>
      </c>
      <c r="L683" s="240">
        <v>0</v>
      </c>
      <c r="M683" s="240">
        <v>0</v>
      </c>
      <c r="N683" s="240">
        <v>0</v>
      </c>
    </row>
    <row r="684" spans="1:14" x14ac:dyDescent="0.3">
      <c r="A684" s="135" t="s">
        <v>458</v>
      </c>
      <c r="B684" s="137" t="s">
        <v>414</v>
      </c>
      <c r="C684" s="137">
        <v>22</v>
      </c>
      <c r="D684" s="9">
        <v>31.048932691591556</v>
      </c>
      <c r="E684" s="8">
        <v>2.9257200000000001</v>
      </c>
      <c r="F684" s="8">
        <v>3.3457999999999997</v>
      </c>
      <c r="G684" s="18">
        <v>14.7783</v>
      </c>
      <c r="H684" s="240">
        <v>0</v>
      </c>
      <c r="I684" s="240">
        <v>0</v>
      </c>
      <c r="J684" s="240">
        <v>0</v>
      </c>
      <c r="K684" s="240">
        <v>0</v>
      </c>
      <c r="L684" s="240">
        <v>0</v>
      </c>
      <c r="M684" s="240">
        <v>0</v>
      </c>
      <c r="N684" s="240">
        <v>0</v>
      </c>
    </row>
    <row r="685" spans="1:14" x14ac:dyDescent="0.3">
      <c r="A685" s="135" t="s">
        <v>458</v>
      </c>
      <c r="B685" s="137" t="s">
        <v>414</v>
      </c>
      <c r="C685" s="137">
        <v>23</v>
      </c>
      <c r="D685" s="9">
        <v>31.075029050251153</v>
      </c>
      <c r="E685" s="8">
        <v>2.9257200000000001</v>
      </c>
      <c r="F685" s="8">
        <v>3.4585999999999997</v>
      </c>
      <c r="G685" s="18">
        <v>15.290899999999999</v>
      </c>
      <c r="H685" s="240">
        <v>0</v>
      </c>
      <c r="I685" s="240">
        <v>0</v>
      </c>
      <c r="J685" s="240">
        <v>0</v>
      </c>
      <c r="K685" s="240">
        <v>0</v>
      </c>
      <c r="L685" s="240">
        <v>0</v>
      </c>
      <c r="M685" s="240">
        <v>0</v>
      </c>
      <c r="N685" s="240">
        <v>0</v>
      </c>
    </row>
    <row r="686" spans="1:14" x14ac:dyDescent="0.3">
      <c r="A686" s="135" t="s">
        <v>458</v>
      </c>
      <c r="B686" s="137" t="s">
        <v>414</v>
      </c>
      <c r="C686" s="137">
        <v>24</v>
      </c>
      <c r="D686" s="9">
        <v>31.100035135768042</v>
      </c>
      <c r="E686" s="8">
        <v>2.9257200000000001</v>
      </c>
      <c r="F686" s="8">
        <v>3.5691999999999999</v>
      </c>
      <c r="G686" s="18">
        <v>15.821899999999999</v>
      </c>
      <c r="H686" s="240">
        <v>0</v>
      </c>
      <c r="I686" s="240">
        <v>0</v>
      </c>
      <c r="J686" s="240">
        <v>0</v>
      </c>
      <c r="K686" s="240">
        <v>0</v>
      </c>
      <c r="L686" s="240">
        <v>0</v>
      </c>
      <c r="M686" s="240">
        <v>0</v>
      </c>
      <c r="N686" s="240">
        <v>0</v>
      </c>
    </row>
    <row r="687" spans="1:14" x14ac:dyDescent="0.3">
      <c r="A687" s="135" t="s">
        <v>458</v>
      </c>
      <c r="B687" s="137" t="s">
        <v>414</v>
      </c>
      <c r="C687" s="137">
        <v>25</v>
      </c>
      <c r="D687" s="9">
        <v>31.124039181834071</v>
      </c>
      <c r="E687" s="8">
        <v>2.9257200000000001</v>
      </c>
      <c r="F687" s="8">
        <v>3.6776</v>
      </c>
      <c r="G687" s="18">
        <v>16.371299999999998</v>
      </c>
      <c r="H687" s="240">
        <v>0</v>
      </c>
      <c r="I687" s="240">
        <v>0</v>
      </c>
      <c r="J687" s="240">
        <v>0</v>
      </c>
      <c r="K687" s="240">
        <v>0</v>
      </c>
      <c r="L687" s="240">
        <v>0</v>
      </c>
      <c r="M687" s="240">
        <v>0</v>
      </c>
      <c r="N687" s="240">
        <v>0</v>
      </c>
    </row>
    <row r="688" spans="1:14" x14ac:dyDescent="0.3">
      <c r="A688" s="135" t="s">
        <v>458</v>
      </c>
      <c r="B688" s="137" t="s">
        <v>414</v>
      </c>
      <c r="C688" s="137">
        <v>26</v>
      </c>
      <c r="D688" s="9">
        <v>31.147119097563095</v>
      </c>
      <c r="E688" s="8">
        <v>2.9257200000000001</v>
      </c>
      <c r="F688" s="8">
        <v>3.7838000000000003</v>
      </c>
      <c r="G688" s="18">
        <v>16.9391</v>
      </c>
      <c r="H688" s="240">
        <v>0</v>
      </c>
      <c r="I688" s="240">
        <v>0</v>
      </c>
      <c r="J688" s="240">
        <v>0</v>
      </c>
      <c r="K688" s="240">
        <v>0</v>
      </c>
      <c r="L688" s="240">
        <v>0</v>
      </c>
      <c r="M688" s="240">
        <v>0</v>
      </c>
      <c r="N688" s="240">
        <v>0</v>
      </c>
    </row>
    <row r="689" spans="1:14" x14ac:dyDescent="0.3">
      <c r="A689" s="135" t="s">
        <v>458</v>
      </c>
      <c r="B689" s="137" t="s">
        <v>414</v>
      </c>
      <c r="C689" s="137">
        <v>27</v>
      </c>
      <c r="D689" s="9">
        <v>31.169344020122473</v>
      </c>
      <c r="E689" s="8">
        <v>2.9257200000000001</v>
      </c>
      <c r="F689" s="8">
        <v>3.8878000000000004</v>
      </c>
      <c r="G689" s="18">
        <v>17.525300000000001</v>
      </c>
      <c r="H689" s="240">
        <v>0</v>
      </c>
      <c r="I689" s="240">
        <v>0</v>
      </c>
      <c r="J689" s="240">
        <v>0</v>
      </c>
      <c r="K689" s="240">
        <v>0</v>
      </c>
      <c r="L689" s="240">
        <v>0</v>
      </c>
      <c r="M689" s="240">
        <v>0</v>
      </c>
      <c r="N689" s="240">
        <v>0</v>
      </c>
    </row>
    <row r="690" spans="1:14" x14ac:dyDescent="0.3">
      <c r="A690" s="135" t="s">
        <v>458</v>
      </c>
      <c r="B690" s="137" t="s">
        <v>414</v>
      </c>
      <c r="C690" s="137">
        <v>28</v>
      </c>
      <c r="D690" s="9">
        <v>31.190775585829368</v>
      </c>
      <c r="E690" s="8">
        <v>2.9257200000000001</v>
      </c>
      <c r="F690" s="8">
        <v>3.9895999999999994</v>
      </c>
      <c r="G690" s="18">
        <v>18.129899999999999</v>
      </c>
      <c r="H690" s="240">
        <v>0</v>
      </c>
      <c r="I690" s="240">
        <v>0</v>
      </c>
      <c r="J690" s="240">
        <v>0</v>
      </c>
      <c r="K690" s="240">
        <v>0</v>
      </c>
      <c r="L690" s="240">
        <v>0</v>
      </c>
      <c r="M690" s="240">
        <v>0</v>
      </c>
      <c r="N690" s="240">
        <v>0</v>
      </c>
    </row>
    <row r="691" spans="1:14" x14ac:dyDescent="0.3">
      <c r="A691" s="135" t="s">
        <v>458</v>
      </c>
      <c r="B691" s="137" t="s">
        <v>414</v>
      </c>
      <c r="C691" s="137">
        <v>29</v>
      </c>
      <c r="D691" s="9">
        <v>31.211468978863913</v>
      </c>
      <c r="E691" s="8">
        <v>2.9257200000000001</v>
      </c>
      <c r="F691" s="8">
        <v>4.0891999999999999</v>
      </c>
      <c r="G691" s="18">
        <v>18.752899999999997</v>
      </c>
      <c r="H691" s="240">
        <v>0</v>
      </c>
      <c r="I691" s="240">
        <v>0</v>
      </c>
      <c r="J691" s="240">
        <v>0</v>
      </c>
      <c r="K691" s="240">
        <v>0</v>
      </c>
      <c r="L691" s="240">
        <v>0</v>
      </c>
      <c r="M691" s="240">
        <v>0</v>
      </c>
      <c r="N691" s="240">
        <v>0</v>
      </c>
    </row>
    <row r="692" spans="1:14" x14ac:dyDescent="0.3">
      <c r="A692" s="138" t="s">
        <v>458</v>
      </c>
      <c r="B692" s="137" t="s">
        <v>414</v>
      </c>
      <c r="C692" s="137">
        <v>30</v>
      </c>
      <c r="D692" s="9">
        <v>31.231473802736101</v>
      </c>
      <c r="E692" s="8">
        <v>2.9257200000000001</v>
      </c>
      <c r="F692" s="8">
        <v>4.1865999999999994</v>
      </c>
      <c r="G692" s="18">
        <v>19.394300000000001</v>
      </c>
      <c r="H692" s="240">
        <v>0</v>
      </c>
      <c r="I692" s="240">
        <v>0</v>
      </c>
      <c r="J692" s="240">
        <v>0</v>
      </c>
      <c r="K692" s="240">
        <v>0</v>
      </c>
      <c r="L692" s="240">
        <v>0</v>
      </c>
      <c r="M692" s="240">
        <v>0</v>
      </c>
      <c r="N692" s="240">
        <v>0</v>
      </c>
    </row>
    <row r="693" spans="1:14" x14ac:dyDescent="0.3">
      <c r="A693" s="142" t="s">
        <v>458</v>
      </c>
      <c r="B693" s="143" t="s">
        <v>415</v>
      </c>
      <c r="C693" s="143">
        <v>1</v>
      </c>
      <c r="D693" s="9">
        <v>28.664999999999999</v>
      </c>
      <c r="E693" s="8">
        <v>0</v>
      </c>
      <c r="F693" s="8">
        <v>3.7044000000000001</v>
      </c>
      <c r="G693" s="18">
        <v>4.25</v>
      </c>
      <c r="H693" s="240">
        <v>0</v>
      </c>
      <c r="I693" s="240">
        <v>0</v>
      </c>
      <c r="J693" s="240">
        <v>0</v>
      </c>
      <c r="K693" s="240">
        <v>0</v>
      </c>
      <c r="L693" s="240">
        <v>0</v>
      </c>
      <c r="M693" s="240">
        <v>0</v>
      </c>
      <c r="N693" s="240">
        <v>0</v>
      </c>
    </row>
    <row r="694" spans="1:14" x14ac:dyDescent="0.3">
      <c r="A694" s="135" t="s">
        <v>458</v>
      </c>
      <c r="B694" s="136" t="s">
        <v>415</v>
      </c>
      <c r="C694" s="137">
        <v>2</v>
      </c>
      <c r="D694" s="9">
        <v>29.767499999999998</v>
      </c>
      <c r="E694" s="8">
        <v>0</v>
      </c>
      <c r="F694" s="8">
        <v>4.6304999999999996</v>
      </c>
      <c r="G694" s="18">
        <v>3.5</v>
      </c>
      <c r="H694" s="240">
        <v>0</v>
      </c>
      <c r="I694" s="240">
        <v>0</v>
      </c>
      <c r="J694" s="240">
        <v>0</v>
      </c>
      <c r="K694" s="240">
        <v>0</v>
      </c>
      <c r="L694" s="240">
        <v>0</v>
      </c>
      <c r="M694" s="240">
        <v>0</v>
      </c>
      <c r="N694" s="240">
        <v>0</v>
      </c>
    </row>
    <row r="695" spans="1:14" x14ac:dyDescent="0.3">
      <c r="A695" s="135" t="s">
        <v>458</v>
      </c>
      <c r="B695" s="137" t="s">
        <v>415</v>
      </c>
      <c r="C695" s="137">
        <v>3</v>
      </c>
      <c r="D695" s="9">
        <v>30.135000000000002</v>
      </c>
      <c r="E695" s="8">
        <v>0</v>
      </c>
      <c r="F695" s="8">
        <v>5.1449999999999996</v>
      </c>
      <c r="G695" s="18">
        <v>3.5</v>
      </c>
      <c r="H695" s="240">
        <v>0</v>
      </c>
      <c r="I695" s="240">
        <v>0</v>
      </c>
      <c r="J695" s="240">
        <v>0</v>
      </c>
      <c r="K695" s="240">
        <v>0</v>
      </c>
      <c r="L695" s="240">
        <v>0</v>
      </c>
      <c r="M695" s="240">
        <v>0</v>
      </c>
      <c r="N695" s="240">
        <v>0</v>
      </c>
    </row>
    <row r="696" spans="1:14" x14ac:dyDescent="0.3">
      <c r="A696" s="135" t="s">
        <v>458</v>
      </c>
      <c r="B696" s="137" t="s">
        <v>415</v>
      </c>
      <c r="C696" s="137">
        <v>4</v>
      </c>
      <c r="D696" s="9">
        <v>30.318750000000001</v>
      </c>
      <c r="E696" s="8">
        <v>0</v>
      </c>
      <c r="F696" s="8">
        <v>5.5566000000000004</v>
      </c>
      <c r="G696" s="18">
        <v>3.625</v>
      </c>
      <c r="H696" s="240">
        <v>0</v>
      </c>
      <c r="I696" s="240">
        <v>0</v>
      </c>
      <c r="J696" s="240">
        <v>0</v>
      </c>
      <c r="K696" s="240">
        <v>0</v>
      </c>
      <c r="L696" s="240">
        <v>0</v>
      </c>
      <c r="M696" s="240">
        <v>0</v>
      </c>
      <c r="N696" s="240">
        <v>0</v>
      </c>
    </row>
    <row r="697" spans="1:14" x14ac:dyDescent="0.3">
      <c r="A697" s="135" t="s">
        <v>458</v>
      </c>
      <c r="B697" s="137" t="s">
        <v>415</v>
      </c>
      <c r="C697" s="137">
        <v>5</v>
      </c>
      <c r="D697" s="9">
        <v>30.428999999999998</v>
      </c>
      <c r="E697" s="8">
        <v>0</v>
      </c>
      <c r="F697" s="8">
        <v>5.9270399999999999</v>
      </c>
      <c r="G697" s="18">
        <v>3.75</v>
      </c>
      <c r="H697" s="240">
        <v>0</v>
      </c>
      <c r="I697" s="240">
        <v>0</v>
      </c>
      <c r="J697" s="240">
        <v>0</v>
      </c>
      <c r="K697" s="240">
        <v>0</v>
      </c>
      <c r="L697" s="240">
        <v>0</v>
      </c>
      <c r="M697" s="240">
        <v>0</v>
      </c>
      <c r="N697" s="240">
        <v>0</v>
      </c>
    </row>
    <row r="698" spans="1:14" x14ac:dyDescent="0.3">
      <c r="A698" s="135" t="s">
        <v>458</v>
      </c>
      <c r="B698" s="137" t="s">
        <v>415</v>
      </c>
      <c r="C698" s="137">
        <v>6</v>
      </c>
      <c r="D698" s="9">
        <v>30.502500000000001</v>
      </c>
      <c r="E698" s="8">
        <v>0</v>
      </c>
      <c r="F698" s="8">
        <v>6.1740000000000004</v>
      </c>
      <c r="G698" s="18">
        <v>3.9166669999999999</v>
      </c>
      <c r="H698" s="240">
        <v>0</v>
      </c>
      <c r="I698" s="240">
        <v>0</v>
      </c>
      <c r="J698" s="240">
        <v>0</v>
      </c>
      <c r="K698" s="240">
        <v>0</v>
      </c>
      <c r="L698" s="240">
        <v>0</v>
      </c>
      <c r="M698" s="240">
        <v>0</v>
      </c>
      <c r="N698" s="240">
        <v>0</v>
      </c>
    </row>
    <row r="699" spans="1:14" x14ac:dyDescent="0.3">
      <c r="A699" s="135" t="s">
        <v>458</v>
      </c>
      <c r="B699" s="137" t="s">
        <v>415</v>
      </c>
      <c r="C699" s="137">
        <v>7</v>
      </c>
      <c r="D699" s="9">
        <v>30.555</v>
      </c>
      <c r="E699" s="8">
        <v>0</v>
      </c>
      <c r="F699" s="8">
        <v>6.5267999999999997</v>
      </c>
      <c r="G699" s="18">
        <v>4.0714290000000002</v>
      </c>
      <c r="H699" s="240">
        <v>0</v>
      </c>
      <c r="I699" s="240">
        <v>0</v>
      </c>
      <c r="J699" s="240">
        <v>0</v>
      </c>
      <c r="K699" s="240">
        <v>0</v>
      </c>
      <c r="L699" s="240">
        <v>0</v>
      </c>
      <c r="M699" s="240">
        <v>0</v>
      </c>
      <c r="N699" s="240">
        <v>0</v>
      </c>
    </row>
    <row r="700" spans="1:14" x14ac:dyDescent="0.3">
      <c r="A700" s="135" t="s">
        <v>458</v>
      </c>
      <c r="B700" s="137" t="s">
        <v>415</v>
      </c>
      <c r="C700" s="137">
        <v>8</v>
      </c>
      <c r="D700" s="9">
        <v>30.594374999999999</v>
      </c>
      <c r="E700" s="8">
        <v>0</v>
      </c>
      <c r="F700" s="8">
        <v>6.7914000000000003</v>
      </c>
      <c r="G700" s="18">
        <v>4.25</v>
      </c>
      <c r="H700" s="240">
        <v>0</v>
      </c>
      <c r="I700" s="240">
        <v>0</v>
      </c>
      <c r="J700" s="240">
        <v>0</v>
      </c>
      <c r="K700" s="240">
        <v>0</v>
      </c>
      <c r="L700" s="240">
        <v>0</v>
      </c>
      <c r="M700" s="240">
        <v>0</v>
      </c>
      <c r="N700" s="240">
        <v>0</v>
      </c>
    </row>
    <row r="701" spans="1:14" x14ac:dyDescent="0.3">
      <c r="A701" s="135" t="s">
        <v>458</v>
      </c>
      <c r="B701" s="137" t="s">
        <v>415</v>
      </c>
      <c r="C701" s="137">
        <v>9</v>
      </c>
      <c r="D701" s="9">
        <v>30.625</v>
      </c>
      <c r="E701" s="8">
        <v>0</v>
      </c>
      <c r="F701" s="8">
        <v>6.9972000000000003</v>
      </c>
      <c r="G701" s="18">
        <v>4.3888889999999998</v>
      </c>
      <c r="H701" s="240">
        <v>0</v>
      </c>
      <c r="I701" s="240">
        <v>0</v>
      </c>
      <c r="J701" s="240">
        <v>0</v>
      </c>
      <c r="K701" s="240">
        <v>0</v>
      </c>
      <c r="L701" s="240">
        <v>0</v>
      </c>
      <c r="M701" s="240">
        <v>0</v>
      </c>
      <c r="N701" s="240">
        <v>0</v>
      </c>
    </row>
    <row r="702" spans="1:14" x14ac:dyDescent="0.3">
      <c r="A702" s="135" t="s">
        <v>458</v>
      </c>
      <c r="B702" s="137" t="s">
        <v>415</v>
      </c>
      <c r="C702" s="137">
        <v>10</v>
      </c>
      <c r="D702" s="9">
        <v>30.6495</v>
      </c>
      <c r="E702" s="8">
        <v>0</v>
      </c>
      <c r="F702" s="8">
        <v>7.2853199999999996</v>
      </c>
      <c r="G702" s="18">
        <v>4.55</v>
      </c>
      <c r="H702" s="240">
        <v>0</v>
      </c>
      <c r="I702" s="240">
        <v>0</v>
      </c>
      <c r="J702" s="240">
        <v>0</v>
      </c>
      <c r="K702" s="240">
        <v>0</v>
      </c>
      <c r="L702" s="240">
        <v>0</v>
      </c>
      <c r="M702" s="240">
        <v>0</v>
      </c>
      <c r="N702" s="240">
        <v>0</v>
      </c>
    </row>
    <row r="703" spans="1:14" x14ac:dyDescent="0.3">
      <c r="A703" s="135" t="s">
        <v>458</v>
      </c>
      <c r="B703" s="137" t="s">
        <v>415</v>
      </c>
      <c r="C703" s="137">
        <v>11</v>
      </c>
      <c r="D703" s="9">
        <v>30.669544999999999</v>
      </c>
      <c r="E703" s="8">
        <v>0</v>
      </c>
      <c r="F703" s="8">
        <v>7.5210549999999996</v>
      </c>
      <c r="G703" s="18">
        <v>4.7045450000000004</v>
      </c>
      <c r="H703" s="240">
        <v>0</v>
      </c>
      <c r="I703" s="240">
        <v>0</v>
      </c>
      <c r="J703" s="240">
        <v>0</v>
      </c>
      <c r="K703" s="240">
        <v>0</v>
      </c>
      <c r="L703" s="240">
        <v>0</v>
      </c>
      <c r="M703" s="240">
        <v>0</v>
      </c>
      <c r="N703" s="240">
        <v>0</v>
      </c>
    </row>
    <row r="704" spans="1:14" x14ac:dyDescent="0.3">
      <c r="A704" s="135" t="s">
        <v>458</v>
      </c>
      <c r="B704" s="137" t="s">
        <v>415</v>
      </c>
      <c r="C704" s="137">
        <v>12</v>
      </c>
      <c r="D704" s="9">
        <v>30.686250000000001</v>
      </c>
      <c r="E704" s="8">
        <v>0</v>
      </c>
      <c r="F704" s="8">
        <v>7.7175000000000002</v>
      </c>
      <c r="G704" s="18">
        <v>4.8541670000000003</v>
      </c>
      <c r="H704" s="240">
        <v>0</v>
      </c>
      <c r="I704" s="240">
        <v>0</v>
      </c>
      <c r="J704" s="240">
        <v>0</v>
      </c>
      <c r="K704" s="240">
        <v>0</v>
      </c>
      <c r="L704" s="240">
        <v>0</v>
      </c>
      <c r="M704" s="240">
        <v>0</v>
      </c>
      <c r="N704" s="240">
        <v>0</v>
      </c>
    </row>
    <row r="705" spans="1:14" x14ac:dyDescent="0.3">
      <c r="A705" s="135" t="s">
        <v>458</v>
      </c>
      <c r="B705" s="137" t="s">
        <v>415</v>
      </c>
      <c r="C705" s="137">
        <v>13</v>
      </c>
      <c r="D705" s="9">
        <v>30.700385000000001</v>
      </c>
      <c r="E705" s="8">
        <v>0</v>
      </c>
      <c r="F705" s="8">
        <v>7.8837229999999998</v>
      </c>
      <c r="G705" s="18">
        <v>5.0192310000000004</v>
      </c>
      <c r="H705" s="240">
        <v>0</v>
      </c>
      <c r="I705" s="240">
        <v>0</v>
      </c>
      <c r="J705" s="240">
        <v>0</v>
      </c>
      <c r="K705" s="240">
        <v>0</v>
      </c>
      <c r="L705" s="240">
        <v>0</v>
      </c>
      <c r="M705" s="240">
        <v>0</v>
      </c>
      <c r="N705" s="240">
        <v>0</v>
      </c>
    </row>
    <row r="706" spans="1:14" x14ac:dyDescent="0.3">
      <c r="A706" s="135" t="s">
        <v>458</v>
      </c>
      <c r="B706" s="137" t="s">
        <v>415</v>
      </c>
      <c r="C706" s="137">
        <v>14</v>
      </c>
      <c r="D706" s="9">
        <v>30.712499999999999</v>
      </c>
      <c r="E706" s="8">
        <v>0</v>
      </c>
      <c r="F706" s="8">
        <v>8.2908000000000008</v>
      </c>
      <c r="G706" s="18">
        <v>5.1607139999999996</v>
      </c>
      <c r="H706" s="240">
        <v>0</v>
      </c>
      <c r="I706" s="240">
        <v>0</v>
      </c>
      <c r="J706" s="240">
        <v>0</v>
      </c>
      <c r="K706" s="240">
        <v>0</v>
      </c>
      <c r="L706" s="240">
        <v>0</v>
      </c>
      <c r="M706" s="240">
        <v>0</v>
      </c>
      <c r="N706" s="240">
        <v>0</v>
      </c>
    </row>
    <row r="707" spans="1:14" x14ac:dyDescent="0.3">
      <c r="A707" s="135" t="s">
        <v>458</v>
      </c>
      <c r="B707" s="137" t="s">
        <v>415</v>
      </c>
      <c r="C707" s="137">
        <v>15</v>
      </c>
      <c r="D707" s="9">
        <v>30.722999999999999</v>
      </c>
      <c r="E707" s="8">
        <v>0</v>
      </c>
      <c r="F707" s="8">
        <v>8.6435999999999993</v>
      </c>
      <c r="G707" s="18">
        <v>5.3166669999999998</v>
      </c>
      <c r="H707" s="240">
        <v>0</v>
      </c>
      <c r="I707" s="240">
        <v>0</v>
      </c>
      <c r="J707" s="240">
        <v>0</v>
      </c>
      <c r="K707" s="240">
        <v>0</v>
      </c>
      <c r="L707" s="240">
        <v>0</v>
      </c>
      <c r="M707" s="240">
        <v>0</v>
      </c>
      <c r="N707" s="240">
        <v>0</v>
      </c>
    </row>
    <row r="708" spans="1:14" x14ac:dyDescent="0.3">
      <c r="A708" s="135" t="s">
        <v>458</v>
      </c>
      <c r="B708" s="137" t="s">
        <v>415</v>
      </c>
      <c r="C708" s="137">
        <v>16</v>
      </c>
      <c r="D708" s="9">
        <v>30.732187</v>
      </c>
      <c r="E708" s="8">
        <v>0</v>
      </c>
      <c r="F708" s="8">
        <v>8.9522999999999993</v>
      </c>
      <c r="G708" s="18">
        <v>5.46875</v>
      </c>
      <c r="H708" s="240">
        <v>0</v>
      </c>
      <c r="I708" s="240">
        <v>0</v>
      </c>
      <c r="J708" s="240">
        <v>0</v>
      </c>
      <c r="K708" s="240">
        <v>0</v>
      </c>
      <c r="L708" s="240">
        <v>0</v>
      </c>
      <c r="M708" s="240">
        <v>0</v>
      </c>
      <c r="N708" s="240">
        <v>0</v>
      </c>
    </row>
    <row r="709" spans="1:14" x14ac:dyDescent="0.3">
      <c r="A709" s="135" t="s">
        <v>458</v>
      </c>
      <c r="B709" s="137" t="s">
        <v>415</v>
      </c>
      <c r="C709" s="137">
        <v>17</v>
      </c>
      <c r="D709" s="9">
        <v>30.740293999999999</v>
      </c>
      <c r="E709" s="8">
        <v>0</v>
      </c>
      <c r="F709" s="8">
        <v>9.2246819999999996</v>
      </c>
      <c r="G709" s="18">
        <v>5.6029410000000004</v>
      </c>
      <c r="H709" s="240">
        <v>0</v>
      </c>
      <c r="I709" s="240">
        <v>0</v>
      </c>
      <c r="J709" s="240">
        <v>0</v>
      </c>
      <c r="K709" s="240">
        <v>0</v>
      </c>
      <c r="L709" s="240">
        <v>0</v>
      </c>
      <c r="M709" s="240">
        <v>0</v>
      </c>
      <c r="N709" s="240">
        <v>0</v>
      </c>
    </row>
    <row r="710" spans="1:14" x14ac:dyDescent="0.3">
      <c r="A710" s="135" t="s">
        <v>458</v>
      </c>
      <c r="B710" s="137" t="s">
        <v>415</v>
      </c>
      <c r="C710" s="137">
        <v>18</v>
      </c>
      <c r="D710" s="9">
        <v>30.747499999999999</v>
      </c>
      <c r="E710" s="8">
        <v>0</v>
      </c>
      <c r="F710" s="8">
        <v>9.4667999999999992</v>
      </c>
      <c r="G710" s="18">
        <v>5.75</v>
      </c>
      <c r="H710" s="240">
        <v>0</v>
      </c>
      <c r="I710" s="240">
        <v>0</v>
      </c>
      <c r="J710" s="240">
        <v>0</v>
      </c>
      <c r="K710" s="240">
        <v>0</v>
      </c>
      <c r="L710" s="240">
        <v>0</v>
      </c>
      <c r="M710" s="240">
        <v>0</v>
      </c>
      <c r="N710" s="240">
        <v>0</v>
      </c>
    </row>
    <row r="711" spans="1:14" x14ac:dyDescent="0.3">
      <c r="A711" s="135" t="s">
        <v>458</v>
      </c>
      <c r="B711" s="137" t="s">
        <v>415</v>
      </c>
      <c r="C711" s="137">
        <v>19</v>
      </c>
      <c r="D711" s="9">
        <v>30.753947</v>
      </c>
      <c r="E711" s="8">
        <v>0</v>
      </c>
      <c r="F711" s="8">
        <v>9.6834319999999998</v>
      </c>
      <c r="G711" s="18">
        <v>5.8815790000000003</v>
      </c>
      <c r="H711" s="240">
        <v>0</v>
      </c>
      <c r="I711" s="240">
        <v>0</v>
      </c>
      <c r="J711" s="240">
        <v>0</v>
      </c>
      <c r="K711" s="240">
        <v>0</v>
      </c>
      <c r="L711" s="240">
        <v>0</v>
      </c>
      <c r="M711" s="240">
        <v>0</v>
      </c>
      <c r="N711" s="240">
        <v>0</v>
      </c>
    </row>
    <row r="712" spans="1:14" x14ac:dyDescent="0.3">
      <c r="A712" s="135" t="s">
        <v>458</v>
      </c>
      <c r="B712" s="137" t="s">
        <v>415</v>
      </c>
      <c r="C712" s="137">
        <v>20</v>
      </c>
      <c r="D712" s="9">
        <v>30.75975</v>
      </c>
      <c r="E712" s="8">
        <v>0</v>
      </c>
      <c r="F712" s="8">
        <v>9.8783999999999992</v>
      </c>
      <c r="G712" s="18">
        <v>6.0250000000000004</v>
      </c>
      <c r="H712" s="240">
        <v>0</v>
      </c>
      <c r="I712" s="240">
        <v>0</v>
      </c>
      <c r="J712" s="240">
        <v>0</v>
      </c>
      <c r="K712" s="240">
        <v>0</v>
      </c>
      <c r="L712" s="240">
        <v>0</v>
      </c>
      <c r="M712" s="240">
        <v>0</v>
      </c>
      <c r="N712" s="240">
        <v>0</v>
      </c>
    </row>
    <row r="713" spans="1:14" x14ac:dyDescent="0.3">
      <c r="A713" s="135" t="s">
        <v>458</v>
      </c>
      <c r="B713" s="137" t="s">
        <v>415</v>
      </c>
      <c r="C713" s="137">
        <v>21</v>
      </c>
      <c r="D713" s="9">
        <v>30.765000000000001</v>
      </c>
      <c r="E713" s="8">
        <v>0</v>
      </c>
      <c r="F713" s="8">
        <v>10.0548</v>
      </c>
      <c r="G713" s="18">
        <v>6.1547619999999998</v>
      </c>
      <c r="H713" s="240">
        <v>0</v>
      </c>
      <c r="I713" s="240">
        <v>0</v>
      </c>
      <c r="J713" s="240">
        <v>0</v>
      </c>
      <c r="K713" s="240">
        <v>0</v>
      </c>
      <c r="L713" s="240">
        <v>0</v>
      </c>
      <c r="M713" s="240">
        <v>0</v>
      </c>
      <c r="N713" s="240">
        <v>0</v>
      </c>
    </row>
    <row r="714" spans="1:14" x14ac:dyDescent="0.3">
      <c r="A714" s="135" t="s">
        <v>458</v>
      </c>
      <c r="B714" s="137" t="s">
        <v>415</v>
      </c>
      <c r="C714" s="137">
        <v>22</v>
      </c>
      <c r="D714" s="9">
        <v>30.769773000000001</v>
      </c>
      <c r="E714" s="8">
        <v>0</v>
      </c>
      <c r="F714" s="8">
        <v>10.215164</v>
      </c>
      <c r="G714" s="18">
        <v>6.2840910000000001</v>
      </c>
      <c r="H714" s="240">
        <v>0</v>
      </c>
      <c r="I714" s="240">
        <v>0</v>
      </c>
      <c r="J714" s="240">
        <v>0</v>
      </c>
      <c r="K714" s="240">
        <v>0</v>
      </c>
      <c r="L714" s="240">
        <v>0</v>
      </c>
      <c r="M714" s="240">
        <v>0</v>
      </c>
      <c r="N714" s="240">
        <v>0</v>
      </c>
    </row>
    <row r="715" spans="1:14" x14ac:dyDescent="0.3">
      <c r="A715" s="135" t="s">
        <v>458</v>
      </c>
      <c r="B715" s="137" t="s">
        <v>415</v>
      </c>
      <c r="C715" s="137">
        <v>23</v>
      </c>
      <c r="D715" s="9">
        <v>30.77413</v>
      </c>
      <c r="E715" s="8">
        <v>0</v>
      </c>
      <c r="F715" s="8">
        <v>10.361583</v>
      </c>
      <c r="G715" s="18">
        <v>6.4021739999999996</v>
      </c>
      <c r="H715" s="240">
        <v>0</v>
      </c>
      <c r="I715" s="240">
        <v>0</v>
      </c>
      <c r="J715" s="240">
        <v>0</v>
      </c>
      <c r="K715" s="240">
        <v>0</v>
      </c>
      <c r="L715" s="240">
        <v>0</v>
      </c>
      <c r="M715" s="240">
        <v>0</v>
      </c>
      <c r="N715" s="240">
        <v>0</v>
      </c>
    </row>
    <row r="716" spans="1:14" x14ac:dyDescent="0.3">
      <c r="A716" s="135" t="s">
        <v>458</v>
      </c>
      <c r="B716" s="137" t="s">
        <v>415</v>
      </c>
      <c r="C716" s="137">
        <v>24</v>
      </c>
      <c r="D716" s="9">
        <v>30.778124999999999</v>
      </c>
      <c r="E716" s="8">
        <v>0</v>
      </c>
      <c r="F716" s="8">
        <v>10.54725</v>
      </c>
      <c r="G716" s="18">
        <v>6.53125</v>
      </c>
      <c r="H716" s="240">
        <v>0</v>
      </c>
      <c r="I716" s="240">
        <v>0</v>
      </c>
      <c r="J716" s="240">
        <v>0</v>
      </c>
      <c r="K716" s="240">
        <v>0</v>
      </c>
      <c r="L716" s="240">
        <v>0</v>
      </c>
      <c r="M716" s="240">
        <v>0</v>
      </c>
      <c r="N716" s="240">
        <v>0</v>
      </c>
    </row>
    <row r="717" spans="1:14" x14ac:dyDescent="0.3">
      <c r="A717" s="135" t="s">
        <v>458</v>
      </c>
      <c r="B717" s="137" t="s">
        <v>415</v>
      </c>
      <c r="C717" s="137">
        <v>25</v>
      </c>
      <c r="D717" s="9">
        <v>30.7818</v>
      </c>
      <c r="E717" s="8">
        <v>0</v>
      </c>
      <c r="F717" s="8">
        <v>10.718064</v>
      </c>
      <c r="G717" s="18">
        <v>6.66</v>
      </c>
      <c r="H717" s="240">
        <v>0</v>
      </c>
      <c r="I717" s="240">
        <v>0</v>
      </c>
      <c r="J717" s="240">
        <v>0</v>
      </c>
      <c r="K717" s="240">
        <v>0</v>
      </c>
      <c r="L717" s="240">
        <v>0</v>
      </c>
      <c r="M717" s="240">
        <v>0</v>
      </c>
      <c r="N717" s="240">
        <v>0</v>
      </c>
    </row>
    <row r="718" spans="1:14" x14ac:dyDescent="0.3">
      <c r="A718" s="135" t="s">
        <v>458</v>
      </c>
      <c r="B718" s="137" t="s">
        <v>415</v>
      </c>
      <c r="C718" s="137">
        <v>26</v>
      </c>
      <c r="D718" s="9">
        <v>30.785191999999999</v>
      </c>
      <c r="E718" s="8">
        <v>0</v>
      </c>
      <c r="F718" s="8">
        <v>10.875738</v>
      </c>
      <c r="G718" s="18">
        <v>6.7788459999999997</v>
      </c>
      <c r="H718" s="240">
        <v>0</v>
      </c>
      <c r="I718" s="240">
        <v>0</v>
      </c>
      <c r="J718" s="240">
        <v>0</v>
      </c>
      <c r="K718" s="240">
        <v>0</v>
      </c>
      <c r="L718" s="240">
        <v>0</v>
      </c>
      <c r="M718" s="240">
        <v>0</v>
      </c>
      <c r="N718" s="240">
        <v>0</v>
      </c>
    </row>
    <row r="719" spans="1:14" x14ac:dyDescent="0.3">
      <c r="A719" s="135" t="s">
        <v>458</v>
      </c>
      <c r="B719" s="137" t="s">
        <v>415</v>
      </c>
      <c r="C719" s="137">
        <v>27</v>
      </c>
      <c r="D719" s="9">
        <v>30.788333000000002</v>
      </c>
      <c r="E719" s="8">
        <v>0</v>
      </c>
      <c r="F719" s="8">
        <v>11.067467000000001</v>
      </c>
      <c r="G719" s="18">
        <v>6.8981479999999999</v>
      </c>
      <c r="H719" s="240">
        <v>0</v>
      </c>
      <c r="I719" s="240">
        <v>0</v>
      </c>
      <c r="J719" s="240">
        <v>0</v>
      </c>
      <c r="K719" s="240">
        <v>0</v>
      </c>
      <c r="L719" s="240">
        <v>0</v>
      </c>
      <c r="M719" s="240">
        <v>0</v>
      </c>
      <c r="N719" s="240">
        <v>0</v>
      </c>
    </row>
    <row r="720" spans="1:14" x14ac:dyDescent="0.3">
      <c r="A720" s="135" t="s">
        <v>458</v>
      </c>
      <c r="B720" s="137" t="s">
        <v>415</v>
      </c>
      <c r="C720" s="137">
        <v>28</v>
      </c>
      <c r="D720" s="9">
        <v>30.791250000000002</v>
      </c>
      <c r="E720" s="8">
        <v>0</v>
      </c>
      <c r="F720" s="8">
        <v>11.2455</v>
      </c>
      <c r="G720" s="18">
        <v>7.0178570000000002</v>
      </c>
      <c r="H720" s="240">
        <v>0</v>
      </c>
      <c r="I720" s="240">
        <v>0</v>
      </c>
      <c r="J720" s="240">
        <v>0</v>
      </c>
      <c r="K720" s="240">
        <v>0</v>
      </c>
      <c r="L720" s="240">
        <v>0</v>
      </c>
      <c r="M720" s="240">
        <v>0</v>
      </c>
      <c r="N720" s="240">
        <v>0</v>
      </c>
    </row>
    <row r="721" spans="1:14" x14ac:dyDescent="0.3">
      <c r="A721" s="135" t="s">
        <v>458</v>
      </c>
      <c r="B721" s="137" t="s">
        <v>415</v>
      </c>
      <c r="C721" s="137">
        <v>29</v>
      </c>
      <c r="D721" s="9">
        <v>30.793966000000001</v>
      </c>
      <c r="E721" s="8">
        <v>0</v>
      </c>
      <c r="F721" s="8">
        <v>11.453834000000001</v>
      </c>
      <c r="G721" s="18">
        <v>7.137931</v>
      </c>
      <c r="H721" s="240">
        <v>0</v>
      </c>
      <c r="I721" s="240">
        <v>0</v>
      </c>
      <c r="J721" s="240">
        <v>0</v>
      </c>
      <c r="K721" s="240">
        <v>0</v>
      </c>
      <c r="L721" s="240">
        <v>0</v>
      </c>
      <c r="M721" s="240">
        <v>0</v>
      </c>
      <c r="N721" s="240">
        <v>0</v>
      </c>
    </row>
    <row r="722" spans="1:14" x14ac:dyDescent="0.3">
      <c r="A722" s="138" t="s">
        <v>458</v>
      </c>
      <c r="B722" s="137" t="s">
        <v>415</v>
      </c>
      <c r="C722" s="137">
        <v>30</v>
      </c>
      <c r="D722" s="9">
        <v>30.796500000000002</v>
      </c>
      <c r="E722" s="8">
        <v>0</v>
      </c>
      <c r="F722" s="8">
        <v>11.64828</v>
      </c>
      <c r="G722" s="18">
        <v>7.2583330000000004</v>
      </c>
      <c r="H722" s="240">
        <v>0</v>
      </c>
      <c r="I722" s="240">
        <v>0</v>
      </c>
      <c r="J722" s="240">
        <v>0</v>
      </c>
      <c r="K722" s="240">
        <v>0</v>
      </c>
      <c r="L722" s="240">
        <v>0</v>
      </c>
      <c r="M722" s="240">
        <v>0</v>
      </c>
      <c r="N722" s="240">
        <v>0</v>
      </c>
    </row>
    <row r="723" spans="1:14" x14ac:dyDescent="0.3">
      <c r="A723" s="142" t="s">
        <v>458</v>
      </c>
      <c r="B723" s="143" t="s">
        <v>422</v>
      </c>
      <c r="C723" s="143">
        <v>1</v>
      </c>
      <c r="D723" s="9">
        <v>10.3302</v>
      </c>
      <c r="E723" s="8">
        <v>2.9257200000000001</v>
      </c>
      <c r="F723" s="8">
        <v>0.41176800000000002</v>
      </c>
      <c r="G723" s="18">
        <v>9.5</v>
      </c>
      <c r="H723" s="240">
        <v>0</v>
      </c>
      <c r="I723" s="240">
        <v>0</v>
      </c>
      <c r="J723" s="240">
        <v>0</v>
      </c>
      <c r="K723" s="240">
        <v>0</v>
      </c>
      <c r="L723" s="240">
        <v>0</v>
      </c>
      <c r="M723" s="240">
        <v>0</v>
      </c>
      <c r="N723" s="240">
        <v>0</v>
      </c>
    </row>
    <row r="724" spans="1:14" x14ac:dyDescent="0.3">
      <c r="A724" s="135" t="s">
        <v>458</v>
      </c>
      <c r="B724" s="136" t="s">
        <v>422</v>
      </c>
      <c r="C724" s="137">
        <v>2</v>
      </c>
      <c r="D724" s="9">
        <v>10.605600000000001</v>
      </c>
      <c r="E724" s="8">
        <v>2.9257200000000001</v>
      </c>
      <c r="F724" s="8">
        <v>0.61358900000000005</v>
      </c>
      <c r="G724" s="18">
        <v>7.625</v>
      </c>
      <c r="H724" s="240">
        <v>0</v>
      </c>
      <c r="I724" s="240">
        <v>0</v>
      </c>
      <c r="J724" s="240">
        <v>0</v>
      </c>
      <c r="K724" s="240">
        <v>0</v>
      </c>
      <c r="L724" s="240">
        <v>0</v>
      </c>
      <c r="M724" s="240">
        <v>0</v>
      </c>
      <c r="N724" s="240">
        <v>0</v>
      </c>
    </row>
    <row r="725" spans="1:14" x14ac:dyDescent="0.3">
      <c r="A725" s="135" t="s">
        <v>458</v>
      </c>
      <c r="B725" s="137" t="s">
        <v>422</v>
      </c>
      <c r="C725" s="137">
        <v>3</v>
      </c>
      <c r="D725" s="9">
        <v>10.6974</v>
      </c>
      <c r="E725" s="8">
        <v>2.9257200000000001</v>
      </c>
      <c r="F725" s="8">
        <v>0.75851999999999997</v>
      </c>
      <c r="G725" s="18">
        <v>7.3333329999999997</v>
      </c>
      <c r="H725" s="240">
        <v>0</v>
      </c>
      <c r="I725" s="240">
        <v>0</v>
      </c>
      <c r="J725" s="240">
        <v>0</v>
      </c>
      <c r="K725" s="240">
        <v>0</v>
      </c>
      <c r="L725" s="240">
        <v>0</v>
      </c>
      <c r="M725" s="240">
        <v>0</v>
      </c>
      <c r="N725" s="240">
        <v>0</v>
      </c>
    </row>
    <row r="726" spans="1:14" x14ac:dyDescent="0.3">
      <c r="A726" s="135" t="s">
        <v>458</v>
      </c>
      <c r="B726" s="137" t="s">
        <v>422</v>
      </c>
      <c r="C726" s="137">
        <v>4</v>
      </c>
      <c r="D726" s="9">
        <v>10.7433</v>
      </c>
      <c r="E726" s="8">
        <v>2.9257200000000001</v>
      </c>
      <c r="F726" s="8">
        <v>0.89397000000000004</v>
      </c>
      <c r="G726" s="18">
        <v>7.375</v>
      </c>
      <c r="H726" s="240">
        <v>0</v>
      </c>
      <c r="I726" s="240">
        <v>0</v>
      </c>
      <c r="J726" s="240">
        <v>0</v>
      </c>
      <c r="K726" s="240">
        <v>0</v>
      </c>
      <c r="L726" s="240">
        <v>0</v>
      </c>
      <c r="M726" s="240">
        <v>0</v>
      </c>
      <c r="N726" s="240">
        <v>0</v>
      </c>
    </row>
    <row r="727" spans="1:14" x14ac:dyDescent="0.3">
      <c r="A727" s="135" t="s">
        <v>458</v>
      </c>
      <c r="B727" s="137" t="s">
        <v>422</v>
      </c>
      <c r="C727" s="137">
        <v>5</v>
      </c>
      <c r="D727" s="9">
        <v>10.77084</v>
      </c>
      <c r="E727" s="8">
        <v>2.9257200000000001</v>
      </c>
      <c r="F727" s="8">
        <v>1.0792660000000001</v>
      </c>
      <c r="G727" s="18">
        <v>7.5</v>
      </c>
      <c r="H727" s="240">
        <v>0</v>
      </c>
      <c r="I727" s="240">
        <v>0</v>
      </c>
      <c r="J727" s="240">
        <v>0</v>
      </c>
      <c r="K727" s="240">
        <v>0</v>
      </c>
      <c r="L727" s="240">
        <v>0</v>
      </c>
      <c r="M727" s="240">
        <v>0</v>
      </c>
      <c r="N727" s="240">
        <v>0</v>
      </c>
    </row>
    <row r="728" spans="1:14" x14ac:dyDescent="0.3">
      <c r="A728" s="135" t="s">
        <v>458</v>
      </c>
      <c r="B728" s="137" t="s">
        <v>422</v>
      </c>
      <c r="C728" s="137">
        <v>6</v>
      </c>
      <c r="D728" s="9">
        <v>10.789199999999999</v>
      </c>
      <c r="E728" s="8">
        <v>2.9257200000000001</v>
      </c>
      <c r="F728" s="8">
        <v>1.202796</v>
      </c>
      <c r="G728" s="18">
        <v>7.75</v>
      </c>
      <c r="H728" s="240">
        <v>0</v>
      </c>
      <c r="I728" s="240">
        <v>0</v>
      </c>
      <c r="J728" s="240">
        <v>0</v>
      </c>
      <c r="K728" s="240">
        <v>0</v>
      </c>
      <c r="L728" s="240">
        <v>0</v>
      </c>
      <c r="M728" s="240">
        <v>0</v>
      </c>
      <c r="N728" s="240">
        <v>0</v>
      </c>
    </row>
    <row r="729" spans="1:14" x14ac:dyDescent="0.3">
      <c r="A729" s="135" t="s">
        <v>458</v>
      </c>
      <c r="B729" s="137" t="s">
        <v>422</v>
      </c>
      <c r="C729" s="137">
        <v>7</v>
      </c>
      <c r="D729" s="9">
        <v>10.802314000000001</v>
      </c>
      <c r="E729" s="8">
        <v>2.9257200000000001</v>
      </c>
      <c r="F729" s="8">
        <v>1.306168</v>
      </c>
      <c r="G729" s="18">
        <v>7.9642860000000004</v>
      </c>
      <c r="H729" s="240">
        <v>0</v>
      </c>
      <c r="I729" s="240">
        <v>0</v>
      </c>
      <c r="J729" s="240">
        <v>0</v>
      </c>
      <c r="K729" s="240">
        <v>0</v>
      </c>
      <c r="L729" s="240">
        <v>0</v>
      </c>
      <c r="M729" s="240">
        <v>0</v>
      </c>
      <c r="N729" s="240">
        <v>0</v>
      </c>
    </row>
    <row r="730" spans="1:14" x14ac:dyDescent="0.3">
      <c r="A730" s="135" t="s">
        <v>458</v>
      </c>
      <c r="B730" s="137" t="s">
        <v>422</v>
      </c>
      <c r="C730" s="137">
        <v>8</v>
      </c>
      <c r="D730" s="9">
        <v>10.812150000000001</v>
      </c>
      <c r="E730" s="8">
        <v>2.9257200000000001</v>
      </c>
      <c r="F730" s="8">
        <v>1.383697</v>
      </c>
      <c r="G730" s="18">
        <v>8.21875</v>
      </c>
      <c r="H730" s="240">
        <v>0</v>
      </c>
      <c r="I730" s="240">
        <v>0</v>
      </c>
      <c r="J730" s="240">
        <v>0</v>
      </c>
      <c r="K730" s="240">
        <v>0</v>
      </c>
      <c r="L730" s="240">
        <v>0</v>
      </c>
      <c r="M730" s="240">
        <v>0</v>
      </c>
      <c r="N730" s="240">
        <v>0</v>
      </c>
    </row>
    <row r="731" spans="1:14" x14ac:dyDescent="0.3">
      <c r="A731" s="135" t="s">
        <v>458</v>
      </c>
      <c r="B731" s="137" t="s">
        <v>422</v>
      </c>
      <c r="C731" s="137">
        <v>9</v>
      </c>
      <c r="D731" s="9">
        <v>10.819800000000001</v>
      </c>
      <c r="E731" s="8">
        <v>2.9257200000000001</v>
      </c>
      <c r="F731" s="8">
        <v>1.547809</v>
      </c>
      <c r="G731" s="18">
        <v>8.5</v>
      </c>
      <c r="H731" s="240">
        <v>0</v>
      </c>
      <c r="I731" s="240">
        <v>0</v>
      </c>
      <c r="J731" s="240">
        <v>0</v>
      </c>
      <c r="K731" s="240">
        <v>0</v>
      </c>
      <c r="L731" s="240">
        <v>0</v>
      </c>
      <c r="M731" s="240">
        <v>0</v>
      </c>
      <c r="N731" s="240">
        <v>0</v>
      </c>
    </row>
    <row r="732" spans="1:14" x14ac:dyDescent="0.3">
      <c r="A732" s="135" t="s">
        <v>458</v>
      </c>
      <c r="B732" s="137" t="s">
        <v>422</v>
      </c>
      <c r="C732" s="137">
        <v>10</v>
      </c>
      <c r="D732" s="9">
        <v>10.82592</v>
      </c>
      <c r="E732" s="8">
        <v>2.9257200000000001</v>
      </c>
      <c r="F732" s="8">
        <v>1.679098</v>
      </c>
      <c r="G732" s="18">
        <v>8.75</v>
      </c>
      <c r="H732" s="240">
        <v>0</v>
      </c>
      <c r="I732" s="240">
        <v>0</v>
      </c>
      <c r="J732" s="240">
        <v>0</v>
      </c>
      <c r="K732" s="240">
        <v>0</v>
      </c>
      <c r="L732" s="240">
        <v>0</v>
      </c>
      <c r="M732" s="240">
        <v>0</v>
      </c>
      <c r="N732" s="240">
        <v>0</v>
      </c>
    </row>
    <row r="733" spans="1:14" x14ac:dyDescent="0.3">
      <c r="A733" s="135" t="s">
        <v>458</v>
      </c>
      <c r="B733" s="137" t="s">
        <v>422</v>
      </c>
      <c r="C733" s="137">
        <v>11</v>
      </c>
      <c r="D733" s="9">
        <v>10.830927000000001</v>
      </c>
      <c r="E733" s="8">
        <v>2.9257200000000001</v>
      </c>
      <c r="F733" s="8">
        <v>1.7865169999999999</v>
      </c>
      <c r="G733" s="18">
        <v>9</v>
      </c>
      <c r="H733" s="240">
        <v>0</v>
      </c>
      <c r="I733" s="240">
        <v>0</v>
      </c>
      <c r="J733" s="240">
        <v>0</v>
      </c>
      <c r="K733" s="240">
        <v>0</v>
      </c>
      <c r="L733" s="240">
        <v>0</v>
      </c>
      <c r="M733" s="240">
        <v>0</v>
      </c>
      <c r="N733" s="240">
        <v>0</v>
      </c>
    </row>
    <row r="734" spans="1:14" x14ac:dyDescent="0.3">
      <c r="A734" s="135" t="s">
        <v>458</v>
      </c>
      <c r="B734" s="137" t="s">
        <v>422</v>
      </c>
      <c r="C734" s="137">
        <v>12</v>
      </c>
      <c r="D734" s="9">
        <v>10.835100000000001</v>
      </c>
      <c r="E734" s="8">
        <v>2.9257200000000001</v>
      </c>
      <c r="F734" s="8">
        <v>1.888474</v>
      </c>
      <c r="G734" s="18">
        <v>9.2708329999999997</v>
      </c>
      <c r="H734" s="240">
        <v>0</v>
      </c>
      <c r="I734" s="240">
        <v>0</v>
      </c>
      <c r="J734" s="240">
        <v>0</v>
      </c>
      <c r="K734" s="240">
        <v>0</v>
      </c>
      <c r="L734" s="240">
        <v>0</v>
      </c>
      <c r="M734" s="240">
        <v>0</v>
      </c>
      <c r="N734" s="240">
        <v>0</v>
      </c>
    </row>
    <row r="735" spans="1:14" x14ac:dyDescent="0.3">
      <c r="A735" s="135" t="s">
        <v>458</v>
      </c>
      <c r="B735" s="137" t="s">
        <v>422</v>
      </c>
      <c r="C735" s="137">
        <v>13</v>
      </c>
      <c r="D735" s="9">
        <v>10.838630999999999</v>
      </c>
      <c r="E735" s="8">
        <v>2.9257200000000001</v>
      </c>
      <c r="F735" s="8">
        <v>1.974745</v>
      </c>
      <c r="G735" s="18">
        <v>9.5192309999999996</v>
      </c>
      <c r="H735" s="240">
        <v>0</v>
      </c>
      <c r="I735" s="240">
        <v>0</v>
      </c>
      <c r="J735" s="240">
        <v>0</v>
      </c>
      <c r="K735" s="240">
        <v>0</v>
      </c>
      <c r="L735" s="240">
        <v>0</v>
      </c>
      <c r="M735" s="240">
        <v>0</v>
      </c>
      <c r="N735" s="240">
        <v>0</v>
      </c>
    </row>
    <row r="736" spans="1:14" x14ac:dyDescent="0.3">
      <c r="A736" s="135" t="s">
        <v>458</v>
      </c>
      <c r="B736" s="137" t="s">
        <v>422</v>
      </c>
      <c r="C736" s="137">
        <v>14</v>
      </c>
      <c r="D736" s="9">
        <v>10.841657</v>
      </c>
      <c r="E736" s="8">
        <v>2.9257200000000001</v>
      </c>
      <c r="F736" s="8">
        <v>2.1123319999999999</v>
      </c>
      <c r="G736" s="18">
        <v>9.7678569999999993</v>
      </c>
      <c r="H736" s="240">
        <v>0</v>
      </c>
      <c r="I736" s="240">
        <v>0</v>
      </c>
      <c r="J736" s="240">
        <v>0</v>
      </c>
      <c r="K736" s="240">
        <v>0</v>
      </c>
      <c r="L736" s="240">
        <v>0</v>
      </c>
      <c r="M736" s="240">
        <v>0</v>
      </c>
      <c r="N736" s="240">
        <v>0</v>
      </c>
    </row>
    <row r="737" spans="1:14" x14ac:dyDescent="0.3">
      <c r="A737" s="135" t="s">
        <v>458</v>
      </c>
      <c r="B737" s="137" t="s">
        <v>422</v>
      </c>
      <c r="C737" s="137">
        <v>15</v>
      </c>
      <c r="D737" s="9">
        <v>10.844279999999999</v>
      </c>
      <c r="E737" s="8">
        <v>2.9257200000000001</v>
      </c>
      <c r="F737" s="8">
        <v>2.2315740000000002</v>
      </c>
      <c r="G737" s="18">
        <v>10.016667</v>
      </c>
      <c r="H737" s="240">
        <v>0</v>
      </c>
      <c r="I737" s="240">
        <v>0</v>
      </c>
      <c r="J737" s="240">
        <v>0</v>
      </c>
      <c r="K737" s="240">
        <v>0</v>
      </c>
      <c r="L737" s="240">
        <v>0</v>
      </c>
      <c r="M737" s="240">
        <v>0</v>
      </c>
      <c r="N737" s="240">
        <v>0</v>
      </c>
    </row>
    <row r="738" spans="1:14" x14ac:dyDescent="0.3">
      <c r="A738" s="135" t="s">
        <v>458</v>
      </c>
      <c r="B738" s="137" t="s">
        <v>422</v>
      </c>
      <c r="C738" s="137">
        <v>16</v>
      </c>
      <c r="D738" s="9">
        <v>10.846575</v>
      </c>
      <c r="E738" s="8">
        <v>2.9257200000000001</v>
      </c>
      <c r="F738" s="8">
        <v>2.363</v>
      </c>
      <c r="G738" s="18">
        <v>10.25</v>
      </c>
      <c r="H738" s="240">
        <v>0</v>
      </c>
      <c r="I738" s="240">
        <v>0</v>
      </c>
      <c r="J738" s="240">
        <v>0</v>
      </c>
      <c r="K738" s="240">
        <v>0</v>
      </c>
      <c r="L738" s="240">
        <v>0</v>
      </c>
      <c r="M738" s="240">
        <v>0</v>
      </c>
      <c r="N738" s="240">
        <v>0</v>
      </c>
    </row>
    <row r="739" spans="1:14" x14ac:dyDescent="0.3">
      <c r="A739" s="135" t="s">
        <v>458</v>
      </c>
      <c r="B739" s="137" t="s">
        <v>422</v>
      </c>
      <c r="C739" s="137">
        <v>17</v>
      </c>
      <c r="D739" s="9">
        <v>10.848599999999999</v>
      </c>
      <c r="E739" s="8">
        <v>2.9257200000000001</v>
      </c>
      <c r="F739" s="8">
        <v>2.4789650000000001</v>
      </c>
      <c r="G739" s="18">
        <v>10.5</v>
      </c>
      <c r="H739" s="240">
        <v>0</v>
      </c>
      <c r="I739" s="240">
        <v>0</v>
      </c>
      <c r="J739" s="240">
        <v>0</v>
      </c>
      <c r="K739" s="240">
        <v>0</v>
      </c>
      <c r="L739" s="240">
        <v>0</v>
      </c>
      <c r="M739" s="240">
        <v>0</v>
      </c>
      <c r="N739" s="240">
        <v>0</v>
      </c>
    </row>
    <row r="740" spans="1:14" x14ac:dyDescent="0.3">
      <c r="A740" s="135" t="s">
        <v>458</v>
      </c>
      <c r="B740" s="137" t="s">
        <v>422</v>
      </c>
      <c r="C740" s="137">
        <v>18</v>
      </c>
      <c r="D740" s="9">
        <v>10.8504</v>
      </c>
      <c r="E740" s="8">
        <v>2.9257200000000001</v>
      </c>
      <c r="F740" s="8">
        <v>2.5820449999999999</v>
      </c>
      <c r="G740" s="18">
        <v>10.736110999999999</v>
      </c>
      <c r="H740" s="240">
        <v>0</v>
      </c>
      <c r="I740" s="240">
        <v>0</v>
      </c>
      <c r="J740" s="240">
        <v>0</v>
      </c>
      <c r="K740" s="240">
        <v>0</v>
      </c>
      <c r="L740" s="240">
        <v>0</v>
      </c>
      <c r="M740" s="240">
        <v>0</v>
      </c>
      <c r="N740" s="240">
        <v>0</v>
      </c>
    </row>
    <row r="741" spans="1:14" x14ac:dyDescent="0.3">
      <c r="A741" s="135" t="s">
        <v>458</v>
      </c>
      <c r="B741" s="137" t="s">
        <v>422</v>
      </c>
      <c r="C741" s="137">
        <v>19</v>
      </c>
      <c r="D741" s="9">
        <v>10.852010999999999</v>
      </c>
      <c r="E741" s="8">
        <v>2.9257200000000001</v>
      </c>
      <c r="F741" s="8">
        <v>2.674274</v>
      </c>
      <c r="G741" s="18">
        <v>10.960526</v>
      </c>
      <c r="H741" s="240">
        <v>0</v>
      </c>
      <c r="I741" s="240">
        <v>0</v>
      </c>
      <c r="J741" s="240">
        <v>0</v>
      </c>
      <c r="K741" s="240">
        <v>0</v>
      </c>
      <c r="L741" s="240">
        <v>0</v>
      </c>
      <c r="M741" s="240">
        <v>0</v>
      </c>
      <c r="N741" s="240">
        <v>0</v>
      </c>
    </row>
    <row r="742" spans="1:14" x14ac:dyDescent="0.3">
      <c r="A742" s="135" t="s">
        <v>458</v>
      </c>
      <c r="B742" s="137" t="s">
        <v>422</v>
      </c>
      <c r="C742" s="137">
        <v>20</v>
      </c>
      <c r="D742" s="9">
        <v>10.85346</v>
      </c>
      <c r="E742" s="8">
        <v>2.9257200000000001</v>
      </c>
      <c r="F742" s="8">
        <v>2.8266309999999999</v>
      </c>
      <c r="G742" s="18">
        <v>11.2</v>
      </c>
      <c r="H742" s="240">
        <v>0</v>
      </c>
      <c r="I742" s="240">
        <v>0</v>
      </c>
      <c r="J742" s="240">
        <v>0</v>
      </c>
      <c r="K742" s="240">
        <v>0</v>
      </c>
      <c r="L742" s="240">
        <v>0</v>
      </c>
      <c r="M742" s="240">
        <v>0</v>
      </c>
      <c r="N742" s="240">
        <v>0</v>
      </c>
    </row>
    <row r="743" spans="1:14" x14ac:dyDescent="0.3">
      <c r="A743" s="135" t="s">
        <v>458</v>
      </c>
      <c r="B743" s="137" t="s">
        <v>422</v>
      </c>
      <c r="C743" s="137">
        <v>21</v>
      </c>
      <c r="D743" s="9">
        <v>10.854771</v>
      </c>
      <c r="E743" s="8">
        <v>2.9257200000000001</v>
      </c>
      <c r="F743" s="8">
        <v>2.964477</v>
      </c>
      <c r="G743" s="18">
        <v>11.428571</v>
      </c>
      <c r="H743" s="240">
        <v>0</v>
      </c>
      <c r="I743" s="240">
        <v>0</v>
      </c>
      <c r="J743" s="240">
        <v>0</v>
      </c>
      <c r="K743" s="240">
        <v>0</v>
      </c>
      <c r="L743" s="240">
        <v>0</v>
      </c>
      <c r="M743" s="240">
        <v>0</v>
      </c>
      <c r="N743" s="240">
        <v>0</v>
      </c>
    </row>
    <row r="744" spans="1:14" x14ac:dyDescent="0.3">
      <c r="A744" s="135" t="s">
        <v>458</v>
      </c>
      <c r="B744" s="137" t="s">
        <v>422</v>
      </c>
      <c r="C744" s="137">
        <v>22</v>
      </c>
      <c r="D744" s="9">
        <v>10.855964</v>
      </c>
      <c r="E744" s="8">
        <v>2.9257200000000001</v>
      </c>
      <c r="F744" s="8">
        <v>3.0897920000000001</v>
      </c>
      <c r="G744" s="18">
        <v>11.647727</v>
      </c>
      <c r="H744" s="240">
        <v>0</v>
      </c>
      <c r="I744" s="240">
        <v>0</v>
      </c>
      <c r="J744" s="240">
        <v>0</v>
      </c>
      <c r="K744" s="240">
        <v>0</v>
      </c>
      <c r="L744" s="240">
        <v>0</v>
      </c>
      <c r="M744" s="240">
        <v>0</v>
      </c>
      <c r="N744" s="240">
        <v>0</v>
      </c>
    </row>
    <row r="745" spans="1:14" x14ac:dyDescent="0.3">
      <c r="A745" s="135" t="s">
        <v>458</v>
      </c>
      <c r="B745" s="137" t="s">
        <v>422</v>
      </c>
      <c r="C745" s="137">
        <v>23</v>
      </c>
      <c r="D745" s="9">
        <v>10.910554896335569</v>
      </c>
      <c r="E745" s="8">
        <v>2.9257200000000001</v>
      </c>
      <c r="F745" s="8">
        <v>3.1272000000000006</v>
      </c>
      <c r="G745" s="18">
        <v>12.406700000000001</v>
      </c>
      <c r="H745" s="240">
        <v>0</v>
      </c>
      <c r="I745" s="240">
        <v>0</v>
      </c>
      <c r="J745" s="240">
        <v>0</v>
      </c>
      <c r="K745" s="240">
        <v>0</v>
      </c>
      <c r="L745" s="240">
        <v>0</v>
      </c>
      <c r="M745" s="240">
        <v>0</v>
      </c>
      <c r="N745" s="240">
        <v>0</v>
      </c>
    </row>
    <row r="746" spans="1:14" x14ac:dyDescent="0.3">
      <c r="A746" s="135" t="s">
        <v>458</v>
      </c>
      <c r="B746" s="137" t="s">
        <v>422</v>
      </c>
      <c r="C746" s="137">
        <v>24</v>
      </c>
      <c r="D746" s="9">
        <v>10.916100414094338</v>
      </c>
      <c r="E746" s="8">
        <v>2.9257200000000001</v>
      </c>
      <c r="F746" s="8">
        <v>3.2311000000000001</v>
      </c>
      <c r="G746" s="18">
        <v>12.8185</v>
      </c>
      <c r="H746" s="240">
        <v>0</v>
      </c>
      <c r="I746" s="240">
        <v>0</v>
      </c>
      <c r="J746" s="240">
        <v>0</v>
      </c>
      <c r="K746" s="240">
        <v>0</v>
      </c>
      <c r="L746" s="240">
        <v>0</v>
      </c>
      <c r="M746" s="240">
        <v>0</v>
      </c>
      <c r="N746" s="240">
        <v>0</v>
      </c>
    </row>
    <row r="747" spans="1:14" x14ac:dyDescent="0.3">
      <c r="A747" s="135" t="s">
        <v>458</v>
      </c>
      <c r="B747" s="137" t="s">
        <v>422</v>
      </c>
      <c r="C747" s="137">
        <v>25</v>
      </c>
      <c r="D747" s="9">
        <v>10.921419519980327</v>
      </c>
      <c r="E747" s="8">
        <v>2.9257200000000001</v>
      </c>
      <c r="F747" s="8">
        <v>3.3336000000000001</v>
      </c>
      <c r="G747" s="18">
        <v>13.248100000000001</v>
      </c>
      <c r="H747" s="240">
        <v>0</v>
      </c>
      <c r="I747" s="240">
        <v>0</v>
      </c>
      <c r="J747" s="240">
        <v>0</v>
      </c>
      <c r="K747" s="240">
        <v>0</v>
      </c>
      <c r="L747" s="240">
        <v>0</v>
      </c>
      <c r="M747" s="240">
        <v>0</v>
      </c>
      <c r="N747" s="240">
        <v>0</v>
      </c>
    </row>
    <row r="748" spans="1:14" x14ac:dyDescent="0.3">
      <c r="A748" s="135" t="s">
        <v>458</v>
      </c>
      <c r="B748" s="137" t="s">
        <v>422</v>
      </c>
      <c r="C748" s="137">
        <v>26</v>
      </c>
      <c r="D748" s="9">
        <v>10.926529978904199</v>
      </c>
      <c r="E748" s="8">
        <v>2.9257200000000001</v>
      </c>
      <c r="F748" s="8">
        <v>3.4347000000000003</v>
      </c>
      <c r="G748" s="18">
        <v>13.695499999999999</v>
      </c>
      <c r="H748" s="240">
        <v>0</v>
      </c>
      <c r="I748" s="240">
        <v>0</v>
      </c>
      <c r="J748" s="240">
        <v>0</v>
      </c>
      <c r="K748" s="240">
        <v>0</v>
      </c>
      <c r="L748" s="240">
        <v>0</v>
      </c>
      <c r="M748" s="240">
        <v>0</v>
      </c>
      <c r="N748" s="240">
        <v>0</v>
      </c>
    </row>
    <row r="749" spans="1:14" x14ac:dyDescent="0.3">
      <c r="A749" s="135" t="s">
        <v>458</v>
      </c>
      <c r="B749" s="137" t="s">
        <v>422</v>
      </c>
      <c r="C749" s="137">
        <v>27</v>
      </c>
      <c r="D749" s="9">
        <v>10.931447543640365</v>
      </c>
      <c r="E749" s="8">
        <v>2.9257200000000001</v>
      </c>
      <c r="F749" s="8">
        <v>3.5344000000000002</v>
      </c>
      <c r="G749" s="18">
        <v>14.160699999999999</v>
      </c>
      <c r="H749" s="240">
        <v>0</v>
      </c>
      <c r="I749" s="240">
        <v>0</v>
      </c>
      <c r="J749" s="240">
        <v>0</v>
      </c>
      <c r="K749" s="240">
        <v>0</v>
      </c>
      <c r="L749" s="240">
        <v>0</v>
      </c>
      <c r="M749" s="240">
        <v>0</v>
      </c>
      <c r="N749" s="240">
        <v>0</v>
      </c>
    </row>
    <row r="750" spans="1:14" x14ac:dyDescent="0.3">
      <c r="A750" s="135" t="s">
        <v>458</v>
      </c>
      <c r="B750" s="137" t="s">
        <v>422</v>
      </c>
      <c r="C750" s="137">
        <v>28</v>
      </c>
      <c r="D750" s="9">
        <v>10.936186247675829</v>
      </c>
      <c r="E750" s="8">
        <v>2.9257200000000001</v>
      </c>
      <c r="F750" s="8">
        <v>3.6327000000000003</v>
      </c>
      <c r="G750" s="18">
        <v>14.643699999999999</v>
      </c>
      <c r="H750" s="240">
        <v>0</v>
      </c>
      <c r="I750" s="240">
        <v>0</v>
      </c>
      <c r="J750" s="240">
        <v>0</v>
      </c>
      <c r="K750" s="240">
        <v>0</v>
      </c>
      <c r="L750" s="240">
        <v>0</v>
      </c>
      <c r="M750" s="240">
        <v>0</v>
      </c>
      <c r="N750" s="240">
        <v>0</v>
      </c>
    </row>
    <row r="751" spans="1:14" x14ac:dyDescent="0.3">
      <c r="A751" s="135" t="s">
        <v>458</v>
      </c>
      <c r="B751" s="137" t="s">
        <v>422</v>
      </c>
      <c r="C751" s="137">
        <v>29</v>
      </c>
      <c r="D751" s="9">
        <v>10.940758646647238</v>
      </c>
      <c r="E751" s="8">
        <v>2.9257200000000001</v>
      </c>
      <c r="F751" s="8">
        <v>3.7296</v>
      </c>
      <c r="G751" s="18">
        <v>15.144499999999999</v>
      </c>
      <c r="H751" s="240">
        <v>0</v>
      </c>
      <c r="I751" s="240">
        <v>0</v>
      </c>
      <c r="J751" s="240">
        <v>0</v>
      </c>
      <c r="K751" s="240">
        <v>0</v>
      </c>
      <c r="L751" s="240">
        <v>0</v>
      </c>
      <c r="M751" s="240">
        <v>0</v>
      </c>
      <c r="N751" s="240">
        <v>0</v>
      </c>
    </row>
    <row r="752" spans="1:14" x14ac:dyDescent="0.3">
      <c r="A752" s="138" t="s">
        <v>458</v>
      </c>
      <c r="B752" s="137" t="s">
        <v>422</v>
      </c>
      <c r="C752" s="137">
        <v>30</v>
      </c>
      <c r="D752" s="9">
        <v>10.94517601883058</v>
      </c>
      <c r="E752" s="8">
        <v>2.9257200000000001</v>
      </c>
      <c r="F752" s="8">
        <v>3.8251000000000004</v>
      </c>
      <c r="G752" s="18">
        <v>15.6631</v>
      </c>
      <c r="H752" s="240">
        <v>0</v>
      </c>
      <c r="I752" s="240">
        <v>0</v>
      </c>
      <c r="J752" s="240">
        <v>0</v>
      </c>
      <c r="K752" s="240">
        <v>0</v>
      </c>
      <c r="L752" s="240">
        <v>0</v>
      </c>
      <c r="M752" s="240">
        <v>0</v>
      </c>
      <c r="N752" s="240">
        <v>0</v>
      </c>
    </row>
    <row r="753" spans="1:14" x14ac:dyDescent="0.3">
      <c r="A753" s="142" t="s">
        <v>459</v>
      </c>
      <c r="B753" s="143" t="s">
        <v>412</v>
      </c>
      <c r="C753" s="143">
        <v>1</v>
      </c>
      <c r="D753" s="9">
        <v>70.2</v>
      </c>
      <c r="E753" s="8">
        <v>0</v>
      </c>
      <c r="F753" s="8">
        <v>55.125</v>
      </c>
      <c r="G753" s="18">
        <v>5</v>
      </c>
      <c r="H753" s="240">
        <v>0</v>
      </c>
      <c r="I753" s="240">
        <v>0</v>
      </c>
      <c r="J753" s="240">
        <v>0</v>
      </c>
      <c r="K753" s="240">
        <v>0</v>
      </c>
      <c r="L753" s="240">
        <v>0</v>
      </c>
      <c r="M753" s="240">
        <v>0</v>
      </c>
      <c r="N753" s="240">
        <v>0</v>
      </c>
    </row>
    <row r="754" spans="1:14" x14ac:dyDescent="0.3">
      <c r="A754" s="135" t="s">
        <v>459</v>
      </c>
      <c r="B754" s="136" t="s">
        <v>412</v>
      </c>
      <c r="C754" s="137">
        <v>2</v>
      </c>
      <c r="D754" s="9">
        <v>70.2</v>
      </c>
      <c r="E754" s="8">
        <v>0</v>
      </c>
      <c r="F754" s="8">
        <v>55.125</v>
      </c>
      <c r="G754" s="18">
        <v>5</v>
      </c>
      <c r="H754" s="240">
        <v>0</v>
      </c>
      <c r="I754" s="240">
        <v>0</v>
      </c>
      <c r="J754" s="240">
        <v>0</v>
      </c>
      <c r="K754" s="240">
        <v>0</v>
      </c>
      <c r="L754" s="240">
        <v>0</v>
      </c>
      <c r="M754" s="240">
        <v>0</v>
      </c>
      <c r="N754" s="240">
        <v>0</v>
      </c>
    </row>
    <row r="755" spans="1:14" x14ac:dyDescent="0.3">
      <c r="A755" s="135" t="s">
        <v>459</v>
      </c>
      <c r="B755" s="137" t="s">
        <v>412</v>
      </c>
      <c r="C755" s="137">
        <v>3</v>
      </c>
      <c r="D755" s="9">
        <v>70.2</v>
      </c>
      <c r="E755" s="8">
        <v>0</v>
      </c>
      <c r="F755" s="8">
        <v>55.125</v>
      </c>
      <c r="G755" s="18">
        <v>5.3333329999999997</v>
      </c>
      <c r="H755" s="240">
        <v>0</v>
      </c>
      <c r="I755" s="240">
        <v>0</v>
      </c>
      <c r="J755" s="240">
        <v>0</v>
      </c>
      <c r="K755" s="240">
        <v>0</v>
      </c>
      <c r="L755" s="240">
        <v>0</v>
      </c>
      <c r="M755" s="240">
        <v>0</v>
      </c>
      <c r="N755" s="240">
        <v>0</v>
      </c>
    </row>
    <row r="756" spans="1:14" x14ac:dyDescent="0.3">
      <c r="A756" s="135" t="s">
        <v>459</v>
      </c>
      <c r="B756" s="137" t="s">
        <v>412</v>
      </c>
      <c r="C756" s="137">
        <v>4</v>
      </c>
      <c r="D756" s="9">
        <v>70.2</v>
      </c>
      <c r="E756" s="8">
        <v>0</v>
      </c>
      <c r="F756" s="8">
        <v>55.125</v>
      </c>
      <c r="G756" s="18">
        <v>5.75</v>
      </c>
      <c r="H756" s="240">
        <v>0</v>
      </c>
      <c r="I756" s="240">
        <v>0</v>
      </c>
      <c r="J756" s="240">
        <v>0</v>
      </c>
      <c r="K756" s="240">
        <v>0</v>
      </c>
      <c r="L756" s="240">
        <v>0</v>
      </c>
      <c r="M756" s="240">
        <v>0</v>
      </c>
      <c r="N756" s="240">
        <v>0</v>
      </c>
    </row>
    <row r="757" spans="1:14" x14ac:dyDescent="0.3">
      <c r="A757" s="135" t="s">
        <v>459</v>
      </c>
      <c r="B757" s="137" t="s">
        <v>412</v>
      </c>
      <c r="C757" s="137">
        <v>5</v>
      </c>
      <c r="D757" s="9">
        <v>70.2</v>
      </c>
      <c r="E757" s="8">
        <v>0</v>
      </c>
      <c r="F757" s="8">
        <v>55.125</v>
      </c>
      <c r="G757" s="18">
        <v>6.1</v>
      </c>
      <c r="H757" s="240">
        <v>0</v>
      </c>
      <c r="I757" s="240">
        <v>0</v>
      </c>
      <c r="J757" s="240">
        <v>0</v>
      </c>
      <c r="K757" s="240">
        <v>0</v>
      </c>
      <c r="L757" s="240">
        <v>0</v>
      </c>
      <c r="M757" s="240">
        <v>0</v>
      </c>
      <c r="N757" s="240">
        <v>0</v>
      </c>
    </row>
    <row r="758" spans="1:14" x14ac:dyDescent="0.3">
      <c r="A758" s="135" t="s">
        <v>459</v>
      </c>
      <c r="B758" s="137" t="s">
        <v>412</v>
      </c>
      <c r="C758" s="137">
        <v>6</v>
      </c>
      <c r="D758" s="9">
        <v>70.2</v>
      </c>
      <c r="E758" s="8">
        <v>0</v>
      </c>
      <c r="F758" s="8">
        <v>55.125</v>
      </c>
      <c r="G758" s="18">
        <v>6.4583329999999997</v>
      </c>
      <c r="H758" s="240">
        <v>0</v>
      </c>
      <c r="I758" s="240">
        <v>0</v>
      </c>
      <c r="J758" s="240">
        <v>0</v>
      </c>
      <c r="K758" s="240">
        <v>0</v>
      </c>
      <c r="L758" s="240">
        <v>0</v>
      </c>
      <c r="M758" s="240">
        <v>0</v>
      </c>
      <c r="N758" s="240">
        <v>0</v>
      </c>
    </row>
    <row r="759" spans="1:14" x14ac:dyDescent="0.3">
      <c r="A759" s="135" t="s">
        <v>459</v>
      </c>
      <c r="B759" s="137" t="s">
        <v>412</v>
      </c>
      <c r="C759" s="137">
        <v>7</v>
      </c>
      <c r="D759" s="9">
        <v>70.2</v>
      </c>
      <c r="E759" s="8">
        <v>0</v>
      </c>
      <c r="F759" s="8">
        <v>57.75</v>
      </c>
      <c r="G759" s="18">
        <v>6.9285709999999998</v>
      </c>
      <c r="H759" s="240">
        <v>0</v>
      </c>
      <c r="I759" s="240">
        <v>0</v>
      </c>
      <c r="J759" s="240">
        <v>0</v>
      </c>
      <c r="K759" s="240">
        <v>0</v>
      </c>
      <c r="L759" s="240">
        <v>0</v>
      </c>
      <c r="M759" s="240">
        <v>0</v>
      </c>
      <c r="N759" s="240">
        <v>0</v>
      </c>
    </row>
    <row r="760" spans="1:14" x14ac:dyDescent="0.3">
      <c r="A760" s="135" t="s">
        <v>459</v>
      </c>
      <c r="B760" s="137" t="s">
        <v>412</v>
      </c>
      <c r="C760" s="137">
        <v>8</v>
      </c>
      <c r="D760" s="9">
        <v>70.2</v>
      </c>
      <c r="E760" s="8">
        <v>0</v>
      </c>
      <c r="F760" s="8">
        <v>59.71875</v>
      </c>
      <c r="G760" s="18">
        <v>7.34375</v>
      </c>
      <c r="H760" s="240">
        <v>0</v>
      </c>
      <c r="I760" s="240">
        <v>0</v>
      </c>
      <c r="J760" s="240">
        <v>0</v>
      </c>
      <c r="K760" s="240">
        <v>0</v>
      </c>
      <c r="L760" s="240">
        <v>0</v>
      </c>
      <c r="M760" s="240">
        <v>0</v>
      </c>
      <c r="N760" s="240">
        <v>0</v>
      </c>
    </row>
    <row r="761" spans="1:14" x14ac:dyDescent="0.3">
      <c r="A761" s="135" t="s">
        <v>459</v>
      </c>
      <c r="B761" s="137" t="s">
        <v>412</v>
      </c>
      <c r="C761" s="137">
        <v>9</v>
      </c>
      <c r="D761" s="9">
        <v>70.2</v>
      </c>
      <c r="E761" s="8">
        <v>0</v>
      </c>
      <c r="F761" s="8">
        <v>61.25</v>
      </c>
      <c r="G761" s="18">
        <v>7.75</v>
      </c>
      <c r="H761" s="240">
        <v>0</v>
      </c>
      <c r="I761" s="240">
        <v>0</v>
      </c>
      <c r="J761" s="240">
        <v>0</v>
      </c>
      <c r="K761" s="240">
        <v>0</v>
      </c>
      <c r="L761" s="240">
        <v>0</v>
      </c>
      <c r="M761" s="240">
        <v>0</v>
      </c>
      <c r="N761" s="240">
        <v>0</v>
      </c>
    </row>
    <row r="762" spans="1:14" x14ac:dyDescent="0.3">
      <c r="A762" s="135" t="s">
        <v>459</v>
      </c>
      <c r="B762" s="137" t="s">
        <v>412</v>
      </c>
      <c r="C762" s="137">
        <v>10</v>
      </c>
      <c r="D762" s="9">
        <v>70.2</v>
      </c>
      <c r="E762" s="8">
        <v>0</v>
      </c>
      <c r="F762" s="8">
        <v>62.475000000000001</v>
      </c>
      <c r="G762" s="18">
        <v>8.15</v>
      </c>
      <c r="H762" s="240">
        <v>0</v>
      </c>
      <c r="I762" s="240">
        <v>0</v>
      </c>
      <c r="J762" s="240">
        <v>0</v>
      </c>
      <c r="K762" s="240">
        <v>0</v>
      </c>
      <c r="L762" s="240">
        <v>0</v>
      </c>
      <c r="M762" s="240">
        <v>0</v>
      </c>
      <c r="N762" s="240">
        <v>0</v>
      </c>
    </row>
    <row r="763" spans="1:14" x14ac:dyDescent="0.3">
      <c r="A763" s="135" t="s">
        <v>459</v>
      </c>
      <c r="B763" s="137" t="s">
        <v>412</v>
      </c>
      <c r="C763" s="137">
        <v>11</v>
      </c>
      <c r="D763" s="9">
        <v>70.2</v>
      </c>
      <c r="E763" s="8">
        <v>0</v>
      </c>
      <c r="F763" s="8">
        <v>63.477272999999997</v>
      </c>
      <c r="G763" s="18">
        <v>8.5227269999999997</v>
      </c>
      <c r="H763" s="240">
        <v>0</v>
      </c>
      <c r="I763" s="240">
        <v>0</v>
      </c>
      <c r="J763" s="240">
        <v>0</v>
      </c>
      <c r="K763" s="240">
        <v>0</v>
      </c>
      <c r="L763" s="240">
        <v>0</v>
      </c>
      <c r="M763" s="240">
        <v>0</v>
      </c>
      <c r="N763" s="240">
        <v>0</v>
      </c>
    </row>
    <row r="764" spans="1:14" x14ac:dyDescent="0.3">
      <c r="A764" s="135" t="s">
        <v>459</v>
      </c>
      <c r="B764" s="137" t="s">
        <v>412</v>
      </c>
      <c r="C764" s="137">
        <v>12</v>
      </c>
      <c r="D764" s="9">
        <v>70.2</v>
      </c>
      <c r="E764" s="8">
        <v>0</v>
      </c>
      <c r="F764" s="8">
        <v>64.3125</v>
      </c>
      <c r="G764" s="18">
        <v>8.875</v>
      </c>
      <c r="H764" s="240">
        <v>0</v>
      </c>
      <c r="I764" s="240">
        <v>0</v>
      </c>
      <c r="J764" s="240">
        <v>0</v>
      </c>
      <c r="K764" s="240">
        <v>0</v>
      </c>
      <c r="L764" s="240">
        <v>0</v>
      </c>
      <c r="M764" s="240">
        <v>0</v>
      </c>
      <c r="N764" s="240">
        <v>0</v>
      </c>
    </row>
    <row r="765" spans="1:14" x14ac:dyDescent="0.3">
      <c r="A765" s="135" t="s">
        <v>459</v>
      </c>
      <c r="B765" s="137" t="s">
        <v>412</v>
      </c>
      <c r="C765" s="137">
        <v>13</v>
      </c>
      <c r="D765" s="9">
        <v>70.2</v>
      </c>
      <c r="E765" s="8">
        <v>0</v>
      </c>
      <c r="F765" s="8">
        <v>65.019231000000005</v>
      </c>
      <c r="G765" s="18">
        <v>9.2115379999999991</v>
      </c>
      <c r="H765" s="240">
        <v>0</v>
      </c>
      <c r="I765" s="240">
        <v>0</v>
      </c>
      <c r="J765" s="240">
        <v>0</v>
      </c>
      <c r="K765" s="240">
        <v>0</v>
      </c>
      <c r="L765" s="240">
        <v>0</v>
      </c>
      <c r="M765" s="240">
        <v>0</v>
      </c>
      <c r="N765" s="240">
        <v>0</v>
      </c>
    </row>
    <row r="766" spans="1:14" x14ac:dyDescent="0.3">
      <c r="A766" s="135" t="s">
        <v>459</v>
      </c>
      <c r="B766" s="137" t="s">
        <v>412</v>
      </c>
      <c r="C766" s="137">
        <v>14</v>
      </c>
      <c r="D766" s="9">
        <v>70.2</v>
      </c>
      <c r="E766" s="8">
        <v>0</v>
      </c>
      <c r="F766" s="8">
        <v>65.625</v>
      </c>
      <c r="G766" s="18">
        <v>9.5357140000000005</v>
      </c>
      <c r="H766" s="240">
        <v>0</v>
      </c>
      <c r="I766" s="240">
        <v>0</v>
      </c>
      <c r="J766" s="240">
        <v>0</v>
      </c>
      <c r="K766" s="240">
        <v>0</v>
      </c>
      <c r="L766" s="240">
        <v>0</v>
      </c>
      <c r="M766" s="240">
        <v>0</v>
      </c>
      <c r="N766" s="240">
        <v>0</v>
      </c>
    </row>
    <row r="767" spans="1:14" x14ac:dyDescent="0.3">
      <c r="A767" s="135" t="s">
        <v>459</v>
      </c>
      <c r="B767" s="137" t="s">
        <v>412</v>
      </c>
      <c r="C767" s="137">
        <v>15</v>
      </c>
      <c r="D767" s="9">
        <v>70.2</v>
      </c>
      <c r="E767" s="8">
        <v>0</v>
      </c>
      <c r="F767" s="8">
        <v>66.150000000000006</v>
      </c>
      <c r="G767" s="18">
        <v>9.85</v>
      </c>
      <c r="H767" s="240">
        <v>0</v>
      </c>
      <c r="I767" s="240">
        <v>0</v>
      </c>
      <c r="J767" s="240">
        <v>0</v>
      </c>
      <c r="K767" s="240">
        <v>0</v>
      </c>
      <c r="L767" s="240">
        <v>0</v>
      </c>
      <c r="M767" s="240">
        <v>0</v>
      </c>
      <c r="N767" s="240">
        <v>0</v>
      </c>
    </row>
    <row r="768" spans="1:14" x14ac:dyDescent="0.3">
      <c r="A768" s="135" t="s">
        <v>459</v>
      </c>
      <c r="B768" s="137" t="s">
        <v>412</v>
      </c>
      <c r="C768" s="137">
        <v>16</v>
      </c>
      <c r="D768" s="9">
        <v>70.2</v>
      </c>
      <c r="E768" s="8">
        <v>0</v>
      </c>
      <c r="F768" s="8">
        <v>67.757812000000001</v>
      </c>
      <c r="G768" s="18">
        <v>10.234375</v>
      </c>
      <c r="H768" s="240">
        <v>0</v>
      </c>
      <c r="I768" s="240">
        <v>0</v>
      </c>
      <c r="J768" s="240">
        <v>0</v>
      </c>
      <c r="K768" s="240">
        <v>0</v>
      </c>
      <c r="L768" s="240">
        <v>0</v>
      </c>
      <c r="M768" s="240">
        <v>0</v>
      </c>
      <c r="N768" s="240">
        <v>0</v>
      </c>
    </row>
    <row r="769" spans="1:14" x14ac:dyDescent="0.3">
      <c r="A769" s="135" t="s">
        <v>459</v>
      </c>
      <c r="B769" s="137" t="s">
        <v>412</v>
      </c>
      <c r="C769" s="137">
        <v>17</v>
      </c>
      <c r="D769" s="9">
        <v>70.2</v>
      </c>
      <c r="E769" s="8">
        <v>0</v>
      </c>
      <c r="F769" s="8">
        <v>69.176471000000006</v>
      </c>
      <c r="G769" s="18">
        <v>10.588234999999999</v>
      </c>
      <c r="H769" s="240">
        <v>0</v>
      </c>
      <c r="I769" s="240">
        <v>0</v>
      </c>
      <c r="J769" s="240">
        <v>0</v>
      </c>
      <c r="K769" s="240">
        <v>0</v>
      </c>
      <c r="L769" s="240">
        <v>0</v>
      </c>
      <c r="M769" s="240">
        <v>0</v>
      </c>
      <c r="N769" s="240">
        <v>0</v>
      </c>
    </row>
    <row r="770" spans="1:14" x14ac:dyDescent="0.3">
      <c r="A770" s="135" t="s">
        <v>459</v>
      </c>
      <c r="B770" s="137" t="s">
        <v>412</v>
      </c>
      <c r="C770" s="137">
        <v>18</v>
      </c>
      <c r="D770" s="9">
        <v>70.2</v>
      </c>
      <c r="E770" s="8">
        <v>0</v>
      </c>
      <c r="F770" s="8">
        <v>70.4375</v>
      </c>
      <c r="G770" s="18">
        <v>10.930555999999999</v>
      </c>
      <c r="H770" s="240">
        <v>0</v>
      </c>
      <c r="I770" s="240">
        <v>0</v>
      </c>
      <c r="J770" s="240">
        <v>0</v>
      </c>
      <c r="K770" s="240">
        <v>0</v>
      </c>
      <c r="L770" s="240">
        <v>0</v>
      </c>
      <c r="M770" s="240">
        <v>0</v>
      </c>
      <c r="N770" s="240">
        <v>0</v>
      </c>
    </row>
    <row r="771" spans="1:14" x14ac:dyDescent="0.3">
      <c r="A771" s="135" t="s">
        <v>459</v>
      </c>
      <c r="B771" s="137" t="s">
        <v>412</v>
      </c>
      <c r="C771" s="137">
        <v>19</v>
      </c>
      <c r="D771" s="9">
        <v>70.2</v>
      </c>
      <c r="E771" s="8">
        <v>0</v>
      </c>
      <c r="F771" s="8">
        <v>71.565788999999995</v>
      </c>
      <c r="G771" s="18">
        <v>11.276316</v>
      </c>
      <c r="H771" s="240">
        <v>0</v>
      </c>
      <c r="I771" s="240">
        <v>0</v>
      </c>
      <c r="J771" s="240">
        <v>0</v>
      </c>
      <c r="K771" s="240">
        <v>0</v>
      </c>
      <c r="L771" s="240">
        <v>0</v>
      </c>
      <c r="M771" s="240">
        <v>0</v>
      </c>
      <c r="N771" s="240">
        <v>0</v>
      </c>
    </row>
    <row r="772" spans="1:14" x14ac:dyDescent="0.3">
      <c r="A772" s="135" t="s">
        <v>459</v>
      </c>
      <c r="B772" s="137" t="s">
        <v>412</v>
      </c>
      <c r="C772" s="137">
        <v>20</v>
      </c>
      <c r="D772" s="9">
        <v>70.2</v>
      </c>
      <c r="E772" s="8">
        <v>0</v>
      </c>
      <c r="F772" s="8">
        <v>72.581249999999997</v>
      </c>
      <c r="G772" s="18">
        <v>11.6</v>
      </c>
      <c r="H772" s="240">
        <v>0</v>
      </c>
      <c r="I772" s="240">
        <v>0</v>
      </c>
      <c r="J772" s="240">
        <v>0</v>
      </c>
      <c r="K772" s="240">
        <v>0</v>
      </c>
      <c r="L772" s="240">
        <v>0</v>
      </c>
      <c r="M772" s="240">
        <v>0</v>
      </c>
      <c r="N772" s="240">
        <v>0</v>
      </c>
    </row>
    <row r="773" spans="1:14" x14ac:dyDescent="0.3">
      <c r="A773" s="135" t="s">
        <v>459</v>
      </c>
      <c r="B773" s="137" t="s">
        <v>412</v>
      </c>
      <c r="C773" s="137">
        <v>21</v>
      </c>
      <c r="D773" s="9">
        <v>70.2</v>
      </c>
      <c r="E773" s="8">
        <v>0</v>
      </c>
      <c r="F773" s="8">
        <v>73.5</v>
      </c>
      <c r="G773" s="18">
        <v>11.916667</v>
      </c>
      <c r="H773" s="240">
        <v>0</v>
      </c>
      <c r="I773" s="240">
        <v>0</v>
      </c>
      <c r="J773" s="240">
        <v>0</v>
      </c>
      <c r="K773" s="240">
        <v>0</v>
      </c>
      <c r="L773" s="240">
        <v>0</v>
      </c>
      <c r="M773" s="240">
        <v>0</v>
      </c>
      <c r="N773" s="240">
        <v>0</v>
      </c>
    </row>
    <row r="774" spans="1:14" x14ac:dyDescent="0.3">
      <c r="A774" s="135" t="s">
        <v>459</v>
      </c>
      <c r="B774" s="137" t="s">
        <v>412</v>
      </c>
      <c r="C774" s="137">
        <v>22</v>
      </c>
      <c r="D774" s="9">
        <v>70.2</v>
      </c>
      <c r="E774" s="8">
        <v>0</v>
      </c>
      <c r="F774" s="8">
        <v>74.335227000000003</v>
      </c>
      <c r="G774" s="18">
        <v>12.227273</v>
      </c>
      <c r="H774" s="240">
        <v>0</v>
      </c>
      <c r="I774" s="240">
        <v>0</v>
      </c>
      <c r="J774" s="240">
        <v>0</v>
      </c>
      <c r="K774" s="240">
        <v>0</v>
      </c>
      <c r="L774" s="240">
        <v>0</v>
      </c>
      <c r="M774" s="240">
        <v>0</v>
      </c>
      <c r="N774" s="240">
        <v>0</v>
      </c>
    </row>
    <row r="775" spans="1:14" x14ac:dyDescent="0.3">
      <c r="A775" s="135" t="s">
        <v>459</v>
      </c>
      <c r="B775" s="137" t="s">
        <v>412</v>
      </c>
      <c r="C775" s="137">
        <v>23</v>
      </c>
      <c r="D775" s="9">
        <v>70.2</v>
      </c>
      <c r="E775" s="8">
        <v>0</v>
      </c>
      <c r="F775" s="8">
        <v>75.097825999999998</v>
      </c>
      <c r="G775" s="18">
        <v>12.532609000000001</v>
      </c>
      <c r="H775" s="240">
        <v>0</v>
      </c>
      <c r="I775" s="240">
        <v>0</v>
      </c>
      <c r="J775" s="240">
        <v>0</v>
      </c>
      <c r="K775" s="240">
        <v>0</v>
      </c>
      <c r="L775" s="240">
        <v>0</v>
      </c>
      <c r="M775" s="240">
        <v>0</v>
      </c>
      <c r="N775" s="240">
        <v>0</v>
      </c>
    </row>
    <row r="776" spans="1:14" x14ac:dyDescent="0.3">
      <c r="A776" s="135" t="s">
        <v>459</v>
      </c>
      <c r="B776" s="137" t="s">
        <v>412</v>
      </c>
      <c r="C776" s="137">
        <v>24</v>
      </c>
      <c r="D776" s="9">
        <v>70.2</v>
      </c>
      <c r="E776" s="8">
        <v>0</v>
      </c>
      <c r="F776" s="8">
        <v>75.796875</v>
      </c>
      <c r="G776" s="18">
        <v>12.822917</v>
      </c>
      <c r="H776" s="240">
        <v>0</v>
      </c>
      <c r="I776" s="240">
        <v>0</v>
      </c>
      <c r="J776" s="240">
        <v>0</v>
      </c>
      <c r="K776" s="240">
        <v>0</v>
      </c>
      <c r="L776" s="240">
        <v>0</v>
      </c>
      <c r="M776" s="240">
        <v>0</v>
      </c>
      <c r="N776" s="240">
        <v>0</v>
      </c>
    </row>
    <row r="777" spans="1:14" x14ac:dyDescent="0.3">
      <c r="A777" s="135" t="s">
        <v>459</v>
      </c>
      <c r="B777" s="137" t="s">
        <v>412</v>
      </c>
      <c r="C777" s="137">
        <v>25</v>
      </c>
      <c r="D777" s="9">
        <v>70.2</v>
      </c>
      <c r="E777" s="8">
        <v>0</v>
      </c>
      <c r="F777" s="8">
        <v>76.44</v>
      </c>
      <c r="G777" s="18">
        <v>13.12</v>
      </c>
      <c r="H777" s="240">
        <v>0</v>
      </c>
      <c r="I777" s="240">
        <v>0</v>
      </c>
      <c r="J777" s="240">
        <v>0</v>
      </c>
      <c r="K777" s="240">
        <v>0</v>
      </c>
      <c r="L777" s="240">
        <v>0</v>
      </c>
      <c r="M777" s="240">
        <v>0</v>
      </c>
      <c r="N777" s="240">
        <v>0</v>
      </c>
    </row>
    <row r="778" spans="1:14" x14ac:dyDescent="0.3">
      <c r="A778" s="135" t="s">
        <v>459</v>
      </c>
      <c r="B778" s="137" t="s">
        <v>412</v>
      </c>
      <c r="C778" s="137">
        <v>26</v>
      </c>
      <c r="D778" s="9">
        <v>70.2</v>
      </c>
      <c r="E778" s="8">
        <v>0</v>
      </c>
      <c r="F778" s="8">
        <v>77.033653999999999</v>
      </c>
      <c r="G778" s="18">
        <v>13.403846</v>
      </c>
      <c r="H778" s="240">
        <v>0</v>
      </c>
      <c r="I778" s="240">
        <v>0</v>
      </c>
      <c r="J778" s="240">
        <v>0</v>
      </c>
      <c r="K778" s="240">
        <v>0</v>
      </c>
      <c r="L778" s="240">
        <v>0</v>
      </c>
      <c r="M778" s="240">
        <v>0</v>
      </c>
      <c r="N778" s="240">
        <v>0</v>
      </c>
    </row>
    <row r="779" spans="1:14" x14ac:dyDescent="0.3">
      <c r="A779" s="135" t="s">
        <v>459</v>
      </c>
      <c r="B779" s="137" t="s">
        <v>412</v>
      </c>
      <c r="C779" s="137">
        <v>27</v>
      </c>
      <c r="D779" s="9">
        <v>70.2</v>
      </c>
      <c r="E779" s="8">
        <v>0</v>
      </c>
      <c r="F779" s="8">
        <v>77.583332999999996</v>
      </c>
      <c r="G779" s="18">
        <v>13.675926</v>
      </c>
      <c r="H779" s="240">
        <v>0</v>
      </c>
      <c r="I779" s="240">
        <v>0</v>
      </c>
      <c r="J779" s="240">
        <v>0</v>
      </c>
      <c r="K779" s="240">
        <v>0</v>
      </c>
      <c r="L779" s="240">
        <v>0</v>
      </c>
      <c r="M779" s="240">
        <v>0</v>
      </c>
      <c r="N779" s="240">
        <v>0</v>
      </c>
    </row>
    <row r="780" spans="1:14" x14ac:dyDescent="0.3">
      <c r="A780" s="135" t="s">
        <v>459</v>
      </c>
      <c r="B780" s="137" t="s">
        <v>412</v>
      </c>
      <c r="C780" s="137">
        <v>28</v>
      </c>
      <c r="D780" s="9">
        <v>70.2</v>
      </c>
      <c r="E780" s="8">
        <v>0</v>
      </c>
      <c r="F780" s="8">
        <v>78.09375</v>
      </c>
      <c r="G780" s="18">
        <v>13.946429</v>
      </c>
      <c r="H780" s="240">
        <v>0</v>
      </c>
      <c r="I780" s="240">
        <v>0</v>
      </c>
      <c r="J780" s="240">
        <v>0</v>
      </c>
      <c r="K780" s="240">
        <v>0</v>
      </c>
      <c r="L780" s="240">
        <v>0</v>
      </c>
      <c r="M780" s="240">
        <v>0</v>
      </c>
      <c r="N780" s="240">
        <v>0</v>
      </c>
    </row>
    <row r="781" spans="1:14" x14ac:dyDescent="0.3">
      <c r="A781" s="135" t="s">
        <v>459</v>
      </c>
      <c r="B781" s="137" t="s">
        <v>412</v>
      </c>
      <c r="C781" s="137">
        <v>29</v>
      </c>
      <c r="D781" s="9">
        <v>70.2</v>
      </c>
      <c r="E781" s="8">
        <v>0</v>
      </c>
      <c r="F781" s="8">
        <v>79.202585999999997</v>
      </c>
      <c r="G781" s="18">
        <v>14.267241</v>
      </c>
      <c r="H781" s="240">
        <v>0</v>
      </c>
      <c r="I781" s="240">
        <v>0</v>
      </c>
      <c r="J781" s="240">
        <v>0</v>
      </c>
      <c r="K781" s="240">
        <v>0</v>
      </c>
      <c r="L781" s="240">
        <v>0</v>
      </c>
      <c r="M781" s="240">
        <v>0</v>
      </c>
      <c r="N781" s="240">
        <v>0</v>
      </c>
    </row>
    <row r="782" spans="1:14" x14ac:dyDescent="0.3">
      <c r="A782" s="138" t="s">
        <v>459</v>
      </c>
      <c r="B782" s="137" t="s">
        <v>412</v>
      </c>
      <c r="C782" s="137">
        <v>30</v>
      </c>
      <c r="D782" s="9">
        <v>70.2</v>
      </c>
      <c r="E782" s="8">
        <v>0</v>
      </c>
      <c r="F782" s="8">
        <v>80.237499999999997</v>
      </c>
      <c r="G782" s="18">
        <v>14.574999999999999</v>
      </c>
      <c r="H782" s="240">
        <v>0</v>
      </c>
      <c r="I782" s="240">
        <v>0</v>
      </c>
      <c r="J782" s="240">
        <v>0</v>
      </c>
      <c r="K782" s="240">
        <v>0</v>
      </c>
      <c r="L782" s="240">
        <v>0</v>
      </c>
      <c r="M782" s="240">
        <v>0</v>
      </c>
      <c r="N782" s="240">
        <v>0</v>
      </c>
    </row>
    <row r="783" spans="1:14" x14ac:dyDescent="0.3">
      <c r="A783" s="142" t="s">
        <v>459</v>
      </c>
      <c r="B783" s="143" t="s">
        <v>413</v>
      </c>
      <c r="C783" s="143">
        <v>1</v>
      </c>
      <c r="D783" s="9">
        <v>70.2</v>
      </c>
      <c r="E783" s="8">
        <v>19.285</v>
      </c>
      <c r="F783" s="8">
        <v>5.4880000000000004</v>
      </c>
      <c r="G783" s="18">
        <v>10</v>
      </c>
      <c r="H783" s="240">
        <v>0</v>
      </c>
      <c r="I783" s="240">
        <v>0</v>
      </c>
      <c r="J783" s="240">
        <v>0</v>
      </c>
      <c r="K783" s="240">
        <v>0</v>
      </c>
      <c r="L783" s="240">
        <v>0</v>
      </c>
      <c r="M783" s="240">
        <v>0</v>
      </c>
      <c r="N783" s="240">
        <v>0</v>
      </c>
    </row>
    <row r="784" spans="1:14" x14ac:dyDescent="0.3">
      <c r="A784" s="135" t="s">
        <v>459</v>
      </c>
      <c r="B784" s="136" t="s">
        <v>413</v>
      </c>
      <c r="C784" s="137">
        <v>2</v>
      </c>
      <c r="D784" s="9">
        <v>70.2</v>
      </c>
      <c r="E784" s="8">
        <v>20.947500000000002</v>
      </c>
      <c r="F784" s="8">
        <v>5.4880000000000004</v>
      </c>
      <c r="G784" s="18">
        <v>10.3</v>
      </c>
      <c r="H784" s="240">
        <v>0</v>
      </c>
      <c r="I784" s="240">
        <v>0</v>
      </c>
      <c r="J784" s="240">
        <v>0</v>
      </c>
      <c r="K784" s="240">
        <v>0</v>
      </c>
      <c r="L784" s="240">
        <v>0</v>
      </c>
      <c r="M784" s="240">
        <v>0</v>
      </c>
      <c r="N784" s="240">
        <v>0</v>
      </c>
    </row>
    <row r="785" spans="1:14" x14ac:dyDescent="0.3">
      <c r="A785" s="135" t="s">
        <v>459</v>
      </c>
      <c r="B785" s="137" t="s">
        <v>413</v>
      </c>
      <c r="C785" s="137">
        <v>3</v>
      </c>
      <c r="D785" s="9">
        <v>70.2</v>
      </c>
      <c r="E785" s="8">
        <v>21.501667000000001</v>
      </c>
      <c r="F785" s="8">
        <v>7.0279999999999996</v>
      </c>
      <c r="G785" s="18">
        <v>10.666667</v>
      </c>
      <c r="H785" s="240">
        <v>0</v>
      </c>
      <c r="I785" s="240">
        <v>0</v>
      </c>
      <c r="J785" s="240">
        <v>0</v>
      </c>
      <c r="K785" s="240">
        <v>0</v>
      </c>
      <c r="L785" s="240">
        <v>0</v>
      </c>
      <c r="M785" s="240">
        <v>0</v>
      </c>
      <c r="N785" s="240">
        <v>0</v>
      </c>
    </row>
    <row r="786" spans="1:14" x14ac:dyDescent="0.3">
      <c r="A786" s="135" t="s">
        <v>459</v>
      </c>
      <c r="B786" s="137" t="s">
        <v>413</v>
      </c>
      <c r="C786" s="137">
        <v>4</v>
      </c>
      <c r="D786" s="9">
        <v>70.2</v>
      </c>
      <c r="E786" s="8">
        <v>21.778749999999999</v>
      </c>
      <c r="F786" s="8">
        <v>7.798</v>
      </c>
      <c r="G786" s="18">
        <v>11.4375</v>
      </c>
      <c r="H786" s="240">
        <v>0</v>
      </c>
      <c r="I786" s="240">
        <v>0</v>
      </c>
      <c r="J786" s="240">
        <v>0</v>
      </c>
      <c r="K786" s="240">
        <v>0</v>
      </c>
      <c r="L786" s="240">
        <v>0</v>
      </c>
      <c r="M786" s="240">
        <v>0</v>
      </c>
      <c r="N786" s="240">
        <v>0</v>
      </c>
    </row>
    <row r="787" spans="1:14" x14ac:dyDescent="0.3">
      <c r="A787" s="135" t="s">
        <v>459</v>
      </c>
      <c r="B787" s="137" t="s">
        <v>413</v>
      </c>
      <c r="C787" s="137">
        <v>5</v>
      </c>
      <c r="D787" s="9">
        <v>70.2</v>
      </c>
      <c r="E787" s="8">
        <v>21.945</v>
      </c>
      <c r="F787" s="8">
        <v>8.26</v>
      </c>
      <c r="G787" s="18">
        <v>12.15</v>
      </c>
      <c r="H787" s="240">
        <v>0</v>
      </c>
      <c r="I787" s="240">
        <v>0</v>
      </c>
      <c r="J787" s="240">
        <v>0</v>
      </c>
      <c r="K787" s="240">
        <v>0</v>
      </c>
      <c r="L787" s="240">
        <v>0</v>
      </c>
      <c r="M787" s="240">
        <v>0</v>
      </c>
      <c r="N787" s="240">
        <v>0</v>
      </c>
    </row>
    <row r="788" spans="1:14" x14ac:dyDescent="0.3">
      <c r="A788" s="135" t="s">
        <v>459</v>
      </c>
      <c r="B788" s="137" t="s">
        <v>413</v>
      </c>
      <c r="C788" s="137">
        <v>6</v>
      </c>
      <c r="D788" s="9">
        <v>70.2</v>
      </c>
      <c r="E788" s="8">
        <v>22.055833</v>
      </c>
      <c r="F788" s="8">
        <v>8.5679999999999996</v>
      </c>
      <c r="G788" s="18">
        <v>12.916667</v>
      </c>
      <c r="H788" s="240">
        <v>0</v>
      </c>
      <c r="I788" s="240">
        <v>0</v>
      </c>
      <c r="J788" s="240">
        <v>0</v>
      </c>
      <c r="K788" s="240">
        <v>0</v>
      </c>
      <c r="L788" s="240">
        <v>0</v>
      </c>
      <c r="M788" s="240">
        <v>0</v>
      </c>
      <c r="N788" s="240">
        <v>0</v>
      </c>
    </row>
    <row r="789" spans="1:14" x14ac:dyDescent="0.3">
      <c r="A789" s="135" t="s">
        <v>459</v>
      </c>
      <c r="B789" s="137" t="s">
        <v>413</v>
      </c>
      <c r="C789" s="137">
        <v>7</v>
      </c>
      <c r="D789" s="9">
        <v>70.2</v>
      </c>
      <c r="E789" s="8">
        <v>22.135000000000002</v>
      </c>
      <c r="F789" s="8">
        <v>9.6479999999999997</v>
      </c>
      <c r="G789" s="18">
        <v>13.678571</v>
      </c>
      <c r="H789" s="240">
        <v>0</v>
      </c>
      <c r="I789" s="240">
        <v>0</v>
      </c>
      <c r="J789" s="240">
        <v>0</v>
      </c>
      <c r="K789" s="240">
        <v>0</v>
      </c>
      <c r="L789" s="240">
        <v>0</v>
      </c>
      <c r="M789" s="240">
        <v>0</v>
      </c>
      <c r="N789" s="240">
        <v>0</v>
      </c>
    </row>
    <row r="790" spans="1:14" x14ac:dyDescent="0.3">
      <c r="A790" s="135" t="s">
        <v>459</v>
      </c>
      <c r="B790" s="137" t="s">
        <v>413</v>
      </c>
      <c r="C790" s="137">
        <v>8</v>
      </c>
      <c r="D790" s="9">
        <v>70.2</v>
      </c>
      <c r="E790" s="8">
        <v>22.194375000000001</v>
      </c>
      <c r="F790" s="8">
        <v>10.458</v>
      </c>
      <c r="G790" s="18">
        <v>14.40625</v>
      </c>
      <c r="H790" s="240">
        <v>0</v>
      </c>
      <c r="I790" s="240">
        <v>0</v>
      </c>
      <c r="J790" s="240">
        <v>0</v>
      </c>
      <c r="K790" s="240">
        <v>0</v>
      </c>
      <c r="L790" s="240">
        <v>0</v>
      </c>
      <c r="M790" s="240">
        <v>0</v>
      </c>
      <c r="N790" s="240">
        <v>0</v>
      </c>
    </row>
    <row r="791" spans="1:14" x14ac:dyDescent="0.3">
      <c r="A791" s="135" t="s">
        <v>459</v>
      </c>
      <c r="B791" s="137" t="s">
        <v>413</v>
      </c>
      <c r="C791" s="137">
        <v>9</v>
      </c>
      <c r="D791" s="9">
        <v>70.2</v>
      </c>
      <c r="E791" s="8">
        <v>22.240556000000002</v>
      </c>
      <c r="F791" s="8">
        <v>11.087999999999999</v>
      </c>
      <c r="G791" s="18">
        <v>15.111110999999999</v>
      </c>
      <c r="H791" s="240">
        <v>0</v>
      </c>
      <c r="I791" s="240">
        <v>0</v>
      </c>
      <c r="J791" s="240">
        <v>0</v>
      </c>
      <c r="K791" s="240">
        <v>0</v>
      </c>
      <c r="L791" s="240">
        <v>0</v>
      </c>
      <c r="M791" s="240">
        <v>0</v>
      </c>
      <c r="N791" s="240">
        <v>0</v>
      </c>
    </row>
    <row r="792" spans="1:14" x14ac:dyDescent="0.3">
      <c r="A792" s="135" t="s">
        <v>459</v>
      </c>
      <c r="B792" s="137" t="s">
        <v>413</v>
      </c>
      <c r="C792" s="137">
        <v>10</v>
      </c>
      <c r="D792" s="9">
        <v>70.2</v>
      </c>
      <c r="E792" s="8">
        <v>22.2775</v>
      </c>
      <c r="F792" s="8">
        <v>11.592000000000001</v>
      </c>
      <c r="G792" s="18">
        <v>15.8</v>
      </c>
      <c r="H792" s="240">
        <v>0</v>
      </c>
      <c r="I792" s="240">
        <v>0</v>
      </c>
      <c r="J792" s="240">
        <v>0</v>
      </c>
      <c r="K792" s="240">
        <v>0</v>
      </c>
      <c r="L792" s="240">
        <v>0</v>
      </c>
      <c r="M792" s="240">
        <v>0</v>
      </c>
      <c r="N792" s="240">
        <v>0</v>
      </c>
    </row>
    <row r="793" spans="1:14" x14ac:dyDescent="0.3">
      <c r="A793" s="135" t="s">
        <v>459</v>
      </c>
      <c r="B793" s="137" t="s">
        <v>413</v>
      </c>
      <c r="C793" s="137">
        <v>11</v>
      </c>
      <c r="D793" s="9">
        <v>70.2</v>
      </c>
      <c r="E793" s="8">
        <v>22.307727</v>
      </c>
      <c r="F793" s="8">
        <v>12.004364000000001</v>
      </c>
      <c r="G793" s="18">
        <v>16.454545</v>
      </c>
      <c r="H793" s="240">
        <v>0</v>
      </c>
      <c r="I793" s="240">
        <v>0</v>
      </c>
      <c r="J793" s="240">
        <v>0</v>
      </c>
      <c r="K793" s="240">
        <v>0</v>
      </c>
      <c r="L793" s="240">
        <v>0</v>
      </c>
      <c r="M793" s="240">
        <v>0</v>
      </c>
      <c r="N793" s="240">
        <v>0</v>
      </c>
    </row>
    <row r="794" spans="1:14" x14ac:dyDescent="0.3">
      <c r="A794" s="135" t="s">
        <v>459</v>
      </c>
      <c r="B794" s="137" t="s">
        <v>413</v>
      </c>
      <c r="C794" s="137">
        <v>12</v>
      </c>
      <c r="D794" s="9">
        <v>70.2</v>
      </c>
      <c r="E794" s="8">
        <v>22.332916999999998</v>
      </c>
      <c r="F794" s="8">
        <v>12.966333000000001</v>
      </c>
      <c r="G794" s="18">
        <v>17.145833</v>
      </c>
      <c r="H794" s="240">
        <v>0</v>
      </c>
      <c r="I794" s="240">
        <v>0</v>
      </c>
      <c r="J794" s="240">
        <v>0</v>
      </c>
      <c r="K794" s="240">
        <v>0</v>
      </c>
      <c r="L794" s="240">
        <v>0</v>
      </c>
      <c r="M794" s="240">
        <v>0</v>
      </c>
      <c r="N794" s="240">
        <v>0</v>
      </c>
    </row>
    <row r="795" spans="1:14" x14ac:dyDescent="0.3">
      <c r="A795" s="135" t="s">
        <v>459</v>
      </c>
      <c r="B795" s="137" t="s">
        <v>413</v>
      </c>
      <c r="C795" s="137">
        <v>13</v>
      </c>
      <c r="D795" s="9">
        <v>70.2</v>
      </c>
      <c r="E795" s="8">
        <v>22.354230999999999</v>
      </c>
      <c r="F795" s="8">
        <v>13.780308</v>
      </c>
      <c r="G795" s="18">
        <v>17.807691999999999</v>
      </c>
      <c r="H795" s="240">
        <v>0</v>
      </c>
      <c r="I795" s="240">
        <v>0</v>
      </c>
      <c r="J795" s="240">
        <v>0</v>
      </c>
      <c r="K795" s="240">
        <v>0</v>
      </c>
      <c r="L795" s="240">
        <v>0</v>
      </c>
      <c r="M795" s="240">
        <v>0</v>
      </c>
      <c r="N795" s="240">
        <v>0</v>
      </c>
    </row>
    <row r="796" spans="1:14" x14ac:dyDescent="0.3">
      <c r="A796" s="135" t="s">
        <v>459</v>
      </c>
      <c r="B796" s="137" t="s">
        <v>413</v>
      </c>
      <c r="C796" s="137">
        <v>14</v>
      </c>
      <c r="D796" s="9">
        <v>70.2</v>
      </c>
      <c r="E796" s="8">
        <v>22.372499999999999</v>
      </c>
      <c r="F796" s="8">
        <v>14.478</v>
      </c>
      <c r="G796" s="18">
        <v>18.446428999999998</v>
      </c>
      <c r="H796" s="240">
        <v>0</v>
      </c>
      <c r="I796" s="240">
        <v>0</v>
      </c>
      <c r="J796" s="240">
        <v>0</v>
      </c>
      <c r="K796" s="240">
        <v>0</v>
      </c>
      <c r="L796" s="240">
        <v>0</v>
      </c>
      <c r="M796" s="240">
        <v>0</v>
      </c>
      <c r="N796" s="240">
        <v>0</v>
      </c>
    </row>
    <row r="797" spans="1:14" x14ac:dyDescent="0.3">
      <c r="A797" s="135" t="s">
        <v>459</v>
      </c>
      <c r="B797" s="137" t="s">
        <v>413</v>
      </c>
      <c r="C797" s="137">
        <v>15</v>
      </c>
      <c r="D797" s="9">
        <v>70.2</v>
      </c>
      <c r="E797" s="8">
        <v>22.388332999999999</v>
      </c>
      <c r="F797" s="8">
        <v>15.082667000000001</v>
      </c>
      <c r="G797" s="18">
        <v>19.066666999999999</v>
      </c>
      <c r="H797" s="240">
        <v>0</v>
      </c>
      <c r="I797" s="240">
        <v>0</v>
      </c>
      <c r="J797" s="240">
        <v>0</v>
      </c>
      <c r="K797" s="240">
        <v>0</v>
      </c>
      <c r="L797" s="240">
        <v>0</v>
      </c>
      <c r="M797" s="240">
        <v>0</v>
      </c>
      <c r="N797" s="240">
        <v>0</v>
      </c>
    </row>
    <row r="798" spans="1:14" x14ac:dyDescent="0.3">
      <c r="A798" s="135" t="s">
        <v>459</v>
      </c>
      <c r="B798" s="137" t="s">
        <v>413</v>
      </c>
      <c r="C798" s="137">
        <v>16</v>
      </c>
      <c r="D798" s="9">
        <v>70.2</v>
      </c>
      <c r="E798" s="8">
        <v>22.402187000000001</v>
      </c>
      <c r="F798" s="8">
        <v>15.611750000000001</v>
      </c>
      <c r="G798" s="18">
        <v>19.671875</v>
      </c>
      <c r="H798" s="240">
        <v>0</v>
      </c>
      <c r="I798" s="240">
        <v>0</v>
      </c>
      <c r="J798" s="240">
        <v>0</v>
      </c>
      <c r="K798" s="240">
        <v>0</v>
      </c>
      <c r="L798" s="240">
        <v>0</v>
      </c>
      <c r="M798" s="240">
        <v>0</v>
      </c>
      <c r="N798" s="240">
        <v>0</v>
      </c>
    </row>
    <row r="799" spans="1:14" x14ac:dyDescent="0.3">
      <c r="A799" s="135" t="s">
        <v>459</v>
      </c>
      <c r="B799" s="137" t="s">
        <v>413</v>
      </c>
      <c r="C799" s="137">
        <v>17</v>
      </c>
      <c r="D799" s="9">
        <v>70.2</v>
      </c>
      <c r="E799" s="8">
        <v>22.414411999999999</v>
      </c>
      <c r="F799" s="8">
        <v>16.078588</v>
      </c>
      <c r="G799" s="18">
        <v>20.25</v>
      </c>
      <c r="H799" s="240">
        <v>0</v>
      </c>
      <c r="I799" s="240">
        <v>0</v>
      </c>
      <c r="J799" s="240">
        <v>0</v>
      </c>
      <c r="K799" s="240">
        <v>0</v>
      </c>
      <c r="L799" s="240">
        <v>0</v>
      </c>
      <c r="M799" s="240">
        <v>0</v>
      </c>
      <c r="N799" s="240">
        <v>0</v>
      </c>
    </row>
    <row r="800" spans="1:14" x14ac:dyDescent="0.3">
      <c r="A800" s="135" t="s">
        <v>459</v>
      </c>
      <c r="B800" s="137" t="s">
        <v>413</v>
      </c>
      <c r="C800" s="137">
        <v>18</v>
      </c>
      <c r="D800" s="9">
        <v>70.2</v>
      </c>
      <c r="E800" s="8">
        <v>22.425277999999999</v>
      </c>
      <c r="F800" s="8">
        <v>16.983556</v>
      </c>
      <c r="G800" s="18">
        <v>20.888888999999999</v>
      </c>
      <c r="H800" s="240">
        <v>0</v>
      </c>
      <c r="I800" s="240">
        <v>0</v>
      </c>
      <c r="J800" s="240">
        <v>0</v>
      </c>
      <c r="K800" s="240">
        <v>0</v>
      </c>
      <c r="L800" s="240">
        <v>0</v>
      </c>
      <c r="M800" s="240">
        <v>0</v>
      </c>
      <c r="N800" s="240">
        <v>0</v>
      </c>
    </row>
    <row r="801" spans="1:14" x14ac:dyDescent="0.3">
      <c r="A801" s="135" t="s">
        <v>459</v>
      </c>
      <c r="B801" s="137" t="s">
        <v>413</v>
      </c>
      <c r="C801" s="137">
        <v>19</v>
      </c>
      <c r="D801" s="9">
        <v>70.2</v>
      </c>
      <c r="E801" s="8">
        <v>22.434999999999999</v>
      </c>
      <c r="F801" s="8">
        <v>17.793263</v>
      </c>
      <c r="G801" s="18">
        <v>21.5</v>
      </c>
      <c r="H801" s="240">
        <v>0</v>
      </c>
      <c r="I801" s="240">
        <v>0</v>
      </c>
      <c r="J801" s="240">
        <v>0</v>
      </c>
      <c r="K801" s="240">
        <v>0</v>
      </c>
      <c r="L801" s="240">
        <v>0</v>
      </c>
      <c r="M801" s="240">
        <v>0</v>
      </c>
      <c r="N801" s="240">
        <v>0</v>
      </c>
    </row>
    <row r="802" spans="1:14" x14ac:dyDescent="0.3">
      <c r="A802" s="135" t="s">
        <v>459</v>
      </c>
      <c r="B802" s="137" t="s">
        <v>413</v>
      </c>
      <c r="C802" s="137">
        <v>20</v>
      </c>
      <c r="D802" s="9">
        <v>70.2</v>
      </c>
      <c r="E802" s="8">
        <v>22.443750000000001</v>
      </c>
      <c r="F802" s="8">
        <v>18.521999999999998</v>
      </c>
      <c r="G802" s="18">
        <v>22.087499999999999</v>
      </c>
      <c r="H802" s="240">
        <v>0</v>
      </c>
      <c r="I802" s="240">
        <v>0</v>
      </c>
      <c r="J802" s="240">
        <v>0</v>
      </c>
      <c r="K802" s="240">
        <v>0</v>
      </c>
      <c r="L802" s="240">
        <v>0</v>
      </c>
      <c r="M802" s="240">
        <v>0</v>
      </c>
      <c r="N802" s="240">
        <v>0</v>
      </c>
    </row>
    <row r="803" spans="1:14" x14ac:dyDescent="0.3">
      <c r="A803" s="135" t="s">
        <v>459</v>
      </c>
      <c r="B803" s="137" t="s">
        <v>413</v>
      </c>
      <c r="C803" s="137">
        <v>21</v>
      </c>
      <c r="D803" s="9">
        <v>70.2</v>
      </c>
      <c r="E803" s="8">
        <v>22.451667</v>
      </c>
      <c r="F803" s="8">
        <v>19.181332999999999</v>
      </c>
      <c r="G803" s="18">
        <v>22.666667</v>
      </c>
      <c r="H803" s="240">
        <v>0</v>
      </c>
      <c r="I803" s="240">
        <v>0</v>
      </c>
      <c r="J803" s="240">
        <v>0</v>
      </c>
      <c r="K803" s="240">
        <v>0</v>
      </c>
      <c r="L803" s="240">
        <v>0</v>
      </c>
      <c r="M803" s="240">
        <v>0</v>
      </c>
      <c r="N803" s="240">
        <v>0</v>
      </c>
    </row>
    <row r="804" spans="1:14" x14ac:dyDescent="0.3">
      <c r="A804" s="135" t="s">
        <v>459</v>
      </c>
      <c r="B804" s="137" t="s">
        <v>413</v>
      </c>
      <c r="C804" s="137">
        <v>22</v>
      </c>
      <c r="D804" s="9">
        <v>70.2</v>
      </c>
      <c r="E804" s="8">
        <v>22.458863999999998</v>
      </c>
      <c r="F804" s="8">
        <v>19.780726999999999</v>
      </c>
      <c r="G804" s="18">
        <v>23.238636</v>
      </c>
      <c r="H804" s="240">
        <v>0</v>
      </c>
      <c r="I804" s="240">
        <v>0</v>
      </c>
      <c r="J804" s="240">
        <v>0</v>
      </c>
      <c r="K804" s="240">
        <v>0</v>
      </c>
      <c r="L804" s="240">
        <v>0</v>
      </c>
      <c r="M804" s="240">
        <v>0</v>
      </c>
      <c r="N804" s="240">
        <v>0</v>
      </c>
    </row>
    <row r="805" spans="1:14" x14ac:dyDescent="0.3">
      <c r="A805" s="135" t="s">
        <v>459</v>
      </c>
      <c r="B805" s="137" t="s">
        <v>413</v>
      </c>
      <c r="C805" s="137">
        <v>23</v>
      </c>
      <c r="D805" s="9">
        <v>70.2</v>
      </c>
      <c r="E805" s="8">
        <v>22.465434999999999</v>
      </c>
      <c r="F805" s="8">
        <v>20.327999999999999</v>
      </c>
      <c r="G805" s="18">
        <v>23.782609000000001</v>
      </c>
      <c r="H805" s="240">
        <v>0</v>
      </c>
      <c r="I805" s="240">
        <v>0</v>
      </c>
      <c r="J805" s="240">
        <v>0</v>
      </c>
      <c r="K805" s="240">
        <v>0</v>
      </c>
      <c r="L805" s="240">
        <v>0</v>
      </c>
      <c r="M805" s="240">
        <v>0</v>
      </c>
      <c r="N805" s="240">
        <v>0</v>
      </c>
    </row>
    <row r="806" spans="1:14" x14ac:dyDescent="0.3">
      <c r="A806" s="135" t="s">
        <v>459</v>
      </c>
      <c r="B806" s="137" t="s">
        <v>413</v>
      </c>
      <c r="C806" s="137">
        <v>24</v>
      </c>
      <c r="D806" s="9">
        <v>70.2</v>
      </c>
      <c r="E806" s="8">
        <v>22.471457999999998</v>
      </c>
      <c r="F806" s="8">
        <v>20.829667000000001</v>
      </c>
      <c r="G806" s="18">
        <v>24.322917</v>
      </c>
      <c r="H806" s="240">
        <v>0</v>
      </c>
      <c r="I806" s="240">
        <v>0</v>
      </c>
      <c r="J806" s="240">
        <v>0</v>
      </c>
      <c r="K806" s="240">
        <v>0</v>
      </c>
      <c r="L806" s="240">
        <v>0</v>
      </c>
      <c r="M806" s="240">
        <v>0</v>
      </c>
      <c r="N806" s="240">
        <v>0</v>
      </c>
    </row>
    <row r="807" spans="1:14" x14ac:dyDescent="0.3">
      <c r="A807" s="135" t="s">
        <v>459</v>
      </c>
      <c r="B807" s="137" t="s">
        <v>413</v>
      </c>
      <c r="C807" s="137">
        <v>25</v>
      </c>
      <c r="D807" s="9">
        <v>70.2</v>
      </c>
      <c r="E807" s="8">
        <v>22.477</v>
      </c>
      <c r="F807" s="8">
        <v>21.7</v>
      </c>
      <c r="G807" s="18">
        <v>24.92</v>
      </c>
      <c r="H807" s="240">
        <v>0</v>
      </c>
      <c r="I807" s="240">
        <v>0</v>
      </c>
      <c r="J807" s="240">
        <v>0</v>
      </c>
      <c r="K807" s="240">
        <v>0</v>
      </c>
      <c r="L807" s="240">
        <v>0</v>
      </c>
      <c r="M807" s="240">
        <v>0</v>
      </c>
      <c r="N807" s="240">
        <v>0</v>
      </c>
    </row>
    <row r="808" spans="1:14" x14ac:dyDescent="0.3">
      <c r="A808" s="135" t="s">
        <v>459</v>
      </c>
      <c r="B808" s="137" t="s">
        <v>413</v>
      </c>
      <c r="C808" s="137">
        <v>26</v>
      </c>
      <c r="D808" s="9">
        <v>70.2</v>
      </c>
      <c r="E808" s="8">
        <v>22.482115</v>
      </c>
      <c r="F808" s="8">
        <v>22.503385000000002</v>
      </c>
      <c r="G808" s="18">
        <v>25.490385</v>
      </c>
      <c r="H808" s="240">
        <v>0</v>
      </c>
      <c r="I808" s="240">
        <v>0</v>
      </c>
      <c r="J808" s="240">
        <v>0</v>
      </c>
      <c r="K808" s="240">
        <v>0</v>
      </c>
      <c r="L808" s="240">
        <v>0</v>
      </c>
      <c r="M808" s="240">
        <v>0</v>
      </c>
      <c r="N808" s="240">
        <v>0</v>
      </c>
    </row>
    <row r="809" spans="1:14" x14ac:dyDescent="0.3">
      <c r="A809" s="135" t="s">
        <v>459</v>
      </c>
      <c r="B809" s="137" t="s">
        <v>413</v>
      </c>
      <c r="C809" s="137">
        <v>27</v>
      </c>
      <c r="D809" s="9">
        <v>70.2</v>
      </c>
      <c r="E809" s="8">
        <v>22.486851999999999</v>
      </c>
      <c r="F809" s="8">
        <v>23.247259</v>
      </c>
      <c r="G809" s="18">
        <v>26.055555999999999</v>
      </c>
      <c r="H809" s="240">
        <v>0</v>
      </c>
      <c r="I809" s="240">
        <v>0</v>
      </c>
      <c r="J809" s="240">
        <v>0</v>
      </c>
      <c r="K809" s="240">
        <v>0</v>
      </c>
      <c r="L809" s="240">
        <v>0</v>
      </c>
      <c r="M809" s="240">
        <v>0</v>
      </c>
      <c r="N809" s="240">
        <v>0</v>
      </c>
    </row>
    <row r="810" spans="1:14" x14ac:dyDescent="0.3">
      <c r="A810" s="135" t="s">
        <v>459</v>
      </c>
      <c r="B810" s="137" t="s">
        <v>413</v>
      </c>
      <c r="C810" s="137">
        <v>28</v>
      </c>
      <c r="D810" s="9">
        <v>70.2</v>
      </c>
      <c r="E810" s="8">
        <v>22.491250000000001</v>
      </c>
      <c r="F810" s="8">
        <v>23.937999999999999</v>
      </c>
      <c r="G810" s="18">
        <v>26.607143000000001</v>
      </c>
      <c r="H810" s="240">
        <v>0</v>
      </c>
      <c r="I810" s="240">
        <v>0</v>
      </c>
      <c r="J810" s="240">
        <v>0</v>
      </c>
      <c r="K810" s="240">
        <v>0</v>
      </c>
      <c r="L810" s="240">
        <v>0</v>
      </c>
      <c r="M810" s="240">
        <v>0</v>
      </c>
      <c r="N810" s="240">
        <v>0</v>
      </c>
    </row>
    <row r="811" spans="1:14" x14ac:dyDescent="0.3">
      <c r="A811" s="135" t="s">
        <v>459</v>
      </c>
      <c r="B811" s="137" t="s">
        <v>413</v>
      </c>
      <c r="C811" s="137">
        <v>29</v>
      </c>
      <c r="D811" s="9">
        <v>70.2</v>
      </c>
      <c r="E811" s="8">
        <v>22.495345</v>
      </c>
      <c r="F811" s="8">
        <v>24.581102999999999</v>
      </c>
      <c r="G811" s="18">
        <v>27.155172</v>
      </c>
      <c r="H811" s="240">
        <v>0</v>
      </c>
      <c r="I811" s="240">
        <v>0</v>
      </c>
      <c r="J811" s="240">
        <v>0</v>
      </c>
      <c r="K811" s="240">
        <v>0</v>
      </c>
      <c r="L811" s="240">
        <v>0</v>
      </c>
      <c r="M811" s="240">
        <v>0</v>
      </c>
      <c r="N811" s="240">
        <v>0</v>
      </c>
    </row>
    <row r="812" spans="1:14" x14ac:dyDescent="0.3">
      <c r="A812" s="138" t="s">
        <v>459</v>
      </c>
      <c r="B812" s="137" t="s">
        <v>413</v>
      </c>
      <c r="C812" s="137">
        <v>30</v>
      </c>
      <c r="D812" s="9">
        <v>70.2</v>
      </c>
      <c r="E812" s="8">
        <v>22.499167</v>
      </c>
      <c r="F812" s="8">
        <v>25.181332999999999</v>
      </c>
      <c r="G812" s="18">
        <v>27.683333000000001</v>
      </c>
      <c r="H812" s="240">
        <v>0</v>
      </c>
      <c r="I812" s="240">
        <v>0</v>
      </c>
      <c r="J812" s="240">
        <v>0</v>
      </c>
      <c r="K812" s="240">
        <v>0</v>
      </c>
      <c r="L812" s="240">
        <v>0</v>
      </c>
      <c r="M812" s="240">
        <v>0</v>
      </c>
      <c r="N812" s="240">
        <v>0</v>
      </c>
    </row>
    <row r="813" spans="1:14" x14ac:dyDescent="0.3">
      <c r="A813" s="142" t="s">
        <v>459</v>
      </c>
      <c r="B813" s="143" t="s">
        <v>414</v>
      </c>
      <c r="C813" s="143">
        <v>1</v>
      </c>
      <c r="D813" s="9">
        <v>28.664999999999999</v>
      </c>
      <c r="E813" s="8">
        <v>2.9257200000000001</v>
      </c>
      <c r="F813" s="8">
        <v>0.41176800000000002</v>
      </c>
      <c r="G813" s="18">
        <v>9.5</v>
      </c>
      <c r="H813" s="240">
        <v>0</v>
      </c>
      <c r="I813" s="240">
        <v>0</v>
      </c>
      <c r="J813" s="240">
        <v>0</v>
      </c>
      <c r="K813" s="240">
        <v>0</v>
      </c>
      <c r="L813" s="240">
        <v>0</v>
      </c>
      <c r="M813" s="240">
        <v>0</v>
      </c>
      <c r="N813" s="240">
        <v>0</v>
      </c>
    </row>
    <row r="814" spans="1:14" x14ac:dyDescent="0.3">
      <c r="A814" s="135" t="s">
        <v>459</v>
      </c>
      <c r="B814" s="136" t="s">
        <v>414</v>
      </c>
      <c r="C814" s="137">
        <v>2</v>
      </c>
      <c r="D814" s="9">
        <v>29.767499999999998</v>
      </c>
      <c r="E814" s="8">
        <v>2.9257200000000001</v>
      </c>
      <c r="F814" s="8">
        <v>0.61358900000000005</v>
      </c>
      <c r="G814" s="18">
        <v>8.125</v>
      </c>
      <c r="H814" s="240">
        <v>0</v>
      </c>
      <c r="I814" s="240">
        <v>0</v>
      </c>
      <c r="J814" s="240">
        <v>0</v>
      </c>
      <c r="K814" s="240">
        <v>0</v>
      </c>
      <c r="L814" s="240">
        <v>0</v>
      </c>
      <c r="M814" s="240">
        <v>0</v>
      </c>
      <c r="N814" s="240">
        <v>0</v>
      </c>
    </row>
    <row r="815" spans="1:14" x14ac:dyDescent="0.3">
      <c r="A815" s="135" t="s">
        <v>459</v>
      </c>
      <c r="B815" s="137" t="s">
        <v>414</v>
      </c>
      <c r="C815" s="137">
        <v>3</v>
      </c>
      <c r="D815" s="9">
        <v>30.135000000000002</v>
      </c>
      <c r="E815" s="8">
        <v>2.9257200000000001</v>
      </c>
      <c r="F815" s="8">
        <v>0.842499</v>
      </c>
      <c r="G815" s="18">
        <v>8</v>
      </c>
      <c r="H815" s="240">
        <v>0</v>
      </c>
      <c r="I815" s="240">
        <v>0</v>
      </c>
      <c r="J815" s="240">
        <v>0</v>
      </c>
      <c r="K815" s="240">
        <v>0</v>
      </c>
      <c r="L815" s="240">
        <v>0</v>
      </c>
      <c r="M815" s="240">
        <v>0</v>
      </c>
      <c r="N815" s="240">
        <v>0</v>
      </c>
    </row>
    <row r="816" spans="1:14" x14ac:dyDescent="0.3">
      <c r="A816" s="135" t="s">
        <v>459</v>
      </c>
      <c r="B816" s="137" t="s">
        <v>414</v>
      </c>
      <c r="C816" s="137">
        <v>4</v>
      </c>
      <c r="D816" s="9">
        <v>30.318750000000001</v>
      </c>
      <c r="E816" s="8">
        <v>2.9257200000000001</v>
      </c>
      <c r="F816" s="8">
        <v>0.95695399999999997</v>
      </c>
      <c r="G816" s="18">
        <v>8.1875</v>
      </c>
      <c r="H816" s="240">
        <v>0</v>
      </c>
      <c r="I816" s="240">
        <v>0</v>
      </c>
      <c r="J816" s="240">
        <v>0</v>
      </c>
      <c r="K816" s="240">
        <v>0</v>
      </c>
      <c r="L816" s="240">
        <v>0</v>
      </c>
      <c r="M816" s="240">
        <v>0</v>
      </c>
      <c r="N816" s="240">
        <v>0</v>
      </c>
    </row>
    <row r="817" spans="1:14" x14ac:dyDescent="0.3">
      <c r="A817" s="135" t="s">
        <v>459</v>
      </c>
      <c r="B817" s="137" t="s">
        <v>414</v>
      </c>
      <c r="C817" s="137">
        <v>5</v>
      </c>
      <c r="D817" s="9">
        <v>30.428999999999998</v>
      </c>
      <c r="E817" s="8">
        <v>2.9257200000000001</v>
      </c>
      <c r="F817" s="8">
        <v>1.129653</v>
      </c>
      <c r="G817" s="18">
        <v>8.5</v>
      </c>
      <c r="H817" s="240">
        <v>0</v>
      </c>
      <c r="I817" s="240">
        <v>0</v>
      </c>
      <c r="J817" s="240">
        <v>0</v>
      </c>
      <c r="K817" s="240">
        <v>0</v>
      </c>
      <c r="L817" s="240">
        <v>0</v>
      </c>
      <c r="M817" s="240">
        <v>0</v>
      </c>
      <c r="N817" s="240">
        <v>0</v>
      </c>
    </row>
    <row r="818" spans="1:14" x14ac:dyDescent="0.3">
      <c r="A818" s="135" t="s">
        <v>459</v>
      </c>
      <c r="B818" s="137" t="s">
        <v>414</v>
      </c>
      <c r="C818" s="137">
        <v>6</v>
      </c>
      <c r="D818" s="9">
        <v>30.502500000000001</v>
      </c>
      <c r="E818" s="8">
        <v>2.9257200000000001</v>
      </c>
      <c r="F818" s="8">
        <v>1.2624439999999999</v>
      </c>
      <c r="G818" s="18">
        <v>8.8333329999999997</v>
      </c>
      <c r="H818" s="240">
        <v>0</v>
      </c>
      <c r="I818" s="240">
        <v>0</v>
      </c>
      <c r="J818" s="240">
        <v>0</v>
      </c>
      <c r="K818" s="240">
        <v>0</v>
      </c>
      <c r="L818" s="240">
        <v>0</v>
      </c>
      <c r="M818" s="240">
        <v>0</v>
      </c>
      <c r="N818" s="240">
        <v>0</v>
      </c>
    </row>
    <row r="819" spans="1:14" x14ac:dyDescent="0.3">
      <c r="A819" s="135" t="s">
        <v>459</v>
      </c>
      <c r="B819" s="137" t="s">
        <v>414</v>
      </c>
      <c r="C819" s="137">
        <v>7</v>
      </c>
      <c r="D819" s="9">
        <v>30.555</v>
      </c>
      <c r="E819" s="8">
        <v>2.9257200000000001</v>
      </c>
      <c r="F819" s="8">
        <v>1.3572949999999999</v>
      </c>
      <c r="G819" s="18">
        <v>9.1785709999999998</v>
      </c>
      <c r="H819" s="240">
        <v>0</v>
      </c>
      <c r="I819" s="240">
        <v>0</v>
      </c>
      <c r="J819" s="240">
        <v>0</v>
      </c>
      <c r="K819" s="240">
        <v>0</v>
      </c>
      <c r="L819" s="240">
        <v>0</v>
      </c>
      <c r="M819" s="240">
        <v>0</v>
      </c>
      <c r="N819" s="240">
        <v>0</v>
      </c>
    </row>
    <row r="820" spans="1:14" x14ac:dyDescent="0.3">
      <c r="A820" s="135" t="s">
        <v>459</v>
      </c>
      <c r="B820" s="137" t="s">
        <v>414</v>
      </c>
      <c r="C820" s="137">
        <v>8</v>
      </c>
      <c r="D820" s="9">
        <v>30.594374999999999</v>
      </c>
      <c r="E820" s="8">
        <v>2.9257200000000001</v>
      </c>
      <c r="F820" s="8">
        <v>1.545221</v>
      </c>
      <c r="G820" s="18">
        <v>9.53125</v>
      </c>
      <c r="H820" s="240">
        <v>0</v>
      </c>
      <c r="I820" s="240">
        <v>0</v>
      </c>
      <c r="J820" s="240">
        <v>0</v>
      </c>
      <c r="K820" s="240">
        <v>0</v>
      </c>
      <c r="L820" s="240">
        <v>0</v>
      </c>
      <c r="M820" s="240">
        <v>0</v>
      </c>
      <c r="N820" s="240">
        <v>0</v>
      </c>
    </row>
    <row r="821" spans="1:14" x14ac:dyDescent="0.3">
      <c r="A821" s="135" t="s">
        <v>459</v>
      </c>
      <c r="B821" s="137" t="s">
        <v>414</v>
      </c>
      <c r="C821" s="137">
        <v>9</v>
      </c>
      <c r="D821" s="9">
        <v>30.625</v>
      </c>
      <c r="E821" s="8">
        <v>2.9257200000000001</v>
      </c>
      <c r="F821" s="8">
        <v>1.6913860000000001</v>
      </c>
      <c r="G821" s="18">
        <v>9.8888890000000007</v>
      </c>
      <c r="H821" s="240">
        <v>0</v>
      </c>
      <c r="I821" s="240">
        <v>0</v>
      </c>
      <c r="J821" s="240">
        <v>0</v>
      </c>
      <c r="K821" s="240">
        <v>0</v>
      </c>
      <c r="L821" s="240">
        <v>0</v>
      </c>
      <c r="M821" s="240">
        <v>0</v>
      </c>
      <c r="N821" s="240">
        <v>0</v>
      </c>
    </row>
    <row r="822" spans="1:14" x14ac:dyDescent="0.3">
      <c r="A822" s="135" t="s">
        <v>459</v>
      </c>
      <c r="B822" s="137" t="s">
        <v>414</v>
      </c>
      <c r="C822" s="137">
        <v>10</v>
      </c>
      <c r="D822" s="9">
        <v>30.6495</v>
      </c>
      <c r="E822" s="8">
        <v>2.9257200000000001</v>
      </c>
      <c r="F822" s="8">
        <v>1.8232470000000001</v>
      </c>
      <c r="G822" s="18">
        <v>10.225</v>
      </c>
      <c r="H822" s="240">
        <v>0</v>
      </c>
      <c r="I822" s="240">
        <v>0</v>
      </c>
      <c r="J822" s="240">
        <v>0</v>
      </c>
      <c r="K822" s="240">
        <v>0</v>
      </c>
      <c r="L822" s="240">
        <v>0</v>
      </c>
      <c r="M822" s="240">
        <v>0</v>
      </c>
      <c r="N822" s="240">
        <v>0</v>
      </c>
    </row>
    <row r="823" spans="1:14" x14ac:dyDescent="0.3">
      <c r="A823" s="135" t="s">
        <v>459</v>
      </c>
      <c r="B823" s="137" t="s">
        <v>414</v>
      </c>
      <c r="C823" s="137">
        <v>11</v>
      </c>
      <c r="D823" s="9">
        <v>30.669544999999999</v>
      </c>
      <c r="E823" s="8">
        <v>2.9257200000000001</v>
      </c>
      <c r="F823" s="8">
        <v>1.9311339999999999</v>
      </c>
      <c r="G823" s="18">
        <v>10.568182</v>
      </c>
      <c r="H823" s="240">
        <v>0</v>
      </c>
      <c r="I823" s="240">
        <v>0</v>
      </c>
      <c r="J823" s="240">
        <v>0</v>
      </c>
      <c r="K823" s="240">
        <v>0</v>
      </c>
      <c r="L823" s="240">
        <v>0</v>
      </c>
      <c r="M823" s="240">
        <v>0</v>
      </c>
      <c r="N823" s="240">
        <v>0</v>
      </c>
    </row>
    <row r="824" spans="1:14" x14ac:dyDescent="0.3">
      <c r="A824" s="135" t="s">
        <v>459</v>
      </c>
      <c r="B824" s="137" t="s">
        <v>414</v>
      </c>
      <c r="C824" s="137">
        <v>12</v>
      </c>
      <c r="D824" s="9">
        <v>30.686250000000001</v>
      </c>
      <c r="E824" s="8">
        <v>2.9257200000000001</v>
      </c>
      <c r="F824" s="8">
        <v>2.0952860000000002</v>
      </c>
      <c r="G824" s="18">
        <v>10.895833</v>
      </c>
      <c r="H824" s="240">
        <v>0</v>
      </c>
      <c r="I824" s="240">
        <v>0</v>
      </c>
      <c r="J824" s="240">
        <v>0</v>
      </c>
      <c r="K824" s="240">
        <v>0</v>
      </c>
      <c r="L824" s="240">
        <v>0</v>
      </c>
      <c r="M824" s="240">
        <v>0</v>
      </c>
      <c r="N824" s="240">
        <v>0</v>
      </c>
    </row>
    <row r="825" spans="1:14" x14ac:dyDescent="0.3">
      <c r="A825" s="135" t="s">
        <v>459</v>
      </c>
      <c r="B825" s="137" t="s">
        <v>414</v>
      </c>
      <c r="C825" s="137">
        <v>13</v>
      </c>
      <c r="D825" s="9">
        <v>30.700385000000001</v>
      </c>
      <c r="E825" s="8">
        <v>2.9257200000000001</v>
      </c>
      <c r="F825" s="8">
        <v>2.2341839999999999</v>
      </c>
      <c r="G825" s="18">
        <v>11.230769</v>
      </c>
      <c r="H825" s="240">
        <v>0</v>
      </c>
      <c r="I825" s="240">
        <v>0</v>
      </c>
      <c r="J825" s="240">
        <v>0</v>
      </c>
      <c r="K825" s="240">
        <v>0</v>
      </c>
      <c r="L825" s="240">
        <v>0</v>
      </c>
      <c r="M825" s="240">
        <v>0</v>
      </c>
      <c r="N825" s="240">
        <v>0</v>
      </c>
    </row>
    <row r="826" spans="1:14" x14ac:dyDescent="0.3">
      <c r="A826" s="135" t="s">
        <v>459</v>
      </c>
      <c r="B826" s="137" t="s">
        <v>414</v>
      </c>
      <c r="C826" s="137">
        <v>14</v>
      </c>
      <c r="D826" s="9">
        <v>30.712499999999999</v>
      </c>
      <c r="E826" s="8">
        <v>2.9257200000000001</v>
      </c>
      <c r="F826" s="8">
        <v>2.3841999999999999</v>
      </c>
      <c r="G826" s="18">
        <v>11.535714</v>
      </c>
      <c r="H826" s="240">
        <v>0</v>
      </c>
      <c r="I826" s="240">
        <v>0</v>
      </c>
      <c r="J826" s="240">
        <v>0</v>
      </c>
      <c r="K826" s="240">
        <v>0</v>
      </c>
      <c r="L826" s="240">
        <v>0</v>
      </c>
      <c r="M826" s="240">
        <v>0</v>
      </c>
      <c r="N826" s="240">
        <v>0</v>
      </c>
    </row>
    <row r="827" spans="1:14" x14ac:dyDescent="0.3">
      <c r="A827" s="135" t="s">
        <v>459</v>
      </c>
      <c r="B827" s="137" t="s">
        <v>414</v>
      </c>
      <c r="C827" s="137">
        <v>15</v>
      </c>
      <c r="D827" s="9">
        <v>30.722999999999999</v>
      </c>
      <c r="E827" s="8">
        <v>2.9257200000000001</v>
      </c>
      <c r="F827" s="8">
        <v>2.5142129999999998</v>
      </c>
      <c r="G827" s="18">
        <v>11.866667</v>
      </c>
      <c r="H827" s="240">
        <v>0</v>
      </c>
      <c r="I827" s="240">
        <v>0</v>
      </c>
      <c r="J827" s="240">
        <v>0</v>
      </c>
      <c r="K827" s="240">
        <v>0</v>
      </c>
      <c r="L827" s="240">
        <v>0</v>
      </c>
      <c r="M827" s="240">
        <v>0</v>
      </c>
      <c r="N827" s="240">
        <v>0</v>
      </c>
    </row>
    <row r="828" spans="1:14" x14ac:dyDescent="0.3">
      <c r="A828" s="135" t="s">
        <v>459</v>
      </c>
      <c r="B828" s="137" t="s">
        <v>414</v>
      </c>
      <c r="C828" s="137">
        <v>16</v>
      </c>
      <c r="D828" s="9">
        <v>30.732187</v>
      </c>
      <c r="E828" s="8">
        <v>2.9257200000000001</v>
      </c>
      <c r="F828" s="8">
        <v>2.6279750000000002</v>
      </c>
      <c r="G828" s="18">
        <v>12.171875</v>
      </c>
      <c r="H828" s="240">
        <v>0</v>
      </c>
      <c r="I828" s="240">
        <v>0</v>
      </c>
      <c r="J828" s="240">
        <v>0</v>
      </c>
      <c r="K828" s="240">
        <v>0</v>
      </c>
      <c r="L828" s="240">
        <v>0</v>
      </c>
      <c r="M828" s="240">
        <v>0</v>
      </c>
      <c r="N828" s="240">
        <v>0</v>
      </c>
    </row>
    <row r="829" spans="1:14" x14ac:dyDescent="0.3">
      <c r="A829" s="135" t="s">
        <v>459</v>
      </c>
      <c r="B829" s="137" t="s">
        <v>414</v>
      </c>
      <c r="C829" s="137">
        <v>17</v>
      </c>
      <c r="D829" s="9">
        <v>30.740293999999999</v>
      </c>
      <c r="E829" s="8">
        <v>2.9257200000000001</v>
      </c>
      <c r="F829" s="8">
        <v>2.7283529999999998</v>
      </c>
      <c r="G829" s="18">
        <v>12.470587999999999</v>
      </c>
      <c r="H829" s="240">
        <v>0</v>
      </c>
      <c r="I829" s="240">
        <v>0</v>
      </c>
      <c r="J829" s="240">
        <v>0</v>
      </c>
      <c r="K829" s="240">
        <v>0</v>
      </c>
      <c r="L829" s="240">
        <v>0</v>
      </c>
      <c r="M829" s="240">
        <v>0</v>
      </c>
      <c r="N829" s="240">
        <v>0</v>
      </c>
    </row>
    <row r="830" spans="1:14" x14ac:dyDescent="0.3">
      <c r="A830" s="135" t="s">
        <v>459</v>
      </c>
      <c r="B830" s="137" t="s">
        <v>414</v>
      </c>
      <c r="C830" s="137">
        <v>18</v>
      </c>
      <c r="D830" s="9">
        <v>30.747499999999999</v>
      </c>
      <c r="E830" s="8">
        <v>2.9257200000000001</v>
      </c>
      <c r="F830" s="8">
        <v>2.8946329999999998</v>
      </c>
      <c r="G830" s="18">
        <v>12.763889000000001</v>
      </c>
      <c r="H830" s="240">
        <v>0</v>
      </c>
      <c r="I830" s="240">
        <v>0</v>
      </c>
      <c r="J830" s="240">
        <v>0</v>
      </c>
      <c r="K830" s="240">
        <v>0</v>
      </c>
      <c r="L830" s="240">
        <v>0</v>
      </c>
      <c r="M830" s="240">
        <v>0</v>
      </c>
      <c r="N830" s="240">
        <v>0</v>
      </c>
    </row>
    <row r="831" spans="1:14" x14ac:dyDescent="0.3">
      <c r="A831" s="135" t="s">
        <v>459</v>
      </c>
      <c r="B831" s="137" t="s">
        <v>414</v>
      </c>
      <c r="C831" s="137">
        <v>19</v>
      </c>
      <c r="D831" s="9">
        <v>30.753947</v>
      </c>
      <c r="E831" s="8">
        <v>2.9257200000000001</v>
      </c>
      <c r="F831" s="8">
        <v>3.0434109999999999</v>
      </c>
      <c r="G831" s="18">
        <v>13.065789000000001</v>
      </c>
      <c r="H831" s="240">
        <v>0</v>
      </c>
      <c r="I831" s="240">
        <v>0</v>
      </c>
      <c r="J831" s="240">
        <v>0</v>
      </c>
      <c r="K831" s="240">
        <v>0</v>
      </c>
      <c r="L831" s="240">
        <v>0</v>
      </c>
      <c r="M831" s="240">
        <v>0</v>
      </c>
      <c r="N831" s="240">
        <v>0</v>
      </c>
    </row>
    <row r="832" spans="1:14" x14ac:dyDescent="0.3">
      <c r="A832" s="135" t="s">
        <v>459</v>
      </c>
      <c r="B832" s="137" t="s">
        <v>414</v>
      </c>
      <c r="C832" s="137">
        <v>20</v>
      </c>
      <c r="D832" s="9">
        <v>30.993052656940602</v>
      </c>
      <c r="E832" s="8">
        <v>2.9257200000000001</v>
      </c>
      <c r="F832" s="8">
        <v>3.1135999999999999</v>
      </c>
      <c r="G832" s="18">
        <v>13.808299999999999</v>
      </c>
      <c r="H832" s="240">
        <v>0</v>
      </c>
      <c r="I832" s="240">
        <v>0</v>
      </c>
      <c r="J832" s="240">
        <v>0</v>
      </c>
      <c r="K832" s="240">
        <v>0</v>
      </c>
      <c r="L832" s="240">
        <v>0</v>
      </c>
      <c r="M832" s="240">
        <v>0</v>
      </c>
      <c r="N832" s="240">
        <v>0</v>
      </c>
    </row>
    <row r="833" spans="1:14" x14ac:dyDescent="0.3">
      <c r="A833" s="135" t="s">
        <v>459</v>
      </c>
      <c r="B833" s="137" t="s">
        <v>414</v>
      </c>
      <c r="C833" s="137">
        <v>21</v>
      </c>
      <c r="D833" s="9">
        <v>31.021645588978252</v>
      </c>
      <c r="E833" s="8">
        <v>2.9257200000000001</v>
      </c>
      <c r="F833" s="8">
        <v>3.2307999999999999</v>
      </c>
      <c r="G833" s="18">
        <v>14.284099999999999</v>
      </c>
      <c r="H833" s="240">
        <v>0</v>
      </c>
      <c r="I833" s="240">
        <v>0</v>
      </c>
      <c r="J833" s="240">
        <v>0</v>
      </c>
      <c r="K833" s="240">
        <v>0</v>
      </c>
      <c r="L833" s="240">
        <v>0</v>
      </c>
      <c r="M833" s="240">
        <v>0</v>
      </c>
      <c r="N833" s="240">
        <v>0</v>
      </c>
    </row>
    <row r="834" spans="1:14" x14ac:dyDescent="0.3">
      <c r="A834" s="135" t="s">
        <v>459</v>
      </c>
      <c r="B834" s="137" t="s">
        <v>414</v>
      </c>
      <c r="C834" s="137">
        <v>22</v>
      </c>
      <c r="D834" s="9">
        <v>31.048932691591556</v>
      </c>
      <c r="E834" s="8">
        <v>2.9257200000000001</v>
      </c>
      <c r="F834" s="8">
        <v>3.3457999999999997</v>
      </c>
      <c r="G834" s="18">
        <v>14.7783</v>
      </c>
      <c r="H834" s="240">
        <v>0</v>
      </c>
      <c r="I834" s="240">
        <v>0</v>
      </c>
      <c r="J834" s="240">
        <v>0</v>
      </c>
      <c r="K834" s="240">
        <v>0</v>
      </c>
      <c r="L834" s="240">
        <v>0</v>
      </c>
      <c r="M834" s="240">
        <v>0</v>
      </c>
      <c r="N834" s="240">
        <v>0</v>
      </c>
    </row>
    <row r="835" spans="1:14" x14ac:dyDescent="0.3">
      <c r="A835" s="135" t="s">
        <v>459</v>
      </c>
      <c r="B835" s="137" t="s">
        <v>414</v>
      </c>
      <c r="C835" s="137">
        <v>23</v>
      </c>
      <c r="D835" s="9">
        <v>31.075029050251153</v>
      </c>
      <c r="E835" s="8">
        <v>2.9257200000000001</v>
      </c>
      <c r="F835" s="8">
        <v>3.4585999999999997</v>
      </c>
      <c r="G835" s="18">
        <v>15.290899999999999</v>
      </c>
      <c r="H835" s="240">
        <v>0</v>
      </c>
      <c r="I835" s="240">
        <v>0</v>
      </c>
      <c r="J835" s="240">
        <v>0</v>
      </c>
      <c r="K835" s="240">
        <v>0</v>
      </c>
      <c r="L835" s="240">
        <v>0</v>
      </c>
      <c r="M835" s="240">
        <v>0</v>
      </c>
      <c r="N835" s="240">
        <v>0</v>
      </c>
    </row>
    <row r="836" spans="1:14" x14ac:dyDescent="0.3">
      <c r="A836" s="135" t="s">
        <v>459</v>
      </c>
      <c r="B836" s="137" t="s">
        <v>414</v>
      </c>
      <c r="C836" s="137">
        <v>24</v>
      </c>
      <c r="D836" s="9">
        <v>31.100035135768042</v>
      </c>
      <c r="E836" s="8">
        <v>2.9257200000000001</v>
      </c>
      <c r="F836" s="8">
        <v>3.5691999999999999</v>
      </c>
      <c r="G836" s="18">
        <v>15.821899999999999</v>
      </c>
      <c r="H836" s="240">
        <v>0</v>
      </c>
      <c r="I836" s="240">
        <v>0</v>
      </c>
      <c r="J836" s="240">
        <v>0</v>
      </c>
      <c r="K836" s="240">
        <v>0</v>
      </c>
      <c r="L836" s="240">
        <v>0</v>
      </c>
      <c r="M836" s="240">
        <v>0</v>
      </c>
      <c r="N836" s="240">
        <v>0</v>
      </c>
    </row>
    <row r="837" spans="1:14" x14ac:dyDescent="0.3">
      <c r="A837" s="135" t="s">
        <v>459</v>
      </c>
      <c r="B837" s="137" t="s">
        <v>414</v>
      </c>
      <c r="C837" s="137">
        <v>25</v>
      </c>
      <c r="D837" s="9">
        <v>31.124039181834071</v>
      </c>
      <c r="E837" s="8">
        <v>2.9257200000000001</v>
      </c>
      <c r="F837" s="8">
        <v>3.6776</v>
      </c>
      <c r="G837" s="18">
        <v>16.371299999999998</v>
      </c>
      <c r="H837" s="240">
        <v>0</v>
      </c>
      <c r="I837" s="240">
        <v>0</v>
      </c>
      <c r="J837" s="240">
        <v>0</v>
      </c>
      <c r="K837" s="240">
        <v>0</v>
      </c>
      <c r="L837" s="240">
        <v>0</v>
      </c>
      <c r="M837" s="240">
        <v>0</v>
      </c>
      <c r="N837" s="240">
        <v>0</v>
      </c>
    </row>
    <row r="838" spans="1:14" x14ac:dyDescent="0.3">
      <c r="A838" s="135" t="s">
        <v>459</v>
      </c>
      <c r="B838" s="137" t="s">
        <v>414</v>
      </c>
      <c r="C838" s="137">
        <v>26</v>
      </c>
      <c r="D838" s="9">
        <v>31.147119097563095</v>
      </c>
      <c r="E838" s="8">
        <v>2.9257200000000001</v>
      </c>
      <c r="F838" s="8">
        <v>3.7838000000000003</v>
      </c>
      <c r="G838" s="18">
        <v>16.9391</v>
      </c>
      <c r="H838" s="240">
        <v>0</v>
      </c>
      <c r="I838" s="240">
        <v>0</v>
      </c>
      <c r="J838" s="240">
        <v>0</v>
      </c>
      <c r="K838" s="240">
        <v>0</v>
      </c>
      <c r="L838" s="240">
        <v>0</v>
      </c>
      <c r="M838" s="240">
        <v>0</v>
      </c>
      <c r="N838" s="240">
        <v>0</v>
      </c>
    </row>
    <row r="839" spans="1:14" x14ac:dyDescent="0.3">
      <c r="A839" s="135" t="s">
        <v>459</v>
      </c>
      <c r="B839" s="137" t="s">
        <v>414</v>
      </c>
      <c r="C839" s="137">
        <v>27</v>
      </c>
      <c r="D839" s="9">
        <v>31.169344020122473</v>
      </c>
      <c r="E839" s="8">
        <v>2.9257200000000001</v>
      </c>
      <c r="F839" s="8">
        <v>3.8878000000000004</v>
      </c>
      <c r="G839" s="18">
        <v>17.525300000000001</v>
      </c>
      <c r="H839" s="240">
        <v>0</v>
      </c>
      <c r="I839" s="240">
        <v>0</v>
      </c>
      <c r="J839" s="240">
        <v>0</v>
      </c>
      <c r="K839" s="240">
        <v>0</v>
      </c>
      <c r="L839" s="240">
        <v>0</v>
      </c>
      <c r="M839" s="240">
        <v>0</v>
      </c>
      <c r="N839" s="240">
        <v>0</v>
      </c>
    </row>
    <row r="840" spans="1:14" x14ac:dyDescent="0.3">
      <c r="A840" s="135" t="s">
        <v>459</v>
      </c>
      <c r="B840" s="137" t="s">
        <v>414</v>
      </c>
      <c r="C840" s="137">
        <v>28</v>
      </c>
      <c r="D840" s="9">
        <v>31.190775585829368</v>
      </c>
      <c r="E840" s="8">
        <v>2.9257200000000001</v>
      </c>
      <c r="F840" s="8">
        <v>3.9895999999999994</v>
      </c>
      <c r="G840" s="18">
        <v>18.129899999999999</v>
      </c>
      <c r="H840" s="240">
        <v>0</v>
      </c>
      <c r="I840" s="240">
        <v>0</v>
      </c>
      <c r="J840" s="240">
        <v>0</v>
      </c>
      <c r="K840" s="240">
        <v>0</v>
      </c>
      <c r="L840" s="240">
        <v>0</v>
      </c>
      <c r="M840" s="240">
        <v>0</v>
      </c>
      <c r="N840" s="240">
        <v>0</v>
      </c>
    </row>
    <row r="841" spans="1:14" x14ac:dyDescent="0.3">
      <c r="A841" s="135" t="s">
        <v>459</v>
      </c>
      <c r="B841" s="137" t="s">
        <v>414</v>
      </c>
      <c r="C841" s="137">
        <v>29</v>
      </c>
      <c r="D841" s="9">
        <v>31.211468978863913</v>
      </c>
      <c r="E841" s="8">
        <v>2.9257200000000001</v>
      </c>
      <c r="F841" s="8">
        <v>4.0891999999999999</v>
      </c>
      <c r="G841" s="18">
        <v>18.752899999999997</v>
      </c>
      <c r="H841" s="240">
        <v>0</v>
      </c>
      <c r="I841" s="240">
        <v>0</v>
      </c>
      <c r="J841" s="240">
        <v>0</v>
      </c>
      <c r="K841" s="240">
        <v>0</v>
      </c>
      <c r="L841" s="240">
        <v>0</v>
      </c>
      <c r="M841" s="240">
        <v>0</v>
      </c>
      <c r="N841" s="240">
        <v>0</v>
      </c>
    </row>
    <row r="842" spans="1:14" x14ac:dyDescent="0.3">
      <c r="A842" s="138" t="s">
        <v>459</v>
      </c>
      <c r="B842" s="137" t="s">
        <v>414</v>
      </c>
      <c r="C842" s="137">
        <v>30</v>
      </c>
      <c r="D842" s="9">
        <v>31.231473802736101</v>
      </c>
      <c r="E842" s="8">
        <v>2.9257200000000001</v>
      </c>
      <c r="F842" s="8">
        <v>4.1865999999999994</v>
      </c>
      <c r="G842" s="18">
        <v>19.394300000000001</v>
      </c>
      <c r="H842" s="240">
        <v>0</v>
      </c>
      <c r="I842" s="240">
        <v>0</v>
      </c>
      <c r="J842" s="240">
        <v>0</v>
      </c>
      <c r="K842" s="240">
        <v>0</v>
      </c>
      <c r="L842" s="240">
        <v>0</v>
      </c>
      <c r="M842" s="240">
        <v>0</v>
      </c>
      <c r="N842" s="240">
        <v>0</v>
      </c>
    </row>
    <row r="843" spans="1:14" x14ac:dyDescent="0.3">
      <c r="A843" s="142" t="s">
        <v>459</v>
      </c>
      <c r="B843" s="143" t="s">
        <v>415</v>
      </c>
      <c r="C843" s="143">
        <v>1</v>
      </c>
      <c r="D843" s="9">
        <v>28.664999999999999</v>
      </c>
      <c r="E843" s="8">
        <v>0</v>
      </c>
      <c r="F843" s="8">
        <v>3.7044000000000001</v>
      </c>
      <c r="G843" s="18">
        <v>4.25</v>
      </c>
      <c r="H843" s="240">
        <v>0</v>
      </c>
      <c r="I843" s="240">
        <v>0</v>
      </c>
      <c r="J843" s="240">
        <v>0</v>
      </c>
      <c r="K843" s="240">
        <v>0</v>
      </c>
      <c r="L843" s="240">
        <v>0</v>
      </c>
      <c r="M843" s="240">
        <v>0</v>
      </c>
      <c r="N843" s="240">
        <v>0</v>
      </c>
    </row>
    <row r="844" spans="1:14" x14ac:dyDescent="0.3">
      <c r="A844" s="135" t="s">
        <v>459</v>
      </c>
      <c r="B844" s="136" t="s">
        <v>415</v>
      </c>
      <c r="C844" s="137">
        <v>2</v>
      </c>
      <c r="D844" s="9">
        <v>29.767499999999998</v>
      </c>
      <c r="E844" s="8">
        <v>0</v>
      </c>
      <c r="F844" s="8">
        <v>4.6304999999999996</v>
      </c>
      <c r="G844" s="18">
        <v>3.5</v>
      </c>
      <c r="H844" s="240">
        <v>0</v>
      </c>
      <c r="I844" s="240">
        <v>0</v>
      </c>
      <c r="J844" s="240">
        <v>0</v>
      </c>
      <c r="K844" s="240">
        <v>0</v>
      </c>
      <c r="L844" s="240">
        <v>0</v>
      </c>
      <c r="M844" s="240">
        <v>0</v>
      </c>
      <c r="N844" s="240">
        <v>0</v>
      </c>
    </row>
    <row r="845" spans="1:14" x14ac:dyDescent="0.3">
      <c r="A845" s="135" t="s">
        <v>459</v>
      </c>
      <c r="B845" s="137" t="s">
        <v>415</v>
      </c>
      <c r="C845" s="137">
        <v>3</v>
      </c>
      <c r="D845" s="9">
        <v>30.135000000000002</v>
      </c>
      <c r="E845" s="8">
        <v>0</v>
      </c>
      <c r="F845" s="8">
        <v>5.1449999999999996</v>
      </c>
      <c r="G845" s="18">
        <v>3.5</v>
      </c>
      <c r="H845" s="240">
        <v>0</v>
      </c>
      <c r="I845" s="240">
        <v>0</v>
      </c>
      <c r="J845" s="240">
        <v>0</v>
      </c>
      <c r="K845" s="240">
        <v>0</v>
      </c>
      <c r="L845" s="240">
        <v>0</v>
      </c>
      <c r="M845" s="240">
        <v>0</v>
      </c>
      <c r="N845" s="240">
        <v>0</v>
      </c>
    </row>
    <row r="846" spans="1:14" x14ac:dyDescent="0.3">
      <c r="A846" s="135" t="s">
        <v>459</v>
      </c>
      <c r="B846" s="137" t="s">
        <v>415</v>
      </c>
      <c r="C846" s="137">
        <v>4</v>
      </c>
      <c r="D846" s="9">
        <v>30.318750000000001</v>
      </c>
      <c r="E846" s="8">
        <v>0</v>
      </c>
      <c r="F846" s="8">
        <v>5.5566000000000004</v>
      </c>
      <c r="G846" s="18">
        <v>3.625</v>
      </c>
      <c r="H846" s="240">
        <v>0</v>
      </c>
      <c r="I846" s="240">
        <v>0</v>
      </c>
      <c r="J846" s="240">
        <v>0</v>
      </c>
      <c r="K846" s="240">
        <v>0</v>
      </c>
      <c r="L846" s="240">
        <v>0</v>
      </c>
      <c r="M846" s="240">
        <v>0</v>
      </c>
      <c r="N846" s="240">
        <v>0</v>
      </c>
    </row>
    <row r="847" spans="1:14" x14ac:dyDescent="0.3">
      <c r="A847" s="135" t="s">
        <v>459</v>
      </c>
      <c r="B847" s="137" t="s">
        <v>415</v>
      </c>
      <c r="C847" s="137">
        <v>5</v>
      </c>
      <c r="D847" s="9">
        <v>30.428999999999998</v>
      </c>
      <c r="E847" s="8">
        <v>0</v>
      </c>
      <c r="F847" s="8">
        <v>5.9270399999999999</v>
      </c>
      <c r="G847" s="18">
        <v>3.75</v>
      </c>
      <c r="H847" s="240">
        <v>0</v>
      </c>
      <c r="I847" s="240">
        <v>0</v>
      </c>
      <c r="J847" s="240">
        <v>0</v>
      </c>
      <c r="K847" s="240">
        <v>0</v>
      </c>
      <c r="L847" s="240">
        <v>0</v>
      </c>
      <c r="M847" s="240">
        <v>0</v>
      </c>
      <c r="N847" s="240">
        <v>0</v>
      </c>
    </row>
    <row r="848" spans="1:14" x14ac:dyDescent="0.3">
      <c r="A848" s="135" t="s">
        <v>459</v>
      </c>
      <c r="B848" s="137" t="s">
        <v>415</v>
      </c>
      <c r="C848" s="137">
        <v>6</v>
      </c>
      <c r="D848" s="9">
        <v>30.502500000000001</v>
      </c>
      <c r="E848" s="8">
        <v>0</v>
      </c>
      <c r="F848" s="8">
        <v>6.1740000000000004</v>
      </c>
      <c r="G848" s="18">
        <v>3.9166669999999999</v>
      </c>
      <c r="H848" s="240">
        <v>0</v>
      </c>
      <c r="I848" s="240">
        <v>0</v>
      </c>
      <c r="J848" s="240">
        <v>0</v>
      </c>
      <c r="K848" s="240">
        <v>0</v>
      </c>
      <c r="L848" s="240">
        <v>0</v>
      </c>
      <c r="M848" s="240">
        <v>0</v>
      </c>
      <c r="N848" s="240">
        <v>0</v>
      </c>
    </row>
    <row r="849" spans="1:14" x14ac:dyDescent="0.3">
      <c r="A849" s="135" t="s">
        <v>459</v>
      </c>
      <c r="B849" s="137" t="s">
        <v>415</v>
      </c>
      <c r="C849" s="137">
        <v>7</v>
      </c>
      <c r="D849" s="9">
        <v>30.555</v>
      </c>
      <c r="E849" s="8">
        <v>0</v>
      </c>
      <c r="F849" s="8">
        <v>6.5267999999999997</v>
      </c>
      <c r="G849" s="18">
        <v>4.0714290000000002</v>
      </c>
      <c r="H849" s="240">
        <v>0</v>
      </c>
      <c r="I849" s="240">
        <v>0</v>
      </c>
      <c r="J849" s="240">
        <v>0</v>
      </c>
      <c r="K849" s="240">
        <v>0</v>
      </c>
      <c r="L849" s="240">
        <v>0</v>
      </c>
      <c r="M849" s="240">
        <v>0</v>
      </c>
      <c r="N849" s="240">
        <v>0</v>
      </c>
    </row>
    <row r="850" spans="1:14" x14ac:dyDescent="0.3">
      <c r="A850" s="135" t="s">
        <v>459</v>
      </c>
      <c r="B850" s="137" t="s">
        <v>415</v>
      </c>
      <c r="C850" s="137">
        <v>8</v>
      </c>
      <c r="D850" s="9">
        <v>30.594374999999999</v>
      </c>
      <c r="E850" s="8">
        <v>0</v>
      </c>
      <c r="F850" s="8">
        <v>6.7914000000000003</v>
      </c>
      <c r="G850" s="18">
        <v>4.25</v>
      </c>
      <c r="H850" s="240">
        <v>0</v>
      </c>
      <c r="I850" s="240">
        <v>0</v>
      </c>
      <c r="J850" s="240">
        <v>0</v>
      </c>
      <c r="K850" s="240">
        <v>0</v>
      </c>
      <c r="L850" s="240">
        <v>0</v>
      </c>
      <c r="M850" s="240">
        <v>0</v>
      </c>
      <c r="N850" s="240">
        <v>0</v>
      </c>
    </row>
    <row r="851" spans="1:14" x14ac:dyDescent="0.3">
      <c r="A851" s="135" t="s">
        <v>459</v>
      </c>
      <c r="B851" s="137" t="s">
        <v>415</v>
      </c>
      <c r="C851" s="137">
        <v>9</v>
      </c>
      <c r="D851" s="9">
        <v>30.625</v>
      </c>
      <c r="E851" s="8">
        <v>0</v>
      </c>
      <c r="F851" s="8">
        <v>6.9972000000000003</v>
      </c>
      <c r="G851" s="18">
        <v>4.3888889999999998</v>
      </c>
      <c r="H851" s="240">
        <v>0</v>
      </c>
      <c r="I851" s="240">
        <v>0</v>
      </c>
      <c r="J851" s="240">
        <v>0</v>
      </c>
      <c r="K851" s="240">
        <v>0</v>
      </c>
      <c r="L851" s="240">
        <v>0</v>
      </c>
      <c r="M851" s="240">
        <v>0</v>
      </c>
      <c r="N851" s="240">
        <v>0</v>
      </c>
    </row>
    <row r="852" spans="1:14" x14ac:dyDescent="0.3">
      <c r="A852" s="135" t="s">
        <v>459</v>
      </c>
      <c r="B852" s="137" t="s">
        <v>415</v>
      </c>
      <c r="C852" s="137">
        <v>10</v>
      </c>
      <c r="D852" s="9">
        <v>30.6495</v>
      </c>
      <c r="E852" s="8">
        <v>0</v>
      </c>
      <c r="F852" s="8">
        <v>7.2853199999999996</v>
      </c>
      <c r="G852" s="18">
        <v>4.55</v>
      </c>
      <c r="H852" s="240">
        <v>0</v>
      </c>
      <c r="I852" s="240">
        <v>0</v>
      </c>
      <c r="J852" s="240">
        <v>0</v>
      </c>
      <c r="K852" s="240">
        <v>0</v>
      </c>
      <c r="L852" s="240">
        <v>0</v>
      </c>
      <c r="M852" s="240">
        <v>0</v>
      </c>
      <c r="N852" s="240">
        <v>0</v>
      </c>
    </row>
    <row r="853" spans="1:14" x14ac:dyDescent="0.3">
      <c r="A853" s="135" t="s">
        <v>459</v>
      </c>
      <c r="B853" s="137" t="s">
        <v>415</v>
      </c>
      <c r="C853" s="137">
        <v>11</v>
      </c>
      <c r="D853" s="9">
        <v>30.669544999999999</v>
      </c>
      <c r="E853" s="8">
        <v>0</v>
      </c>
      <c r="F853" s="8">
        <v>7.5210549999999996</v>
      </c>
      <c r="G853" s="18">
        <v>4.7045450000000004</v>
      </c>
      <c r="H853" s="240">
        <v>0</v>
      </c>
      <c r="I853" s="240">
        <v>0</v>
      </c>
      <c r="J853" s="240">
        <v>0</v>
      </c>
      <c r="K853" s="240">
        <v>0</v>
      </c>
      <c r="L853" s="240">
        <v>0</v>
      </c>
      <c r="M853" s="240">
        <v>0</v>
      </c>
      <c r="N853" s="240">
        <v>0</v>
      </c>
    </row>
    <row r="854" spans="1:14" x14ac:dyDescent="0.3">
      <c r="A854" s="135" t="s">
        <v>459</v>
      </c>
      <c r="B854" s="137" t="s">
        <v>415</v>
      </c>
      <c r="C854" s="137">
        <v>12</v>
      </c>
      <c r="D854" s="9">
        <v>30.686250000000001</v>
      </c>
      <c r="E854" s="8">
        <v>0</v>
      </c>
      <c r="F854" s="8">
        <v>7.7175000000000002</v>
      </c>
      <c r="G854" s="18">
        <v>4.8541670000000003</v>
      </c>
      <c r="H854" s="240">
        <v>0</v>
      </c>
      <c r="I854" s="240">
        <v>0</v>
      </c>
      <c r="J854" s="240">
        <v>0</v>
      </c>
      <c r="K854" s="240">
        <v>0</v>
      </c>
      <c r="L854" s="240">
        <v>0</v>
      </c>
      <c r="M854" s="240">
        <v>0</v>
      </c>
      <c r="N854" s="240">
        <v>0</v>
      </c>
    </row>
    <row r="855" spans="1:14" x14ac:dyDescent="0.3">
      <c r="A855" s="135" t="s">
        <v>459</v>
      </c>
      <c r="B855" s="137" t="s">
        <v>415</v>
      </c>
      <c r="C855" s="137">
        <v>13</v>
      </c>
      <c r="D855" s="9">
        <v>30.700385000000001</v>
      </c>
      <c r="E855" s="8">
        <v>0</v>
      </c>
      <c r="F855" s="8">
        <v>7.8837229999999998</v>
      </c>
      <c r="G855" s="18">
        <v>5.0192310000000004</v>
      </c>
      <c r="H855" s="240">
        <v>0</v>
      </c>
      <c r="I855" s="240">
        <v>0</v>
      </c>
      <c r="J855" s="240">
        <v>0</v>
      </c>
      <c r="K855" s="240">
        <v>0</v>
      </c>
      <c r="L855" s="240">
        <v>0</v>
      </c>
      <c r="M855" s="240">
        <v>0</v>
      </c>
      <c r="N855" s="240">
        <v>0</v>
      </c>
    </row>
    <row r="856" spans="1:14" x14ac:dyDescent="0.3">
      <c r="A856" s="135" t="s">
        <v>459</v>
      </c>
      <c r="B856" s="137" t="s">
        <v>415</v>
      </c>
      <c r="C856" s="137">
        <v>14</v>
      </c>
      <c r="D856" s="9">
        <v>30.712499999999999</v>
      </c>
      <c r="E856" s="8">
        <v>0</v>
      </c>
      <c r="F856" s="8">
        <v>8.2908000000000008</v>
      </c>
      <c r="G856" s="18">
        <v>5.1607139999999996</v>
      </c>
      <c r="H856" s="240">
        <v>0</v>
      </c>
      <c r="I856" s="240">
        <v>0</v>
      </c>
      <c r="J856" s="240">
        <v>0</v>
      </c>
      <c r="K856" s="240">
        <v>0</v>
      </c>
      <c r="L856" s="240">
        <v>0</v>
      </c>
      <c r="M856" s="240">
        <v>0</v>
      </c>
      <c r="N856" s="240">
        <v>0</v>
      </c>
    </row>
    <row r="857" spans="1:14" x14ac:dyDescent="0.3">
      <c r="A857" s="135" t="s">
        <v>459</v>
      </c>
      <c r="B857" s="137" t="s">
        <v>415</v>
      </c>
      <c r="C857" s="137">
        <v>15</v>
      </c>
      <c r="D857" s="9">
        <v>30.722999999999999</v>
      </c>
      <c r="E857" s="8">
        <v>0</v>
      </c>
      <c r="F857" s="8">
        <v>8.6435999999999993</v>
      </c>
      <c r="G857" s="18">
        <v>5.3166669999999998</v>
      </c>
      <c r="H857" s="240">
        <v>0</v>
      </c>
      <c r="I857" s="240">
        <v>0</v>
      </c>
      <c r="J857" s="240">
        <v>0</v>
      </c>
      <c r="K857" s="240">
        <v>0</v>
      </c>
      <c r="L857" s="240">
        <v>0</v>
      </c>
      <c r="M857" s="240">
        <v>0</v>
      </c>
      <c r="N857" s="240">
        <v>0</v>
      </c>
    </row>
    <row r="858" spans="1:14" x14ac:dyDescent="0.3">
      <c r="A858" s="135" t="s">
        <v>459</v>
      </c>
      <c r="B858" s="137" t="s">
        <v>415</v>
      </c>
      <c r="C858" s="137">
        <v>16</v>
      </c>
      <c r="D858" s="9">
        <v>30.732187</v>
      </c>
      <c r="E858" s="8">
        <v>0</v>
      </c>
      <c r="F858" s="8">
        <v>8.9522999999999993</v>
      </c>
      <c r="G858" s="18">
        <v>5.46875</v>
      </c>
      <c r="H858" s="240">
        <v>0</v>
      </c>
      <c r="I858" s="240">
        <v>0</v>
      </c>
      <c r="J858" s="240">
        <v>0</v>
      </c>
      <c r="K858" s="240">
        <v>0</v>
      </c>
      <c r="L858" s="240">
        <v>0</v>
      </c>
      <c r="M858" s="240">
        <v>0</v>
      </c>
      <c r="N858" s="240">
        <v>0</v>
      </c>
    </row>
    <row r="859" spans="1:14" x14ac:dyDescent="0.3">
      <c r="A859" s="135" t="s">
        <v>459</v>
      </c>
      <c r="B859" s="137" t="s">
        <v>415</v>
      </c>
      <c r="C859" s="137">
        <v>17</v>
      </c>
      <c r="D859" s="9">
        <v>30.740293999999999</v>
      </c>
      <c r="E859" s="8">
        <v>0</v>
      </c>
      <c r="F859" s="8">
        <v>9.2246819999999996</v>
      </c>
      <c r="G859" s="18">
        <v>5.6029410000000004</v>
      </c>
      <c r="H859" s="240">
        <v>0</v>
      </c>
      <c r="I859" s="240">
        <v>0</v>
      </c>
      <c r="J859" s="240">
        <v>0</v>
      </c>
      <c r="K859" s="240">
        <v>0</v>
      </c>
      <c r="L859" s="240">
        <v>0</v>
      </c>
      <c r="M859" s="240">
        <v>0</v>
      </c>
      <c r="N859" s="240">
        <v>0</v>
      </c>
    </row>
    <row r="860" spans="1:14" x14ac:dyDescent="0.3">
      <c r="A860" s="135" t="s">
        <v>459</v>
      </c>
      <c r="B860" s="137" t="s">
        <v>415</v>
      </c>
      <c r="C860" s="137">
        <v>18</v>
      </c>
      <c r="D860" s="9">
        <v>30.747499999999999</v>
      </c>
      <c r="E860" s="8">
        <v>0</v>
      </c>
      <c r="F860" s="8">
        <v>9.4667999999999992</v>
      </c>
      <c r="G860" s="18">
        <v>5.75</v>
      </c>
      <c r="H860" s="240">
        <v>0</v>
      </c>
      <c r="I860" s="240">
        <v>0</v>
      </c>
      <c r="J860" s="240">
        <v>0</v>
      </c>
      <c r="K860" s="240">
        <v>0</v>
      </c>
      <c r="L860" s="240">
        <v>0</v>
      </c>
      <c r="M860" s="240">
        <v>0</v>
      </c>
      <c r="N860" s="240">
        <v>0</v>
      </c>
    </row>
    <row r="861" spans="1:14" x14ac:dyDescent="0.3">
      <c r="A861" s="135" t="s">
        <v>459</v>
      </c>
      <c r="B861" s="137" t="s">
        <v>415</v>
      </c>
      <c r="C861" s="137">
        <v>19</v>
      </c>
      <c r="D861" s="9">
        <v>30.753947</v>
      </c>
      <c r="E861" s="8">
        <v>0</v>
      </c>
      <c r="F861" s="8">
        <v>9.6834319999999998</v>
      </c>
      <c r="G861" s="18">
        <v>5.8815790000000003</v>
      </c>
      <c r="H861" s="240">
        <v>0</v>
      </c>
      <c r="I861" s="240">
        <v>0</v>
      </c>
      <c r="J861" s="240">
        <v>0</v>
      </c>
      <c r="K861" s="240">
        <v>0</v>
      </c>
      <c r="L861" s="240">
        <v>0</v>
      </c>
      <c r="M861" s="240">
        <v>0</v>
      </c>
      <c r="N861" s="240">
        <v>0</v>
      </c>
    </row>
    <row r="862" spans="1:14" x14ac:dyDescent="0.3">
      <c r="A862" s="135" t="s">
        <v>459</v>
      </c>
      <c r="B862" s="137" t="s">
        <v>415</v>
      </c>
      <c r="C862" s="137">
        <v>20</v>
      </c>
      <c r="D862" s="9">
        <v>30.75975</v>
      </c>
      <c r="E862" s="8">
        <v>0</v>
      </c>
      <c r="F862" s="8">
        <v>9.8783999999999992</v>
      </c>
      <c r="G862" s="18">
        <v>6.0250000000000004</v>
      </c>
      <c r="H862" s="240">
        <v>0</v>
      </c>
      <c r="I862" s="240">
        <v>0</v>
      </c>
      <c r="J862" s="240">
        <v>0</v>
      </c>
      <c r="K862" s="240">
        <v>0</v>
      </c>
      <c r="L862" s="240">
        <v>0</v>
      </c>
      <c r="M862" s="240">
        <v>0</v>
      </c>
      <c r="N862" s="240">
        <v>0</v>
      </c>
    </row>
    <row r="863" spans="1:14" x14ac:dyDescent="0.3">
      <c r="A863" s="135" t="s">
        <v>459</v>
      </c>
      <c r="B863" s="137" t="s">
        <v>415</v>
      </c>
      <c r="C863" s="137">
        <v>21</v>
      </c>
      <c r="D863" s="9">
        <v>30.765000000000001</v>
      </c>
      <c r="E863" s="8">
        <v>0</v>
      </c>
      <c r="F863" s="8">
        <v>10.0548</v>
      </c>
      <c r="G863" s="18">
        <v>6.1547619999999998</v>
      </c>
      <c r="H863" s="240">
        <v>0</v>
      </c>
      <c r="I863" s="240">
        <v>0</v>
      </c>
      <c r="J863" s="240">
        <v>0</v>
      </c>
      <c r="K863" s="240">
        <v>0</v>
      </c>
      <c r="L863" s="240">
        <v>0</v>
      </c>
      <c r="M863" s="240">
        <v>0</v>
      </c>
      <c r="N863" s="240">
        <v>0</v>
      </c>
    </row>
    <row r="864" spans="1:14" x14ac:dyDescent="0.3">
      <c r="A864" s="135" t="s">
        <v>459</v>
      </c>
      <c r="B864" s="137" t="s">
        <v>415</v>
      </c>
      <c r="C864" s="137">
        <v>22</v>
      </c>
      <c r="D864" s="9">
        <v>30.769773000000001</v>
      </c>
      <c r="E864" s="8">
        <v>0</v>
      </c>
      <c r="F864" s="8">
        <v>10.215164</v>
      </c>
      <c r="G864" s="18">
        <v>6.2840910000000001</v>
      </c>
      <c r="H864" s="240">
        <v>0</v>
      </c>
      <c r="I864" s="240">
        <v>0</v>
      </c>
      <c r="J864" s="240">
        <v>0</v>
      </c>
      <c r="K864" s="240">
        <v>0</v>
      </c>
      <c r="L864" s="240">
        <v>0</v>
      </c>
      <c r="M864" s="240">
        <v>0</v>
      </c>
      <c r="N864" s="240">
        <v>0</v>
      </c>
    </row>
    <row r="865" spans="1:14" x14ac:dyDescent="0.3">
      <c r="A865" s="135" t="s">
        <v>459</v>
      </c>
      <c r="B865" s="137" t="s">
        <v>415</v>
      </c>
      <c r="C865" s="137">
        <v>23</v>
      </c>
      <c r="D865" s="9">
        <v>30.77413</v>
      </c>
      <c r="E865" s="8">
        <v>0</v>
      </c>
      <c r="F865" s="8">
        <v>10.361583</v>
      </c>
      <c r="G865" s="18">
        <v>6.4021739999999996</v>
      </c>
      <c r="H865" s="240">
        <v>0</v>
      </c>
      <c r="I865" s="240">
        <v>0</v>
      </c>
      <c r="J865" s="240">
        <v>0</v>
      </c>
      <c r="K865" s="240">
        <v>0</v>
      </c>
      <c r="L865" s="240">
        <v>0</v>
      </c>
      <c r="M865" s="240">
        <v>0</v>
      </c>
      <c r="N865" s="240">
        <v>0</v>
      </c>
    </row>
    <row r="866" spans="1:14" x14ac:dyDescent="0.3">
      <c r="A866" s="135" t="s">
        <v>459</v>
      </c>
      <c r="B866" s="137" t="s">
        <v>415</v>
      </c>
      <c r="C866" s="137">
        <v>24</v>
      </c>
      <c r="D866" s="9">
        <v>30.778124999999999</v>
      </c>
      <c r="E866" s="8">
        <v>0</v>
      </c>
      <c r="F866" s="8">
        <v>10.54725</v>
      </c>
      <c r="G866" s="18">
        <v>6.53125</v>
      </c>
      <c r="H866" s="240">
        <v>0</v>
      </c>
      <c r="I866" s="240">
        <v>0</v>
      </c>
      <c r="J866" s="240">
        <v>0</v>
      </c>
      <c r="K866" s="240">
        <v>0</v>
      </c>
      <c r="L866" s="240">
        <v>0</v>
      </c>
      <c r="M866" s="240">
        <v>0</v>
      </c>
      <c r="N866" s="240">
        <v>0</v>
      </c>
    </row>
    <row r="867" spans="1:14" x14ac:dyDescent="0.3">
      <c r="A867" s="135" t="s">
        <v>459</v>
      </c>
      <c r="B867" s="137" t="s">
        <v>415</v>
      </c>
      <c r="C867" s="137">
        <v>25</v>
      </c>
      <c r="D867" s="9">
        <v>30.7818</v>
      </c>
      <c r="E867" s="8">
        <v>0</v>
      </c>
      <c r="F867" s="8">
        <v>10.718064</v>
      </c>
      <c r="G867" s="18">
        <v>6.66</v>
      </c>
      <c r="H867" s="240">
        <v>0</v>
      </c>
      <c r="I867" s="240">
        <v>0</v>
      </c>
      <c r="J867" s="240">
        <v>0</v>
      </c>
      <c r="K867" s="240">
        <v>0</v>
      </c>
      <c r="L867" s="240">
        <v>0</v>
      </c>
      <c r="M867" s="240">
        <v>0</v>
      </c>
      <c r="N867" s="240">
        <v>0</v>
      </c>
    </row>
    <row r="868" spans="1:14" x14ac:dyDescent="0.3">
      <c r="A868" s="135" t="s">
        <v>459</v>
      </c>
      <c r="B868" s="137" t="s">
        <v>415</v>
      </c>
      <c r="C868" s="137">
        <v>26</v>
      </c>
      <c r="D868" s="9">
        <v>30.785191999999999</v>
      </c>
      <c r="E868" s="8">
        <v>0</v>
      </c>
      <c r="F868" s="8">
        <v>10.875738</v>
      </c>
      <c r="G868" s="18">
        <v>6.7788459999999997</v>
      </c>
      <c r="H868" s="240">
        <v>0</v>
      </c>
      <c r="I868" s="240">
        <v>0</v>
      </c>
      <c r="J868" s="240">
        <v>0</v>
      </c>
      <c r="K868" s="240">
        <v>0</v>
      </c>
      <c r="L868" s="240">
        <v>0</v>
      </c>
      <c r="M868" s="240">
        <v>0</v>
      </c>
      <c r="N868" s="240">
        <v>0</v>
      </c>
    </row>
    <row r="869" spans="1:14" x14ac:dyDescent="0.3">
      <c r="A869" s="135" t="s">
        <v>459</v>
      </c>
      <c r="B869" s="137" t="s">
        <v>415</v>
      </c>
      <c r="C869" s="137">
        <v>27</v>
      </c>
      <c r="D869" s="9">
        <v>30.788333000000002</v>
      </c>
      <c r="E869" s="8">
        <v>0</v>
      </c>
      <c r="F869" s="8">
        <v>11.067467000000001</v>
      </c>
      <c r="G869" s="18">
        <v>6.8981479999999999</v>
      </c>
      <c r="H869" s="240">
        <v>0</v>
      </c>
      <c r="I869" s="240">
        <v>0</v>
      </c>
      <c r="J869" s="240">
        <v>0</v>
      </c>
      <c r="K869" s="240">
        <v>0</v>
      </c>
      <c r="L869" s="240">
        <v>0</v>
      </c>
      <c r="M869" s="240">
        <v>0</v>
      </c>
      <c r="N869" s="240">
        <v>0</v>
      </c>
    </row>
    <row r="870" spans="1:14" x14ac:dyDescent="0.3">
      <c r="A870" s="135" t="s">
        <v>459</v>
      </c>
      <c r="B870" s="137" t="s">
        <v>415</v>
      </c>
      <c r="C870" s="137">
        <v>28</v>
      </c>
      <c r="D870" s="9">
        <v>30.791250000000002</v>
      </c>
      <c r="E870" s="8">
        <v>0</v>
      </c>
      <c r="F870" s="8">
        <v>11.2455</v>
      </c>
      <c r="G870" s="18">
        <v>7.0178570000000002</v>
      </c>
      <c r="H870" s="240">
        <v>0</v>
      </c>
      <c r="I870" s="240">
        <v>0</v>
      </c>
      <c r="J870" s="240">
        <v>0</v>
      </c>
      <c r="K870" s="240">
        <v>0</v>
      </c>
      <c r="L870" s="240">
        <v>0</v>
      </c>
      <c r="M870" s="240">
        <v>0</v>
      </c>
      <c r="N870" s="240">
        <v>0</v>
      </c>
    </row>
    <row r="871" spans="1:14" x14ac:dyDescent="0.3">
      <c r="A871" s="135" t="s">
        <v>459</v>
      </c>
      <c r="B871" s="137" t="s">
        <v>415</v>
      </c>
      <c r="C871" s="137">
        <v>29</v>
      </c>
      <c r="D871" s="9">
        <v>30.793966000000001</v>
      </c>
      <c r="E871" s="8">
        <v>0</v>
      </c>
      <c r="F871" s="8">
        <v>11.453834000000001</v>
      </c>
      <c r="G871" s="18">
        <v>7.137931</v>
      </c>
      <c r="H871" s="240">
        <v>0</v>
      </c>
      <c r="I871" s="240">
        <v>0</v>
      </c>
      <c r="J871" s="240">
        <v>0</v>
      </c>
      <c r="K871" s="240">
        <v>0</v>
      </c>
      <c r="L871" s="240">
        <v>0</v>
      </c>
      <c r="M871" s="240">
        <v>0</v>
      </c>
      <c r="N871" s="240">
        <v>0</v>
      </c>
    </row>
    <row r="872" spans="1:14" x14ac:dyDescent="0.3">
      <c r="A872" s="138" t="s">
        <v>459</v>
      </c>
      <c r="B872" s="137" t="s">
        <v>415</v>
      </c>
      <c r="C872" s="137">
        <v>30</v>
      </c>
      <c r="D872" s="9">
        <v>30.796500000000002</v>
      </c>
      <c r="E872" s="8">
        <v>0</v>
      </c>
      <c r="F872" s="8">
        <v>11.64828</v>
      </c>
      <c r="G872" s="18">
        <v>7.2583330000000004</v>
      </c>
      <c r="H872" s="240">
        <v>0</v>
      </c>
      <c r="I872" s="240">
        <v>0</v>
      </c>
      <c r="J872" s="240">
        <v>0</v>
      </c>
      <c r="K872" s="240">
        <v>0</v>
      </c>
      <c r="L872" s="240">
        <v>0</v>
      </c>
      <c r="M872" s="240">
        <v>0</v>
      </c>
      <c r="N872" s="240">
        <v>0</v>
      </c>
    </row>
    <row r="873" spans="1:14" x14ac:dyDescent="0.3">
      <c r="A873" s="142" t="s">
        <v>459</v>
      </c>
      <c r="B873" s="143" t="s">
        <v>422</v>
      </c>
      <c r="C873" s="143">
        <v>1</v>
      </c>
      <c r="D873" s="9">
        <v>10.3302</v>
      </c>
      <c r="E873" s="8">
        <v>2.9257200000000001</v>
      </c>
      <c r="F873" s="8">
        <v>0.41176800000000002</v>
      </c>
      <c r="G873" s="18">
        <v>9.5</v>
      </c>
      <c r="H873" s="240">
        <v>0</v>
      </c>
      <c r="I873" s="240">
        <v>0</v>
      </c>
      <c r="J873" s="240">
        <v>0</v>
      </c>
      <c r="K873" s="240">
        <v>0</v>
      </c>
      <c r="L873" s="240">
        <v>0</v>
      </c>
      <c r="M873" s="240">
        <v>0</v>
      </c>
      <c r="N873" s="240">
        <v>0</v>
      </c>
    </row>
    <row r="874" spans="1:14" x14ac:dyDescent="0.3">
      <c r="A874" s="135" t="s">
        <v>459</v>
      </c>
      <c r="B874" s="136" t="s">
        <v>422</v>
      </c>
      <c r="C874" s="137">
        <v>2</v>
      </c>
      <c r="D874" s="9">
        <v>10.605600000000001</v>
      </c>
      <c r="E874" s="8">
        <v>2.9257200000000001</v>
      </c>
      <c r="F874" s="8">
        <v>0.61358900000000005</v>
      </c>
      <c r="G874" s="18">
        <v>7.625</v>
      </c>
      <c r="H874" s="240">
        <v>0</v>
      </c>
      <c r="I874" s="240">
        <v>0</v>
      </c>
      <c r="J874" s="240">
        <v>0</v>
      </c>
      <c r="K874" s="240">
        <v>0</v>
      </c>
      <c r="L874" s="240">
        <v>0</v>
      </c>
      <c r="M874" s="240">
        <v>0</v>
      </c>
      <c r="N874" s="240">
        <v>0</v>
      </c>
    </row>
    <row r="875" spans="1:14" x14ac:dyDescent="0.3">
      <c r="A875" s="135" t="s">
        <v>459</v>
      </c>
      <c r="B875" s="137" t="s">
        <v>422</v>
      </c>
      <c r="C875" s="137">
        <v>3</v>
      </c>
      <c r="D875" s="9">
        <v>10.6974</v>
      </c>
      <c r="E875" s="8">
        <v>2.9257200000000001</v>
      </c>
      <c r="F875" s="8">
        <v>0.75851999999999997</v>
      </c>
      <c r="G875" s="18">
        <v>7.3333329999999997</v>
      </c>
      <c r="H875" s="240">
        <v>0</v>
      </c>
      <c r="I875" s="240">
        <v>0</v>
      </c>
      <c r="J875" s="240">
        <v>0</v>
      </c>
      <c r="K875" s="240">
        <v>0</v>
      </c>
      <c r="L875" s="240">
        <v>0</v>
      </c>
      <c r="M875" s="240">
        <v>0</v>
      </c>
      <c r="N875" s="240">
        <v>0</v>
      </c>
    </row>
    <row r="876" spans="1:14" x14ac:dyDescent="0.3">
      <c r="A876" s="135" t="s">
        <v>459</v>
      </c>
      <c r="B876" s="137" t="s">
        <v>422</v>
      </c>
      <c r="C876" s="137">
        <v>4</v>
      </c>
      <c r="D876" s="9">
        <v>10.7433</v>
      </c>
      <c r="E876" s="8">
        <v>2.9257200000000001</v>
      </c>
      <c r="F876" s="8">
        <v>0.89397000000000004</v>
      </c>
      <c r="G876" s="18">
        <v>7.375</v>
      </c>
      <c r="H876" s="240">
        <v>0</v>
      </c>
      <c r="I876" s="240">
        <v>0</v>
      </c>
      <c r="J876" s="240">
        <v>0</v>
      </c>
      <c r="K876" s="240">
        <v>0</v>
      </c>
      <c r="L876" s="240">
        <v>0</v>
      </c>
      <c r="M876" s="240">
        <v>0</v>
      </c>
      <c r="N876" s="240">
        <v>0</v>
      </c>
    </row>
    <row r="877" spans="1:14" x14ac:dyDescent="0.3">
      <c r="A877" s="135" t="s">
        <v>459</v>
      </c>
      <c r="B877" s="137" t="s">
        <v>422</v>
      </c>
      <c r="C877" s="137">
        <v>5</v>
      </c>
      <c r="D877" s="9">
        <v>10.77084</v>
      </c>
      <c r="E877" s="8">
        <v>2.9257200000000001</v>
      </c>
      <c r="F877" s="8">
        <v>1.0792660000000001</v>
      </c>
      <c r="G877" s="18">
        <v>7.5</v>
      </c>
      <c r="H877" s="240">
        <v>0</v>
      </c>
      <c r="I877" s="240">
        <v>0</v>
      </c>
      <c r="J877" s="240">
        <v>0</v>
      </c>
      <c r="K877" s="240">
        <v>0</v>
      </c>
      <c r="L877" s="240">
        <v>0</v>
      </c>
      <c r="M877" s="240">
        <v>0</v>
      </c>
      <c r="N877" s="240">
        <v>0</v>
      </c>
    </row>
    <row r="878" spans="1:14" x14ac:dyDescent="0.3">
      <c r="A878" s="135" t="s">
        <v>459</v>
      </c>
      <c r="B878" s="137" t="s">
        <v>422</v>
      </c>
      <c r="C878" s="137">
        <v>6</v>
      </c>
      <c r="D878" s="9">
        <v>10.789199999999999</v>
      </c>
      <c r="E878" s="8">
        <v>2.9257200000000001</v>
      </c>
      <c r="F878" s="8">
        <v>1.202796</v>
      </c>
      <c r="G878" s="18">
        <v>7.75</v>
      </c>
      <c r="H878" s="240">
        <v>0</v>
      </c>
      <c r="I878" s="240">
        <v>0</v>
      </c>
      <c r="J878" s="240">
        <v>0</v>
      </c>
      <c r="K878" s="240">
        <v>0</v>
      </c>
      <c r="L878" s="240">
        <v>0</v>
      </c>
      <c r="M878" s="240">
        <v>0</v>
      </c>
      <c r="N878" s="240">
        <v>0</v>
      </c>
    </row>
    <row r="879" spans="1:14" x14ac:dyDescent="0.3">
      <c r="A879" s="135" t="s">
        <v>459</v>
      </c>
      <c r="B879" s="137" t="s">
        <v>422</v>
      </c>
      <c r="C879" s="137">
        <v>7</v>
      </c>
      <c r="D879" s="9">
        <v>10.802314000000001</v>
      </c>
      <c r="E879" s="8">
        <v>2.9257200000000001</v>
      </c>
      <c r="F879" s="8">
        <v>1.306168</v>
      </c>
      <c r="G879" s="18">
        <v>7.9642860000000004</v>
      </c>
      <c r="H879" s="240">
        <v>0</v>
      </c>
      <c r="I879" s="240">
        <v>0</v>
      </c>
      <c r="J879" s="240">
        <v>0</v>
      </c>
      <c r="K879" s="240">
        <v>0</v>
      </c>
      <c r="L879" s="240">
        <v>0</v>
      </c>
      <c r="M879" s="240">
        <v>0</v>
      </c>
      <c r="N879" s="240">
        <v>0</v>
      </c>
    </row>
    <row r="880" spans="1:14" x14ac:dyDescent="0.3">
      <c r="A880" s="135" t="s">
        <v>459</v>
      </c>
      <c r="B880" s="137" t="s">
        <v>422</v>
      </c>
      <c r="C880" s="137">
        <v>8</v>
      </c>
      <c r="D880" s="9">
        <v>10.812150000000001</v>
      </c>
      <c r="E880" s="8">
        <v>2.9257200000000001</v>
      </c>
      <c r="F880" s="8">
        <v>1.383697</v>
      </c>
      <c r="G880" s="18">
        <v>8.21875</v>
      </c>
      <c r="H880" s="240">
        <v>0</v>
      </c>
      <c r="I880" s="240">
        <v>0</v>
      </c>
      <c r="J880" s="240">
        <v>0</v>
      </c>
      <c r="K880" s="240">
        <v>0</v>
      </c>
      <c r="L880" s="240">
        <v>0</v>
      </c>
      <c r="M880" s="240">
        <v>0</v>
      </c>
      <c r="N880" s="240">
        <v>0</v>
      </c>
    </row>
    <row r="881" spans="1:14" x14ac:dyDescent="0.3">
      <c r="A881" s="135" t="s">
        <v>459</v>
      </c>
      <c r="B881" s="137" t="s">
        <v>422</v>
      </c>
      <c r="C881" s="137">
        <v>9</v>
      </c>
      <c r="D881" s="9">
        <v>10.819800000000001</v>
      </c>
      <c r="E881" s="8">
        <v>2.9257200000000001</v>
      </c>
      <c r="F881" s="8">
        <v>1.547809</v>
      </c>
      <c r="G881" s="18">
        <v>8.5</v>
      </c>
      <c r="H881" s="240">
        <v>0</v>
      </c>
      <c r="I881" s="240">
        <v>0</v>
      </c>
      <c r="J881" s="240">
        <v>0</v>
      </c>
      <c r="K881" s="240">
        <v>0</v>
      </c>
      <c r="L881" s="240">
        <v>0</v>
      </c>
      <c r="M881" s="240">
        <v>0</v>
      </c>
      <c r="N881" s="240">
        <v>0</v>
      </c>
    </row>
    <row r="882" spans="1:14" x14ac:dyDescent="0.3">
      <c r="A882" s="135" t="s">
        <v>459</v>
      </c>
      <c r="B882" s="137" t="s">
        <v>422</v>
      </c>
      <c r="C882" s="137">
        <v>10</v>
      </c>
      <c r="D882" s="9">
        <v>10.82592</v>
      </c>
      <c r="E882" s="8">
        <v>2.9257200000000001</v>
      </c>
      <c r="F882" s="8">
        <v>1.679098</v>
      </c>
      <c r="G882" s="18">
        <v>8.75</v>
      </c>
      <c r="H882" s="240">
        <v>0</v>
      </c>
      <c r="I882" s="240">
        <v>0</v>
      </c>
      <c r="J882" s="240">
        <v>0</v>
      </c>
      <c r="K882" s="240">
        <v>0</v>
      </c>
      <c r="L882" s="240">
        <v>0</v>
      </c>
      <c r="M882" s="240">
        <v>0</v>
      </c>
      <c r="N882" s="240">
        <v>0</v>
      </c>
    </row>
    <row r="883" spans="1:14" x14ac:dyDescent="0.3">
      <c r="A883" s="135" t="s">
        <v>459</v>
      </c>
      <c r="B883" s="137" t="s">
        <v>422</v>
      </c>
      <c r="C883" s="137">
        <v>11</v>
      </c>
      <c r="D883" s="9">
        <v>10.830927000000001</v>
      </c>
      <c r="E883" s="8">
        <v>2.9257200000000001</v>
      </c>
      <c r="F883" s="8">
        <v>1.7865169999999999</v>
      </c>
      <c r="G883" s="18">
        <v>9</v>
      </c>
      <c r="H883" s="240">
        <v>0</v>
      </c>
      <c r="I883" s="240">
        <v>0</v>
      </c>
      <c r="J883" s="240">
        <v>0</v>
      </c>
      <c r="K883" s="240">
        <v>0</v>
      </c>
      <c r="L883" s="240">
        <v>0</v>
      </c>
      <c r="M883" s="240">
        <v>0</v>
      </c>
      <c r="N883" s="240">
        <v>0</v>
      </c>
    </row>
    <row r="884" spans="1:14" x14ac:dyDescent="0.3">
      <c r="A884" s="135" t="s">
        <v>459</v>
      </c>
      <c r="B884" s="137" t="s">
        <v>422</v>
      </c>
      <c r="C884" s="137">
        <v>12</v>
      </c>
      <c r="D884" s="9">
        <v>10.835100000000001</v>
      </c>
      <c r="E884" s="8">
        <v>2.9257200000000001</v>
      </c>
      <c r="F884" s="8">
        <v>1.888474</v>
      </c>
      <c r="G884" s="18">
        <v>9.2708329999999997</v>
      </c>
      <c r="H884" s="240">
        <v>0</v>
      </c>
      <c r="I884" s="240">
        <v>0</v>
      </c>
      <c r="J884" s="240">
        <v>0</v>
      </c>
      <c r="K884" s="240">
        <v>0</v>
      </c>
      <c r="L884" s="240">
        <v>0</v>
      </c>
      <c r="M884" s="240">
        <v>0</v>
      </c>
      <c r="N884" s="240">
        <v>0</v>
      </c>
    </row>
    <row r="885" spans="1:14" x14ac:dyDescent="0.3">
      <c r="A885" s="135" t="s">
        <v>459</v>
      </c>
      <c r="B885" s="137" t="s">
        <v>422</v>
      </c>
      <c r="C885" s="137">
        <v>13</v>
      </c>
      <c r="D885" s="9">
        <v>10.838630999999999</v>
      </c>
      <c r="E885" s="8">
        <v>2.9257200000000001</v>
      </c>
      <c r="F885" s="8">
        <v>1.974745</v>
      </c>
      <c r="G885" s="18">
        <v>9.5192309999999996</v>
      </c>
      <c r="H885" s="240">
        <v>0</v>
      </c>
      <c r="I885" s="240">
        <v>0</v>
      </c>
      <c r="J885" s="240">
        <v>0</v>
      </c>
      <c r="K885" s="240">
        <v>0</v>
      </c>
      <c r="L885" s="240">
        <v>0</v>
      </c>
      <c r="M885" s="240">
        <v>0</v>
      </c>
      <c r="N885" s="240">
        <v>0</v>
      </c>
    </row>
    <row r="886" spans="1:14" x14ac:dyDescent="0.3">
      <c r="A886" s="135" t="s">
        <v>459</v>
      </c>
      <c r="B886" s="137" t="s">
        <v>422</v>
      </c>
      <c r="C886" s="137">
        <v>14</v>
      </c>
      <c r="D886" s="9">
        <v>10.841657</v>
      </c>
      <c r="E886" s="8">
        <v>2.9257200000000001</v>
      </c>
      <c r="F886" s="8">
        <v>2.1123319999999999</v>
      </c>
      <c r="G886" s="18">
        <v>9.7678569999999993</v>
      </c>
      <c r="H886" s="240">
        <v>0</v>
      </c>
      <c r="I886" s="240">
        <v>0</v>
      </c>
      <c r="J886" s="240">
        <v>0</v>
      </c>
      <c r="K886" s="240">
        <v>0</v>
      </c>
      <c r="L886" s="240">
        <v>0</v>
      </c>
      <c r="M886" s="240">
        <v>0</v>
      </c>
      <c r="N886" s="240">
        <v>0</v>
      </c>
    </row>
    <row r="887" spans="1:14" x14ac:dyDescent="0.3">
      <c r="A887" s="135" t="s">
        <v>459</v>
      </c>
      <c r="B887" s="137" t="s">
        <v>422</v>
      </c>
      <c r="C887" s="137">
        <v>15</v>
      </c>
      <c r="D887" s="9">
        <v>10.844279999999999</v>
      </c>
      <c r="E887" s="8">
        <v>2.9257200000000001</v>
      </c>
      <c r="F887" s="8">
        <v>2.2315740000000002</v>
      </c>
      <c r="G887" s="18">
        <v>10.016667</v>
      </c>
      <c r="H887" s="240">
        <v>0</v>
      </c>
      <c r="I887" s="240">
        <v>0</v>
      </c>
      <c r="J887" s="240">
        <v>0</v>
      </c>
      <c r="K887" s="240">
        <v>0</v>
      </c>
      <c r="L887" s="240">
        <v>0</v>
      </c>
      <c r="M887" s="240">
        <v>0</v>
      </c>
      <c r="N887" s="240">
        <v>0</v>
      </c>
    </row>
    <row r="888" spans="1:14" x14ac:dyDescent="0.3">
      <c r="A888" s="135" t="s">
        <v>459</v>
      </c>
      <c r="B888" s="137" t="s">
        <v>422</v>
      </c>
      <c r="C888" s="137">
        <v>16</v>
      </c>
      <c r="D888" s="9">
        <v>10.846575</v>
      </c>
      <c r="E888" s="8">
        <v>2.9257200000000001</v>
      </c>
      <c r="F888" s="8">
        <v>2.363</v>
      </c>
      <c r="G888" s="18">
        <v>10.25</v>
      </c>
      <c r="H888" s="240">
        <v>0</v>
      </c>
      <c r="I888" s="240">
        <v>0</v>
      </c>
      <c r="J888" s="240">
        <v>0</v>
      </c>
      <c r="K888" s="240">
        <v>0</v>
      </c>
      <c r="L888" s="240">
        <v>0</v>
      </c>
      <c r="M888" s="240">
        <v>0</v>
      </c>
      <c r="N888" s="240">
        <v>0</v>
      </c>
    </row>
    <row r="889" spans="1:14" x14ac:dyDescent="0.3">
      <c r="A889" s="135" t="s">
        <v>459</v>
      </c>
      <c r="B889" s="137" t="s">
        <v>422</v>
      </c>
      <c r="C889" s="137">
        <v>17</v>
      </c>
      <c r="D889" s="9">
        <v>10.848599999999999</v>
      </c>
      <c r="E889" s="8">
        <v>2.9257200000000001</v>
      </c>
      <c r="F889" s="8">
        <v>2.4789650000000001</v>
      </c>
      <c r="G889" s="18">
        <v>10.5</v>
      </c>
      <c r="H889" s="240">
        <v>0</v>
      </c>
      <c r="I889" s="240">
        <v>0</v>
      </c>
      <c r="J889" s="240">
        <v>0</v>
      </c>
      <c r="K889" s="240">
        <v>0</v>
      </c>
      <c r="L889" s="240">
        <v>0</v>
      </c>
      <c r="M889" s="240">
        <v>0</v>
      </c>
      <c r="N889" s="240">
        <v>0</v>
      </c>
    </row>
    <row r="890" spans="1:14" x14ac:dyDescent="0.3">
      <c r="A890" s="135" t="s">
        <v>459</v>
      </c>
      <c r="B890" s="137" t="s">
        <v>422</v>
      </c>
      <c r="C890" s="137">
        <v>18</v>
      </c>
      <c r="D890" s="9">
        <v>10.8504</v>
      </c>
      <c r="E890" s="8">
        <v>2.9257200000000001</v>
      </c>
      <c r="F890" s="8">
        <v>2.5820449999999999</v>
      </c>
      <c r="G890" s="18">
        <v>10.736110999999999</v>
      </c>
      <c r="H890" s="240">
        <v>0</v>
      </c>
      <c r="I890" s="240">
        <v>0</v>
      </c>
      <c r="J890" s="240">
        <v>0</v>
      </c>
      <c r="K890" s="240">
        <v>0</v>
      </c>
      <c r="L890" s="240">
        <v>0</v>
      </c>
      <c r="M890" s="240">
        <v>0</v>
      </c>
      <c r="N890" s="240">
        <v>0</v>
      </c>
    </row>
    <row r="891" spans="1:14" x14ac:dyDescent="0.3">
      <c r="A891" s="135" t="s">
        <v>459</v>
      </c>
      <c r="B891" s="137" t="s">
        <v>422</v>
      </c>
      <c r="C891" s="137">
        <v>19</v>
      </c>
      <c r="D891" s="9">
        <v>10.852010999999999</v>
      </c>
      <c r="E891" s="8">
        <v>2.9257200000000001</v>
      </c>
      <c r="F891" s="8">
        <v>2.674274</v>
      </c>
      <c r="G891" s="18">
        <v>10.960526</v>
      </c>
      <c r="H891" s="240">
        <v>0</v>
      </c>
      <c r="I891" s="240">
        <v>0</v>
      </c>
      <c r="J891" s="240">
        <v>0</v>
      </c>
      <c r="K891" s="240">
        <v>0</v>
      </c>
      <c r="L891" s="240">
        <v>0</v>
      </c>
      <c r="M891" s="240">
        <v>0</v>
      </c>
      <c r="N891" s="240">
        <v>0</v>
      </c>
    </row>
    <row r="892" spans="1:14" x14ac:dyDescent="0.3">
      <c r="A892" s="135" t="s">
        <v>459</v>
      </c>
      <c r="B892" s="137" t="s">
        <v>422</v>
      </c>
      <c r="C892" s="137">
        <v>20</v>
      </c>
      <c r="D892" s="9">
        <v>10.85346</v>
      </c>
      <c r="E892" s="8">
        <v>2.9257200000000001</v>
      </c>
      <c r="F892" s="8">
        <v>2.8266309999999999</v>
      </c>
      <c r="G892" s="18">
        <v>11.2</v>
      </c>
      <c r="H892" s="240">
        <v>0</v>
      </c>
      <c r="I892" s="240">
        <v>0</v>
      </c>
      <c r="J892" s="240">
        <v>0</v>
      </c>
      <c r="K892" s="240">
        <v>0</v>
      </c>
      <c r="L892" s="240">
        <v>0</v>
      </c>
      <c r="M892" s="240">
        <v>0</v>
      </c>
      <c r="N892" s="240">
        <v>0</v>
      </c>
    </row>
    <row r="893" spans="1:14" x14ac:dyDescent="0.3">
      <c r="A893" s="135" t="s">
        <v>459</v>
      </c>
      <c r="B893" s="137" t="s">
        <v>422</v>
      </c>
      <c r="C893" s="137">
        <v>21</v>
      </c>
      <c r="D893" s="9">
        <v>10.854771</v>
      </c>
      <c r="E893" s="8">
        <v>2.9257200000000001</v>
      </c>
      <c r="F893" s="8">
        <v>2.964477</v>
      </c>
      <c r="G893" s="18">
        <v>11.428571</v>
      </c>
      <c r="H893" s="240">
        <v>0</v>
      </c>
      <c r="I893" s="240">
        <v>0</v>
      </c>
      <c r="J893" s="240">
        <v>0</v>
      </c>
      <c r="K893" s="240">
        <v>0</v>
      </c>
      <c r="L893" s="240">
        <v>0</v>
      </c>
      <c r="M893" s="240">
        <v>0</v>
      </c>
      <c r="N893" s="240">
        <v>0</v>
      </c>
    </row>
    <row r="894" spans="1:14" x14ac:dyDescent="0.3">
      <c r="A894" s="135" t="s">
        <v>459</v>
      </c>
      <c r="B894" s="137" t="s">
        <v>422</v>
      </c>
      <c r="C894" s="137">
        <v>22</v>
      </c>
      <c r="D894" s="9">
        <v>10.855964</v>
      </c>
      <c r="E894" s="8">
        <v>2.9257200000000001</v>
      </c>
      <c r="F894" s="8">
        <v>3.0897920000000001</v>
      </c>
      <c r="G894" s="18">
        <v>11.647727</v>
      </c>
      <c r="H894" s="240">
        <v>0</v>
      </c>
      <c r="I894" s="240">
        <v>0</v>
      </c>
      <c r="J894" s="240">
        <v>0</v>
      </c>
      <c r="K894" s="240">
        <v>0</v>
      </c>
      <c r="L894" s="240">
        <v>0</v>
      </c>
      <c r="M894" s="240">
        <v>0</v>
      </c>
      <c r="N894" s="240">
        <v>0</v>
      </c>
    </row>
    <row r="895" spans="1:14" x14ac:dyDescent="0.3">
      <c r="A895" s="135" t="s">
        <v>459</v>
      </c>
      <c r="B895" s="137" t="s">
        <v>422</v>
      </c>
      <c r="C895" s="137">
        <v>23</v>
      </c>
      <c r="D895" s="9">
        <v>10.910554896335569</v>
      </c>
      <c r="E895" s="8">
        <v>2.9257200000000001</v>
      </c>
      <c r="F895" s="8">
        <v>3.1272000000000006</v>
      </c>
      <c r="G895" s="18">
        <v>12.406700000000001</v>
      </c>
      <c r="H895" s="240">
        <v>0</v>
      </c>
      <c r="I895" s="240">
        <v>0</v>
      </c>
      <c r="J895" s="240">
        <v>0</v>
      </c>
      <c r="K895" s="240">
        <v>0</v>
      </c>
      <c r="L895" s="240">
        <v>0</v>
      </c>
      <c r="M895" s="240">
        <v>0</v>
      </c>
      <c r="N895" s="240">
        <v>0</v>
      </c>
    </row>
    <row r="896" spans="1:14" x14ac:dyDescent="0.3">
      <c r="A896" s="135" t="s">
        <v>459</v>
      </c>
      <c r="B896" s="137" t="s">
        <v>422</v>
      </c>
      <c r="C896" s="137">
        <v>24</v>
      </c>
      <c r="D896" s="9">
        <v>10.916100414094338</v>
      </c>
      <c r="E896" s="8">
        <v>2.9257200000000001</v>
      </c>
      <c r="F896" s="8">
        <v>3.2311000000000001</v>
      </c>
      <c r="G896" s="18">
        <v>12.8185</v>
      </c>
      <c r="H896" s="240">
        <v>0</v>
      </c>
      <c r="I896" s="240">
        <v>0</v>
      </c>
      <c r="J896" s="240">
        <v>0</v>
      </c>
      <c r="K896" s="240">
        <v>0</v>
      </c>
      <c r="L896" s="240">
        <v>0</v>
      </c>
      <c r="M896" s="240">
        <v>0</v>
      </c>
      <c r="N896" s="240">
        <v>0</v>
      </c>
    </row>
    <row r="897" spans="1:14" x14ac:dyDescent="0.3">
      <c r="A897" s="135" t="s">
        <v>459</v>
      </c>
      <c r="B897" s="137" t="s">
        <v>422</v>
      </c>
      <c r="C897" s="137">
        <v>25</v>
      </c>
      <c r="D897" s="9">
        <v>10.921419519980327</v>
      </c>
      <c r="E897" s="8">
        <v>2.9257200000000001</v>
      </c>
      <c r="F897" s="8">
        <v>3.3336000000000001</v>
      </c>
      <c r="G897" s="18">
        <v>13.248100000000001</v>
      </c>
      <c r="H897" s="240">
        <v>0</v>
      </c>
      <c r="I897" s="240">
        <v>0</v>
      </c>
      <c r="J897" s="240">
        <v>0</v>
      </c>
      <c r="K897" s="240">
        <v>0</v>
      </c>
      <c r="L897" s="240">
        <v>0</v>
      </c>
      <c r="M897" s="240">
        <v>0</v>
      </c>
      <c r="N897" s="240">
        <v>0</v>
      </c>
    </row>
    <row r="898" spans="1:14" x14ac:dyDescent="0.3">
      <c r="A898" s="135" t="s">
        <v>459</v>
      </c>
      <c r="B898" s="137" t="s">
        <v>422</v>
      </c>
      <c r="C898" s="137">
        <v>26</v>
      </c>
      <c r="D898" s="9">
        <v>10.926529978904199</v>
      </c>
      <c r="E898" s="8">
        <v>2.9257200000000001</v>
      </c>
      <c r="F898" s="8">
        <v>3.4347000000000003</v>
      </c>
      <c r="G898" s="18">
        <v>13.695499999999999</v>
      </c>
      <c r="H898" s="240">
        <v>0</v>
      </c>
      <c r="I898" s="240">
        <v>0</v>
      </c>
      <c r="J898" s="240">
        <v>0</v>
      </c>
      <c r="K898" s="240">
        <v>0</v>
      </c>
      <c r="L898" s="240">
        <v>0</v>
      </c>
      <c r="M898" s="240">
        <v>0</v>
      </c>
      <c r="N898" s="240">
        <v>0</v>
      </c>
    </row>
    <row r="899" spans="1:14" x14ac:dyDescent="0.3">
      <c r="A899" s="135" t="s">
        <v>459</v>
      </c>
      <c r="B899" s="137" t="s">
        <v>422</v>
      </c>
      <c r="C899" s="137">
        <v>27</v>
      </c>
      <c r="D899" s="9">
        <v>10.931447543640365</v>
      </c>
      <c r="E899" s="8">
        <v>2.9257200000000001</v>
      </c>
      <c r="F899" s="8">
        <v>3.5344000000000002</v>
      </c>
      <c r="G899" s="18">
        <v>14.160699999999999</v>
      </c>
      <c r="H899" s="240">
        <v>0</v>
      </c>
      <c r="I899" s="240">
        <v>0</v>
      </c>
      <c r="J899" s="240">
        <v>0</v>
      </c>
      <c r="K899" s="240">
        <v>0</v>
      </c>
      <c r="L899" s="240">
        <v>0</v>
      </c>
      <c r="M899" s="240">
        <v>0</v>
      </c>
      <c r="N899" s="240">
        <v>0</v>
      </c>
    </row>
    <row r="900" spans="1:14" x14ac:dyDescent="0.3">
      <c r="A900" s="135" t="s">
        <v>459</v>
      </c>
      <c r="B900" s="137" t="s">
        <v>422</v>
      </c>
      <c r="C900" s="137">
        <v>28</v>
      </c>
      <c r="D900" s="9">
        <v>10.936186247675829</v>
      </c>
      <c r="E900" s="8">
        <v>2.9257200000000001</v>
      </c>
      <c r="F900" s="8">
        <v>3.6327000000000003</v>
      </c>
      <c r="G900" s="18">
        <v>14.643699999999999</v>
      </c>
      <c r="H900" s="240">
        <v>0</v>
      </c>
      <c r="I900" s="240">
        <v>0</v>
      </c>
      <c r="J900" s="240">
        <v>0</v>
      </c>
      <c r="K900" s="240">
        <v>0</v>
      </c>
      <c r="L900" s="240">
        <v>0</v>
      </c>
      <c r="M900" s="240">
        <v>0</v>
      </c>
      <c r="N900" s="240">
        <v>0</v>
      </c>
    </row>
    <row r="901" spans="1:14" x14ac:dyDescent="0.3">
      <c r="A901" s="135" t="s">
        <v>459</v>
      </c>
      <c r="B901" s="137" t="s">
        <v>422</v>
      </c>
      <c r="C901" s="137">
        <v>29</v>
      </c>
      <c r="D901" s="9">
        <v>10.940758646647238</v>
      </c>
      <c r="E901" s="8">
        <v>2.9257200000000001</v>
      </c>
      <c r="F901" s="8">
        <v>3.7296</v>
      </c>
      <c r="G901" s="18">
        <v>15.144499999999999</v>
      </c>
      <c r="H901" s="240">
        <v>0</v>
      </c>
      <c r="I901" s="240">
        <v>0</v>
      </c>
      <c r="J901" s="240">
        <v>0</v>
      </c>
      <c r="K901" s="240">
        <v>0</v>
      </c>
      <c r="L901" s="240">
        <v>0</v>
      </c>
      <c r="M901" s="240">
        <v>0</v>
      </c>
      <c r="N901" s="240">
        <v>0</v>
      </c>
    </row>
    <row r="902" spans="1:14" x14ac:dyDescent="0.3">
      <c r="A902" s="138" t="s">
        <v>459</v>
      </c>
      <c r="B902" s="137" t="s">
        <v>422</v>
      </c>
      <c r="C902" s="137">
        <v>30</v>
      </c>
      <c r="D902" s="9">
        <v>10.94517601883058</v>
      </c>
      <c r="E902" s="8">
        <v>2.9257200000000001</v>
      </c>
      <c r="F902" s="8">
        <v>3.8251000000000004</v>
      </c>
      <c r="G902" s="18">
        <v>15.6631</v>
      </c>
      <c r="H902" s="240">
        <v>0</v>
      </c>
      <c r="I902" s="240">
        <v>0</v>
      </c>
      <c r="J902" s="240">
        <v>0</v>
      </c>
      <c r="K902" s="240">
        <v>0</v>
      </c>
      <c r="L902" s="240">
        <v>0</v>
      </c>
      <c r="M902" s="240">
        <v>0</v>
      </c>
      <c r="N902" s="240">
        <v>0</v>
      </c>
    </row>
    <row r="903" spans="1:14" x14ac:dyDescent="0.3">
      <c r="A903" s="142" t="s">
        <v>460</v>
      </c>
      <c r="B903" s="143" t="s">
        <v>412</v>
      </c>
      <c r="C903" s="143">
        <v>1</v>
      </c>
      <c r="D903" s="9">
        <v>70.2</v>
      </c>
      <c r="E903" s="8">
        <v>0</v>
      </c>
      <c r="F903" s="8">
        <v>55.125</v>
      </c>
      <c r="G903" s="18">
        <v>5.75</v>
      </c>
      <c r="H903" s="240">
        <v>0</v>
      </c>
      <c r="I903" s="240">
        <v>0</v>
      </c>
      <c r="J903" s="240">
        <v>0</v>
      </c>
      <c r="K903" s="240">
        <v>0</v>
      </c>
      <c r="L903" s="240">
        <v>0</v>
      </c>
      <c r="M903" s="240">
        <v>0</v>
      </c>
      <c r="N903" s="240">
        <v>0</v>
      </c>
    </row>
    <row r="904" spans="1:14" x14ac:dyDescent="0.3">
      <c r="A904" s="135" t="s">
        <v>460</v>
      </c>
      <c r="B904" s="136" t="s">
        <v>412</v>
      </c>
      <c r="C904" s="137">
        <v>2</v>
      </c>
      <c r="D904" s="9">
        <v>70.2</v>
      </c>
      <c r="E904" s="8">
        <v>0</v>
      </c>
      <c r="F904" s="8">
        <v>55.125</v>
      </c>
      <c r="G904" s="18">
        <v>6</v>
      </c>
      <c r="H904" s="240">
        <v>0</v>
      </c>
      <c r="I904" s="240">
        <v>0</v>
      </c>
      <c r="J904" s="240">
        <v>0</v>
      </c>
      <c r="K904" s="240">
        <v>0</v>
      </c>
      <c r="L904" s="240">
        <v>0</v>
      </c>
      <c r="M904" s="240">
        <v>0</v>
      </c>
      <c r="N904" s="240">
        <v>0</v>
      </c>
    </row>
    <row r="905" spans="1:14" x14ac:dyDescent="0.3">
      <c r="A905" s="135" t="s">
        <v>460</v>
      </c>
      <c r="B905" s="137" t="s">
        <v>412</v>
      </c>
      <c r="C905" s="137">
        <v>3</v>
      </c>
      <c r="D905" s="9">
        <v>70.2</v>
      </c>
      <c r="E905" s="8">
        <v>0</v>
      </c>
      <c r="F905" s="8">
        <v>55.125</v>
      </c>
      <c r="G905" s="18">
        <v>6.5</v>
      </c>
      <c r="H905" s="240">
        <v>0</v>
      </c>
      <c r="I905" s="240">
        <v>0</v>
      </c>
      <c r="J905" s="240">
        <v>0</v>
      </c>
      <c r="K905" s="240">
        <v>0</v>
      </c>
      <c r="L905" s="240">
        <v>0</v>
      </c>
      <c r="M905" s="240">
        <v>0</v>
      </c>
      <c r="N905" s="240">
        <v>0</v>
      </c>
    </row>
    <row r="906" spans="1:14" x14ac:dyDescent="0.3">
      <c r="A906" s="135" t="s">
        <v>460</v>
      </c>
      <c r="B906" s="137" t="s">
        <v>412</v>
      </c>
      <c r="C906" s="137">
        <v>4</v>
      </c>
      <c r="D906" s="9">
        <v>70.2</v>
      </c>
      <c r="E906" s="8">
        <v>0</v>
      </c>
      <c r="F906" s="8">
        <v>55.125</v>
      </c>
      <c r="G906" s="18">
        <v>7</v>
      </c>
      <c r="H906" s="240">
        <v>0</v>
      </c>
      <c r="I906" s="240">
        <v>0</v>
      </c>
      <c r="J906" s="240">
        <v>0</v>
      </c>
      <c r="K906" s="240">
        <v>0</v>
      </c>
      <c r="L906" s="240">
        <v>0</v>
      </c>
      <c r="M906" s="240">
        <v>0</v>
      </c>
      <c r="N906" s="240">
        <v>0</v>
      </c>
    </row>
    <row r="907" spans="1:14" x14ac:dyDescent="0.3">
      <c r="A907" s="135" t="s">
        <v>460</v>
      </c>
      <c r="B907" s="137" t="s">
        <v>412</v>
      </c>
      <c r="C907" s="137">
        <v>5</v>
      </c>
      <c r="D907" s="9">
        <v>70.2</v>
      </c>
      <c r="E907" s="8">
        <v>0</v>
      </c>
      <c r="F907" s="8">
        <v>55.125</v>
      </c>
      <c r="G907" s="18">
        <v>7.5</v>
      </c>
      <c r="H907" s="240">
        <v>0</v>
      </c>
      <c r="I907" s="240">
        <v>0</v>
      </c>
      <c r="J907" s="240">
        <v>0</v>
      </c>
      <c r="K907" s="240">
        <v>0</v>
      </c>
      <c r="L907" s="240">
        <v>0</v>
      </c>
      <c r="M907" s="240">
        <v>0</v>
      </c>
      <c r="N907" s="240">
        <v>0</v>
      </c>
    </row>
    <row r="908" spans="1:14" x14ac:dyDescent="0.3">
      <c r="A908" s="135" t="s">
        <v>460</v>
      </c>
      <c r="B908" s="137" t="s">
        <v>412</v>
      </c>
      <c r="C908" s="137">
        <v>6</v>
      </c>
      <c r="D908" s="9">
        <v>70.2</v>
      </c>
      <c r="E908" s="8">
        <v>0</v>
      </c>
      <c r="F908" s="8">
        <v>58.1875</v>
      </c>
      <c r="G908" s="18">
        <v>8.125</v>
      </c>
      <c r="H908" s="240">
        <v>0</v>
      </c>
      <c r="I908" s="240">
        <v>0</v>
      </c>
      <c r="J908" s="240">
        <v>0</v>
      </c>
      <c r="K908" s="240">
        <v>0</v>
      </c>
      <c r="L908" s="240">
        <v>0</v>
      </c>
      <c r="M908" s="240">
        <v>0</v>
      </c>
      <c r="N908" s="240">
        <v>0</v>
      </c>
    </row>
    <row r="909" spans="1:14" x14ac:dyDescent="0.3">
      <c r="A909" s="135" t="s">
        <v>460</v>
      </c>
      <c r="B909" s="137" t="s">
        <v>412</v>
      </c>
      <c r="C909" s="137">
        <v>7</v>
      </c>
      <c r="D909" s="9">
        <v>70.2</v>
      </c>
      <c r="E909" s="8">
        <v>0</v>
      </c>
      <c r="F909" s="8">
        <v>60.375</v>
      </c>
      <c r="G909" s="18">
        <v>8.6785709999999998</v>
      </c>
      <c r="H909" s="240">
        <v>0</v>
      </c>
      <c r="I909" s="240">
        <v>0</v>
      </c>
      <c r="J909" s="240">
        <v>0</v>
      </c>
      <c r="K909" s="240">
        <v>0</v>
      </c>
      <c r="L909" s="240">
        <v>0</v>
      </c>
      <c r="M909" s="240">
        <v>0</v>
      </c>
      <c r="N909" s="240">
        <v>0</v>
      </c>
    </row>
    <row r="910" spans="1:14" x14ac:dyDescent="0.3">
      <c r="A910" s="135" t="s">
        <v>460</v>
      </c>
      <c r="B910" s="137" t="s">
        <v>412</v>
      </c>
      <c r="C910" s="137">
        <v>8</v>
      </c>
      <c r="D910" s="9">
        <v>70.2</v>
      </c>
      <c r="E910" s="8">
        <v>0</v>
      </c>
      <c r="F910" s="8">
        <v>62.015625</v>
      </c>
      <c r="G910" s="18">
        <v>9.21875</v>
      </c>
      <c r="H910" s="240">
        <v>0</v>
      </c>
      <c r="I910" s="240">
        <v>0</v>
      </c>
      <c r="J910" s="240">
        <v>0</v>
      </c>
      <c r="K910" s="240">
        <v>0</v>
      </c>
      <c r="L910" s="240">
        <v>0</v>
      </c>
      <c r="M910" s="240">
        <v>0</v>
      </c>
      <c r="N910" s="240">
        <v>0</v>
      </c>
    </row>
    <row r="911" spans="1:14" x14ac:dyDescent="0.3">
      <c r="A911" s="135" t="s">
        <v>460</v>
      </c>
      <c r="B911" s="137" t="s">
        <v>412</v>
      </c>
      <c r="C911" s="137">
        <v>9</v>
      </c>
      <c r="D911" s="9">
        <v>70.2</v>
      </c>
      <c r="E911" s="8">
        <v>0</v>
      </c>
      <c r="F911" s="8">
        <v>63.291666999999997</v>
      </c>
      <c r="G911" s="18">
        <v>9.6944440000000007</v>
      </c>
      <c r="H911" s="240">
        <v>0</v>
      </c>
      <c r="I911" s="240">
        <v>0</v>
      </c>
      <c r="J911" s="240">
        <v>0</v>
      </c>
      <c r="K911" s="240">
        <v>0</v>
      </c>
      <c r="L911" s="240">
        <v>0</v>
      </c>
      <c r="M911" s="240">
        <v>0</v>
      </c>
      <c r="N911" s="240">
        <v>0</v>
      </c>
    </row>
    <row r="912" spans="1:14" x14ac:dyDescent="0.3">
      <c r="A912" s="135" t="s">
        <v>460</v>
      </c>
      <c r="B912" s="137" t="s">
        <v>412</v>
      </c>
      <c r="C912" s="137">
        <v>10</v>
      </c>
      <c r="D912" s="9">
        <v>70.2</v>
      </c>
      <c r="E912" s="8">
        <v>0</v>
      </c>
      <c r="F912" s="8">
        <v>64.3125</v>
      </c>
      <c r="G912" s="18">
        <v>10.175000000000001</v>
      </c>
      <c r="H912" s="240">
        <v>0</v>
      </c>
      <c r="I912" s="240">
        <v>0</v>
      </c>
      <c r="J912" s="240">
        <v>0</v>
      </c>
      <c r="K912" s="240">
        <v>0</v>
      </c>
      <c r="L912" s="240">
        <v>0</v>
      </c>
      <c r="M912" s="240">
        <v>0</v>
      </c>
      <c r="N912" s="240">
        <v>0</v>
      </c>
    </row>
    <row r="913" spans="1:14" x14ac:dyDescent="0.3">
      <c r="A913" s="135" t="s">
        <v>460</v>
      </c>
      <c r="B913" s="137" t="s">
        <v>412</v>
      </c>
      <c r="C913" s="137">
        <v>11</v>
      </c>
      <c r="D913" s="9">
        <v>70.2</v>
      </c>
      <c r="E913" s="8">
        <v>0</v>
      </c>
      <c r="F913" s="8">
        <v>65.147727000000003</v>
      </c>
      <c r="G913" s="18">
        <v>10.636364</v>
      </c>
      <c r="H913" s="240">
        <v>0</v>
      </c>
      <c r="I913" s="240">
        <v>0</v>
      </c>
      <c r="J913" s="240">
        <v>0</v>
      </c>
      <c r="K913" s="240">
        <v>0</v>
      </c>
      <c r="L913" s="240">
        <v>0</v>
      </c>
      <c r="M913" s="240">
        <v>0</v>
      </c>
      <c r="N913" s="240">
        <v>0</v>
      </c>
    </row>
    <row r="914" spans="1:14" x14ac:dyDescent="0.3">
      <c r="A914" s="135" t="s">
        <v>460</v>
      </c>
      <c r="B914" s="137" t="s">
        <v>412</v>
      </c>
      <c r="C914" s="137">
        <v>12</v>
      </c>
      <c r="D914" s="9">
        <v>70.2</v>
      </c>
      <c r="E914" s="8">
        <v>0</v>
      </c>
      <c r="F914" s="8">
        <v>65.84375</v>
      </c>
      <c r="G914" s="18">
        <v>11.083333</v>
      </c>
      <c r="H914" s="240">
        <v>0</v>
      </c>
      <c r="I914" s="240">
        <v>0</v>
      </c>
      <c r="J914" s="240">
        <v>0</v>
      </c>
      <c r="K914" s="240">
        <v>0</v>
      </c>
      <c r="L914" s="240">
        <v>0</v>
      </c>
      <c r="M914" s="240">
        <v>0</v>
      </c>
      <c r="N914" s="240">
        <v>0</v>
      </c>
    </row>
    <row r="915" spans="1:14" x14ac:dyDescent="0.3">
      <c r="A915" s="135" t="s">
        <v>460</v>
      </c>
      <c r="B915" s="137" t="s">
        <v>412</v>
      </c>
      <c r="C915" s="137">
        <v>13</v>
      </c>
      <c r="D915" s="9">
        <v>70.2</v>
      </c>
      <c r="E915" s="8">
        <v>0</v>
      </c>
      <c r="F915" s="8">
        <v>66.432692000000003</v>
      </c>
      <c r="G915" s="18">
        <v>11.5</v>
      </c>
      <c r="H915" s="240">
        <v>0</v>
      </c>
      <c r="I915" s="240">
        <v>0</v>
      </c>
      <c r="J915" s="240">
        <v>0</v>
      </c>
      <c r="K915" s="240">
        <v>0</v>
      </c>
      <c r="L915" s="240">
        <v>0</v>
      </c>
      <c r="M915" s="240">
        <v>0</v>
      </c>
      <c r="N915" s="240">
        <v>0</v>
      </c>
    </row>
    <row r="916" spans="1:14" x14ac:dyDescent="0.3">
      <c r="A916" s="135" t="s">
        <v>460</v>
      </c>
      <c r="B916" s="137" t="s">
        <v>412</v>
      </c>
      <c r="C916" s="137">
        <v>14</v>
      </c>
      <c r="D916" s="9">
        <v>70.2</v>
      </c>
      <c r="E916" s="8">
        <v>0</v>
      </c>
      <c r="F916" s="8">
        <v>68.25</v>
      </c>
      <c r="G916" s="18">
        <v>11.982143000000001</v>
      </c>
      <c r="H916" s="240">
        <v>0</v>
      </c>
      <c r="I916" s="240">
        <v>0</v>
      </c>
      <c r="J916" s="240">
        <v>0</v>
      </c>
      <c r="K916" s="240">
        <v>0</v>
      </c>
      <c r="L916" s="240">
        <v>0</v>
      </c>
      <c r="M916" s="240">
        <v>0</v>
      </c>
      <c r="N916" s="240">
        <v>0</v>
      </c>
    </row>
    <row r="917" spans="1:14" x14ac:dyDescent="0.3">
      <c r="A917" s="135" t="s">
        <v>460</v>
      </c>
      <c r="B917" s="137" t="s">
        <v>412</v>
      </c>
      <c r="C917" s="137">
        <v>15</v>
      </c>
      <c r="D917" s="9">
        <v>70.2</v>
      </c>
      <c r="E917" s="8">
        <v>0</v>
      </c>
      <c r="F917" s="8">
        <v>69.825000000000003</v>
      </c>
      <c r="G917" s="18">
        <v>12.45</v>
      </c>
      <c r="H917" s="240">
        <v>0</v>
      </c>
      <c r="I917" s="240">
        <v>0</v>
      </c>
      <c r="J917" s="240">
        <v>0</v>
      </c>
      <c r="K917" s="240">
        <v>0</v>
      </c>
      <c r="L917" s="240">
        <v>0</v>
      </c>
      <c r="M917" s="240">
        <v>0</v>
      </c>
      <c r="N917" s="240">
        <v>0</v>
      </c>
    </row>
    <row r="918" spans="1:14" x14ac:dyDescent="0.3">
      <c r="A918" s="135" t="s">
        <v>460</v>
      </c>
      <c r="B918" s="137" t="s">
        <v>412</v>
      </c>
      <c r="C918" s="137">
        <v>16</v>
      </c>
      <c r="D918" s="9">
        <v>70.2</v>
      </c>
      <c r="E918" s="8">
        <v>0</v>
      </c>
      <c r="F918" s="8">
        <v>71.203125</v>
      </c>
      <c r="G918" s="18">
        <v>12.890625</v>
      </c>
      <c r="H918" s="240">
        <v>0</v>
      </c>
      <c r="I918" s="240">
        <v>0</v>
      </c>
      <c r="J918" s="240">
        <v>0</v>
      </c>
      <c r="K918" s="240">
        <v>0</v>
      </c>
      <c r="L918" s="240">
        <v>0</v>
      </c>
      <c r="M918" s="240">
        <v>0</v>
      </c>
      <c r="N918" s="240">
        <v>0</v>
      </c>
    </row>
    <row r="919" spans="1:14" x14ac:dyDescent="0.3">
      <c r="A919" s="135" t="s">
        <v>460</v>
      </c>
      <c r="B919" s="137" t="s">
        <v>412</v>
      </c>
      <c r="C919" s="137">
        <v>17</v>
      </c>
      <c r="D919" s="9">
        <v>70.2</v>
      </c>
      <c r="E919" s="8">
        <v>0</v>
      </c>
      <c r="F919" s="8">
        <v>72.419117999999997</v>
      </c>
      <c r="G919" s="18">
        <v>13.323529000000001</v>
      </c>
      <c r="H919" s="240">
        <v>0</v>
      </c>
      <c r="I919" s="240">
        <v>0</v>
      </c>
      <c r="J919" s="240">
        <v>0</v>
      </c>
      <c r="K919" s="240">
        <v>0</v>
      </c>
      <c r="L919" s="240">
        <v>0</v>
      </c>
      <c r="M919" s="240">
        <v>0</v>
      </c>
      <c r="N919" s="240">
        <v>0</v>
      </c>
    </row>
    <row r="920" spans="1:14" x14ac:dyDescent="0.3">
      <c r="A920" s="135" t="s">
        <v>460</v>
      </c>
      <c r="B920" s="137" t="s">
        <v>412</v>
      </c>
      <c r="C920" s="137">
        <v>18</v>
      </c>
      <c r="D920" s="9">
        <v>70.2</v>
      </c>
      <c r="E920" s="8">
        <v>0</v>
      </c>
      <c r="F920" s="8">
        <v>73.5</v>
      </c>
      <c r="G920" s="18">
        <v>13.75</v>
      </c>
      <c r="H920" s="240">
        <v>0</v>
      </c>
      <c r="I920" s="240">
        <v>0</v>
      </c>
      <c r="J920" s="240">
        <v>0</v>
      </c>
      <c r="K920" s="240">
        <v>0</v>
      </c>
      <c r="L920" s="240">
        <v>0</v>
      </c>
      <c r="M920" s="240">
        <v>0</v>
      </c>
      <c r="N920" s="240">
        <v>0</v>
      </c>
    </row>
    <row r="921" spans="1:14" x14ac:dyDescent="0.3">
      <c r="A921" s="135" t="s">
        <v>460</v>
      </c>
      <c r="B921" s="137" t="s">
        <v>412</v>
      </c>
      <c r="C921" s="137">
        <v>19</v>
      </c>
      <c r="D921" s="9">
        <v>70.2</v>
      </c>
      <c r="E921" s="8">
        <v>0</v>
      </c>
      <c r="F921" s="8">
        <v>74.467105000000004</v>
      </c>
      <c r="G921" s="18">
        <v>14.157895</v>
      </c>
      <c r="H921" s="240">
        <v>0</v>
      </c>
      <c r="I921" s="240">
        <v>0</v>
      </c>
      <c r="J921" s="240">
        <v>0</v>
      </c>
      <c r="K921" s="240">
        <v>0</v>
      </c>
      <c r="L921" s="240">
        <v>0</v>
      </c>
      <c r="M921" s="240">
        <v>0</v>
      </c>
      <c r="N921" s="240">
        <v>0</v>
      </c>
    </row>
    <row r="922" spans="1:14" x14ac:dyDescent="0.3">
      <c r="A922" s="135" t="s">
        <v>460</v>
      </c>
      <c r="B922" s="137" t="s">
        <v>412</v>
      </c>
      <c r="C922" s="137">
        <v>20</v>
      </c>
      <c r="D922" s="9">
        <v>70.2</v>
      </c>
      <c r="E922" s="8">
        <v>0</v>
      </c>
      <c r="F922" s="8">
        <v>75.337500000000006</v>
      </c>
      <c r="G922" s="18">
        <v>14.55</v>
      </c>
      <c r="H922" s="240">
        <v>0</v>
      </c>
      <c r="I922" s="240">
        <v>0</v>
      </c>
      <c r="J922" s="240">
        <v>0</v>
      </c>
      <c r="K922" s="240">
        <v>0</v>
      </c>
      <c r="L922" s="240">
        <v>0</v>
      </c>
      <c r="M922" s="240">
        <v>0</v>
      </c>
      <c r="N922" s="240">
        <v>0</v>
      </c>
    </row>
    <row r="923" spans="1:14" x14ac:dyDescent="0.3">
      <c r="A923" s="135" t="s">
        <v>460</v>
      </c>
      <c r="B923" s="137" t="s">
        <v>412</v>
      </c>
      <c r="C923" s="137">
        <v>21</v>
      </c>
      <c r="D923" s="9">
        <v>70.2</v>
      </c>
      <c r="E923" s="8">
        <v>0</v>
      </c>
      <c r="F923" s="8">
        <v>76.125</v>
      </c>
      <c r="G923" s="18">
        <v>14.928571</v>
      </c>
      <c r="H923" s="240">
        <v>0</v>
      </c>
      <c r="I923" s="240">
        <v>0</v>
      </c>
      <c r="J923" s="240">
        <v>0</v>
      </c>
      <c r="K923" s="240">
        <v>0</v>
      </c>
      <c r="L923" s="240">
        <v>0</v>
      </c>
      <c r="M923" s="240">
        <v>0</v>
      </c>
      <c r="N923" s="240">
        <v>0</v>
      </c>
    </row>
    <row r="924" spans="1:14" x14ac:dyDescent="0.3">
      <c r="A924" s="135" t="s">
        <v>460</v>
      </c>
      <c r="B924" s="137" t="s">
        <v>412</v>
      </c>
      <c r="C924" s="137">
        <v>22</v>
      </c>
      <c r="D924" s="9">
        <v>70.2</v>
      </c>
      <c r="E924" s="8">
        <v>0</v>
      </c>
      <c r="F924" s="8">
        <v>76.840908999999996</v>
      </c>
      <c r="G924" s="18">
        <v>15.306818</v>
      </c>
      <c r="H924" s="240">
        <v>0</v>
      </c>
      <c r="I924" s="240">
        <v>0</v>
      </c>
      <c r="J924" s="240">
        <v>0</v>
      </c>
      <c r="K924" s="240">
        <v>0</v>
      </c>
      <c r="L924" s="240">
        <v>0</v>
      </c>
      <c r="M924" s="240">
        <v>0</v>
      </c>
      <c r="N924" s="240">
        <v>0</v>
      </c>
    </row>
    <row r="925" spans="1:14" x14ac:dyDescent="0.3">
      <c r="A925" s="135" t="s">
        <v>460</v>
      </c>
      <c r="B925" s="137" t="s">
        <v>412</v>
      </c>
      <c r="C925" s="137">
        <v>23</v>
      </c>
      <c r="D925" s="9">
        <v>70.2</v>
      </c>
      <c r="E925" s="8">
        <v>0</v>
      </c>
      <c r="F925" s="8">
        <v>77.494564999999994</v>
      </c>
      <c r="G925" s="18">
        <v>15.673913000000001</v>
      </c>
      <c r="H925" s="240">
        <v>0</v>
      </c>
      <c r="I925" s="240">
        <v>0</v>
      </c>
      <c r="J925" s="240">
        <v>0</v>
      </c>
      <c r="K925" s="240">
        <v>0</v>
      </c>
      <c r="L925" s="240">
        <v>0</v>
      </c>
      <c r="M925" s="240">
        <v>0</v>
      </c>
      <c r="N925" s="240">
        <v>0</v>
      </c>
    </row>
    <row r="926" spans="1:14" x14ac:dyDescent="0.3">
      <c r="A926" s="135" t="s">
        <v>460</v>
      </c>
      <c r="B926" s="137" t="s">
        <v>412</v>
      </c>
      <c r="C926" s="137">
        <v>24</v>
      </c>
      <c r="D926" s="9">
        <v>70.2</v>
      </c>
      <c r="E926" s="8">
        <v>0</v>
      </c>
      <c r="F926" s="8">
        <v>78.09375</v>
      </c>
      <c r="G926" s="18">
        <v>16.03125</v>
      </c>
      <c r="H926" s="240">
        <v>0</v>
      </c>
      <c r="I926" s="240">
        <v>0</v>
      </c>
      <c r="J926" s="240">
        <v>0</v>
      </c>
      <c r="K926" s="240">
        <v>0</v>
      </c>
      <c r="L926" s="240">
        <v>0</v>
      </c>
      <c r="M926" s="240">
        <v>0</v>
      </c>
      <c r="N926" s="240">
        <v>0</v>
      </c>
    </row>
    <row r="927" spans="1:14" x14ac:dyDescent="0.3">
      <c r="A927" s="135" t="s">
        <v>460</v>
      </c>
      <c r="B927" s="137" t="s">
        <v>412</v>
      </c>
      <c r="C927" s="137">
        <v>25</v>
      </c>
      <c r="D927" s="9">
        <v>70.2</v>
      </c>
      <c r="E927" s="8">
        <v>0</v>
      </c>
      <c r="F927" s="8">
        <v>79.38</v>
      </c>
      <c r="G927" s="18">
        <v>16.440000000000001</v>
      </c>
      <c r="H927" s="240">
        <v>0</v>
      </c>
      <c r="I927" s="240">
        <v>0</v>
      </c>
      <c r="J927" s="240">
        <v>0</v>
      </c>
      <c r="K927" s="240">
        <v>0</v>
      </c>
      <c r="L927" s="240">
        <v>0</v>
      </c>
      <c r="M927" s="240">
        <v>0</v>
      </c>
      <c r="N927" s="240">
        <v>0</v>
      </c>
    </row>
    <row r="928" spans="1:14" x14ac:dyDescent="0.3">
      <c r="A928" s="135" t="s">
        <v>460</v>
      </c>
      <c r="B928" s="137" t="s">
        <v>412</v>
      </c>
      <c r="C928" s="137">
        <v>26</v>
      </c>
      <c r="D928" s="9">
        <v>70.2</v>
      </c>
      <c r="E928" s="8">
        <v>0</v>
      </c>
      <c r="F928" s="8">
        <v>80.567307999999997</v>
      </c>
      <c r="G928" s="18">
        <v>16.836538000000001</v>
      </c>
      <c r="H928" s="240">
        <v>0</v>
      </c>
      <c r="I928" s="240">
        <v>0</v>
      </c>
      <c r="J928" s="240">
        <v>0</v>
      </c>
      <c r="K928" s="240">
        <v>0</v>
      </c>
      <c r="L928" s="240">
        <v>0</v>
      </c>
      <c r="M928" s="240">
        <v>0</v>
      </c>
      <c r="N928" s="240">
        <v>0</v>
      </c>
    </row>
    <row r="929" spans="1:14" x14ac:dyDescent="0.3">
      <c r="A929" s="135" t="s">
        <v>460</v>
      </c>
      <c r="B929" s="137" t="s">
        <v>412</v>
      </c>
      <c r="C929" s="137">
        <v>27</v>
      </c>
      <c r="D929" s="9">
        <v>70.2</v>
      </c>
      <c r="E929" s="8">
        <v>0</v>
      </c>
      <c r="F929" s="8">
        <v>81.666667000000004</v>
      </c>
      <c r="G929" s="18">
        <v>17.222221999999999</v>
      </c>
      <c r="H929" s="240">
        <v>0</v>
      </c>
      <c r="I929" s="240">
        <v>0</v>
      </c>
      <c r="J929" s="240">
        <v>0</v>
      </c>
      <c r="K929" s="240">
        <v>0</v>
      </c>
      <c r="L929" s="240">
        <v>0</v>
      </c>
      <c r="M929" s="240">
        <v>0</v>
      </c>
      <c r="N929" s="240">
        <v>0</v>
      </c>
    </row>
    <row r="930" spans="1:14" x14ac:dyDescent="0.3">
      <c r="A930" s="135" t="s">
        <v>460</v>
      </c>
      <c r="B930" s="137" t="s">
        <v>412</v>
      </c>
      <c r="C930" s="137">
        <v>28</v>
      </c>
      <c r="D930" s="9">
        <v>70.2</v>
      </c>
      <c r="E930" s="8">
        <v>0</v>
      </c>
      <c r="F930" s="8">
        <v>82.6875</v>
      </c>
      <c r="G930" s="18">
        <v>17.607143000000001</v>
      </c>
      <c r="H930" s="240">
        <v>0</v>
      </c>
      <c r="I930" s="240">
        <v>0</v>
      </c>
      <c r="J930" s="240">
        <v>0</v>
      </c>
      <c r="K930" s="240">
        <v>0</v>
      </c>
      <c r="L930" s="240">
        <v>0</v>
      </c>
      <c r="M930" s="240">
        <v>0</v>
      </c>
      <c r="N930" s="240">
        <v>0</v>
      </c>
    </row>
    <row r="931" spans="1:14" x14ac:dyDescent="0.3">
      <c r="A931" s="135" t="s">
        <v>460</v>
      </c>
      <c r="B931" s="137" t="s">
        <v>412</v>
      </c>
      <c r="C931" s="137">
        <v>29</v>
      </c>
      <c r="D931" s="9">
        <v>70.2</v>
      </c>
      <c r="E931" s="8">
        <v>0</v>
      </c>
      <c r="F931" s="8">
        <v>83.637930999999995</v>
      </c>
      <c r="G931" s="18">
        <v>17.974138</v>
      </c>
      <c r="H931" s="240">
        <v>0</v>
      </c>
      <c r="I931" s="240">
        <v>0</v>
      </c>
      <c r="J931" s="240">
        <v>0</v>
      </c>
      <c r="K931" s="240">
        <v>0</v>
      </c>
      <c r="L931" s="240">
        <v>0</v>
      </c>
      <c r="M931" s="240">
        <v>0</v>
      </c>
      <c r="N931" s="240">
        <v>0</v>
      </c>
    </row>
    <row r="932" spans="1:14" x14ac:dyDescent="0.3">
      <c r="A932" s="138" t="s">
        <v>460</v>
      </c>
      <c r="B932" s="137" t="s">
        <v>412</v>
      </c>
      <c r="C932" s="137">
        <v>30</v>
      </c>
      <c r="D932" s="9">
        <v>70.2</v>
      </c>
      <c r="E932" s="8">
        <v>0</v>
      </c>
      <c r="F932" s="8">
        <v>84.525000000000006</v>
      </c>
      <c r="G932" s="18">
        <v>18.341667000000001</v>
      </c>
      <c r="H932" s="240">
        <v>0</v>
      </c>
      <c r="I932" s="240">
        <v>0</v>
      </c>
      <c r="J932" s="240">
        <v>0</v>
      </c>
      <c r="K932" s="240">
        <v>0</v>
      </c>
      <c r="L932" s="240">
        <v>0</v>
      </c>
      <c r="M932" s="240">
        <v>0</v>
      </c>
      <c r="N932" s="240">
        <v>0</v>
      </c>
    </row>
    <row r="933" spans="1:14" x14ac:dyDescent="0.3">
      <c r="A933" s="142" t="s">
        <v>460</v>
      </c>
      <c r="B933" s="143" t="s">
        <v>413</v>
      </c>
      <c r="C933" s="143">
        <v>1</v>
      </c>
      <c r="D933" s="9">
        <v>70.2</v>
      </c>
      <c r="E933" s="8">
        <v>19.285</v>
      </c>
      <c r="F933" s="8">
        <v>5.4880000000000004</v>
      </c>
      <c r="G933" s="18">
        <v>12</v>
      </c>
      <c r="H933" s="240">
        <v>0</v>
      </c>
      <c r="I933" s="240">
        <v>0</v>
      </c>
      <c r="J933" s="240">
        <v>0</v>
      </c>
      <c r="K933" s="240">
        <v>0</v>
      </c>
      <c r="L933" s="240">
        <v>0</v>
      </c>
      <c r="M933" s="240">
        <v>0</v>
      </c>
      <c r="N933" s="240">
        <v>0</v>
      </c>
    </row>
    <row r="934" spans="1:14" x14ac:dyDescent="0.3">
      <c r="A934" s="135" t="s">
        <v>460</v>
      </c>
      <c r="B934" s="136" t="s">
        <v>413</v>
      </c>
      <c r="C934" s="137">
        <v>2</v>
      </c>
      <c r="D934" s="9">
        <v>70.2</v>
      </c>
      <c r="E934" s="8">
        <v>20.947500000000002</v>
      </c>
      <c r="F934" s="8">
        <v>5.4880000000000004</v>
      </c>
      <c r="G934" s="18">
        <v>12.125</v>
      </c>
      <c r="H934" s="240">
        <v>0</v>
      </c>
      <c r="I934" s="240">
        <v>0</v>
      </c>
      <c r="J934" s="240">
        <v>0</v>
      </c>
      <c r="K934" s="240">
        <v>0</v>
      </c>
      <c r="L934" s="240">
        <v>0</v>
      </c>
      <c r="M934" s="240">
        <v>0</v>
      </c>
      <c r="N934" s="240">
        <v>0</v>
      </c>
    </row>
    <row r="935" spans="1:14" x14ac:dyDescent="0.3">
      <c r="A935" s="135" t="s">
        <v>460</v>
      </c>
      <c r="B935" s="137" t="s">
        <v>413</v>
      </c>
      <c r="C935" s="137">
        <v>3</v>
      </c>
      <c r="D935" s="9">
        <v>70.2</v>
      </c>
      <c r="E935" s="8">
        <v>21.501667000000001</v>
      </c>
      <c r="F935" s="8">
        <v>7.0279999999999996</v>
      </c>
      <c r="G935" s="18">
        <v>13.166667</v>
      </c>
      <c r="H935" s="240">
        <v>0</v>
      </c>
      <c r="I935" s="240">
        <v>0</v>
      </c>
      <c r="J935" s="240">
        <v>0</v>
      </c>
      <c r="K935" s="240">
        <v>0</v>
      </c>
      <c r="L935" s="240">
        <v>0</v>
      </c>
      <c r="M935" s="240">
        <v>0</v>
      </c>
      <c r="N935" s="240">
        <v>0</v>
      </c>
    </row>
    <row r="936" spans="1:14" x14ac:dyDescent="0.3">
      <c r="A936" s="135" t="s">
        <v>460</v>
      </c>
      <c r="B936" s="137" t="s">
        <v>413</v>
      </c>
      <c r="C936" s="137">
        <v>4</v>
      </c>
      <c r="D936" s="9">
        <v>70.2</v>
      </c>
      <c r="E936" s="8">
        <v>21.778749999999999</v>
      </c>
      <c r="F936" s="8">
        <v>7.798</v>
      </c>
      <c r="G936" s="18">
        <v>14.1875</v>
      </c>
      <c r="H936" s="240">
        <v>0</v>
      </c>
      <c r="I936" s="240">
        <v>0</v>
      </c>
      <c r="J936" s="240">
        <v>0</v>
      </c>
      <c r="K936" s="240">
        <v>0</v>
      </c>
      <c r="L936" s="240">
        <v>0</v>
      </c>
      <c r="M936" s="240">
        <v>0</v>
      </c>
      <c r="N936" s="240">
        <v>0</v>
      </c>
    </row>
    <row r="937" spans="1:14" x14ac:dyDescent="0.3">
      <c r="A937" s="135" t="s">
        <v>460</v>
      </c>
      <c r="B937" s="137" t="s">
        <v>413</v>
      </c>
      <c r="C937" s="137">
        <v>5</v>
      </c>
      <c r="D937" s="9">
        <v>70.2</v>
      </c>
      <c r="E937" s="8">
        <v>21.945</v>
      </c>
      <c r="F937" s="8">
        <v>8.26</v>
      </c>
      <c r="G937" s="18">
        <v>15.25</v>
      </c>
      <c r="H937" s="240">
        <v>0</v>
      </c>
      <c r="I937" s="240">
        <v>0</v>
      </c>
      <c r="J937" s="240">
        <v>0</v>
      </c>
      <c r="K937" s="240">
        <v>0</v>
      </c>
      <c r="L937" s="240">
        <v>0</v>
      </c>
      <c r="M937" s="240">
        <v>0</v>
      </c>
      <c r="N937" s="240">
        <v>0</v>
      </c>
    </row>
    <row r="938" spans="1:14" x14ac:dyDescent="0.3">
      <c r="A938" s="135" t="s">
        <v>460</v>
      </c>
      <c r="B938" s="137" t="s">
        <v>413</v>
      </c>
      <c r="C938" s="137">
        <v>6</v>
      </c>
      <c r="D938" s="9">
        <v>70.2</v>
      </c>
      <c r="E938" s="8">
        <v>22.055833</v>
      </c>
      <c r="F938" s="8">
        <v>9.5713329999999992</v>
      </c>
      <c r="G938" s="18">
        <v>16.333333</v>
      </c>
      <c r="H938" s="240">
        <v>0</v>
      </c>
      <c r="I938" s="240">
        <v>0</v>
      </c>
      <c r="J938" s="240">
        <v>0</v>
      </c>
      <c r="K938" s="240">
        <v>0</v>
      </c>
      <c r="L938" s="240">
        <v>0</v>
      </c>
      <c r="M938" s="240">
        <v>0</v>
      </c>
      <c r="N938" s="240">
        <v>0</v>
      </c>
    </row>
    <row r="939" spans="1:14" x14ac:dyDescent="0.3">
      <c r="A939" s="135" t="s">
        <v>460</v>
      </c>
      <c r="B939" s="137" t="s">
        <v>413</v>
      </c>
      <c r="C939" s="137">
        <v>7</v>
      </c>
      <c r="D939" s="9">
        <v>70.2</v>
      </c>
      <c r="E939" s="8">
        <v>22.135000000000002</v>
      </c>
      <c r="F939" s="8">
        <v>10.507999999999999</v>
      </c>
      <c r="G939" s="18">
        <v>17.321428999999998</v>
      </c>
      <c r="H939" s="240">
        <v>0</v>
      </c>
      <c r="I939" s="240">
        <v>0</v>
      </c>
      <c r="J939" s="240">
        <v>0</v>
      </c>
      <c r="K939" s="240">
        <v>0</v>
      </c>
      <c r="L939" s="240">
        <v>0</v>
      </c>
      <c r="M939" s="240">
        <v>0</v>
      </c>
      <c r="N939" s="240">
        <v>0</v>
      </c>
    </row>
    <row r="940" spans="1:14" x14ac:dyDescent="0.3">
      <c r="A940" s="135" t="s">
        <v>460</v>
      </c>
      <c r="B940" s="137" t="s">
        <v>413</v>
      </c>
      <c r="C940" s="137">
        <v>8</v>
      </c>
      <c r="D940" s="9">
        <v>70.2</v>
      </c>
      <c r="E940" s="8">
        <v>22.194375000000001</v>
      </c>
      <c r="F940" s="8">
        <v>11.2105</v>
      </c>
      <c r="G940" s="18">
        <v>18.3125</v>
      </c>
      <c r="H940" s="240">
        <v>0</v>
      </c>
      <c r="I940" s="240">
        <v>0</v>
      </c>
      <c r="J940" s="240">
        <v>0</v>
      </c>
      <c r="K940" s="240">
        <v>0</v>
      </c>
      <c r="L940" s="240">
        <v>0</v>
      </c>
      <c r="M940" s="240">
        <v>0</v>
      </c>
      <c r="N940" s="240">
        <v>0</v>
      </c>
    </row>
    <row r="941" spans="1:14" x14ac:dyDescent="0.3">
      <c r="A941" s="135" t="s">
        <v>460</v>
      </c>
      <c r="B941" s="137" t="s">
        <v>413</v>
      </c>
      <c r="C941" s="137">
        <v>9</v>
      </c>
      <c r="D941" s="9">
        <v>70.2</v>
      </c>
      <c r="E941" s="8">
        <v>22.240556000000002</v>
      </c>
      <c r="F941" s="8">
        <v>11.756888999999999</v>
      </c>
      <c r="G941" s="18">
        <v>19.222221999999999</v>
      </c>
      <c r="H941" s="240">
        <v>0</v>
      </c>
      <c r="I941" s="240">
        <v>0</v>
      </c>
      <c r="J941" s="240">
        <v>0</v>
      </c>
      <c r="K941" s="240">
        <v>0</v>
      </c>
      <c r="L941" s="240">
        <v>0</v>
      </c>
      <c r="M941" s="240">
        <v>0</v>
      </c>
      <c r="N941" s="240">
        <v>0</v>
      </c>
    </row>
    <row r="942" spans="1:14" x14ac:dyDescent="0.3">
      <c r="A942" s="135" t="s">
        <v>460</v>
      </c>
      <c r="B942" s="137" t="s">
        <v>413</v>
      </c>
      <c r="C942" s="137">
        <v>10</v>
      </c>
      <c r="D942" s="9">
        <v>70.2</v>
      </c>
      <c r="E942" s="8">
        <v>22.2775</v>
      </c>
      <c r="F942" s="8">
        <v>12.936</v>
      </c>
      <c r="G942" s="18">
        <v>20.175000000000001</v>
      </c>
      <c r="H942" s="240">
        <v>0</v>
      </c>
      <c r="I942" s="240">
        <v>0</v>
      </c>
      <c r="J942" s="240">
        <v>0</v>
      </c>
      <c r="K942" s="240">
        <v>0</v>
      </c>
      <c r="L942" s="240">
        <v>0</v>
      </c>
      <c r="M942" s="240">
        <v>0</v>
      </c>
      <c r="N942" s="240">
        <v>0</v>
      </c>
    </row>
    <row r="943" spans="1:14" x14ac:dyDescent="0.3">
      <c r="A943" s="135" t="s">
        <v>460</v>
      </c>
      <c r="B943" s="137" t="s">
        <v>413</v>
      </c>
      <c r="C943" s="137">
        <v>11</v>
      </c>
      <c r="D943" s="9">
        <v>70.2</v>
      </c>
      <c r="E943" s="8">
        <v>22.307727</v>
      </c>
      <c r="F943" s="8">
        <v>13.900727</v>
      </c>
      <c r="G943" s="18">
        <v>21.090909</v>
      </c>
      <c r="H943" s="240">
        <v>0</v>
      </c>
      <c r="I943" s="240">
        <v>0</v>
      </c>
      <c r="J943" s="240">
        <v>0</v>
      </c>
      <c r="K943" s="240">
        <v>0</v>
      </c>
      <c r="L943" s="240">
        <v>0</v>
      </c>
      <c r="M943" s="240">
        <v>0</v>
      </c>
      <c r="N943" s="240">
        <v>0</v>
      </c>
    </row>
    <row r="944" spans="1:14" x14ac:dyDescent="0.3">
      <c r="A944" s="135" t="s">
        <v>460</v>
      </c>
      <c r="B944" s="137" t="s">
        <v>413</v>
      </c>
      <c r="C944" s="137">
        <v>12</v>
      </c>
      <c r="D944" s="9">
        <v>70.2</v>
      </c>
      <c r="E944" s="8">
        <v>22.332916999999998</v>
      </c>
      <c r="F944" s="8">
        <v>14.704667000000001</v>
      </c>
      <c r="G944" s="18">
        <v>21.979167</v>
      </c>
      <c r="H944" s="240">
        <v>0</v>
      </c>
      <c r="I944" s="240">
        <v>0</v>
      </c>
      <c r="J944" s="240">
        <v>0</v>
      </c>
      <c r="K944" s="240">
        <v>0</v>
      </c>
      <c r="L944" s="240">
        <v>0</v>
      </c>
      <c r="M944" s="240">
        <v>0</v>
      </c>
      <c r="N944" s="240">
        <v>0</v>
      </c>
    </row>
    <row r="945" spans="1:14" x14ac:dyDescent="0.3">
      <c r="A945" s="135" t="s">
        <v>460</v>
      </c>
      <c r="B945" s="137" t="s">
        <v>413</v>
      </c>
      <c r="C945" s="137">
        <v>13</v>
      </c>
      <c r="D945" s="9">
        <v>70.2</v>
      </c>
      <c r="E945" s="8">
        <v>22.354230999999999</v>
      </c>
      <c r="F945" s="8">
        <v>15.384923000000001</v>
      </c>
      <c r="G945" s="18">
        <v>22.807691999999999</v>
      </c>
      <c r="H945" s="240">
        <v>0</v>
      </c>
      <c r="I945" s="240">
        <v>0</v>
      </c>
      <c r="J945" s="240">
        <v>0</v>
      </c>
      <c r="K945" s="240">
        <v>0</v>
      </c>
      <c r="L945" s="240">
        <v>0</v>
      </c>
      <c r="M945" s="240">
        <v>0</v>
      </c>
      <c r="N945" s="240">
        <v>0</v>
      </c>
    </row>
    <row r="946" spans="1:14" x14ac:dyDescent="0.3">
      <c r="A946" s="135" t="s">
        <v>460</v>
      </c>
      <c r="B946" s="137" t="s">
        <v>413</v>
      </c>
      <c r="C946" s="137">
        <v>14</v>
      </c>
      <c r="D946" s="9">
        <v>70.2</v>
      </c>
      <c r="E946" s="8">
        <v>22.372499999999999</v>
      </c>
      <c r="F946" s="8">
        <v>15.968</v>
      </c>
      <c r="G946" s="18">
        <v>23.625</v>
      </c>
      <c r="H946" s="240">
        <v>0</v>
      </c>
      <c r="I946" s="240">
        <v>0</v>
      </c>
      <c r="J946" s="240">
        <v>0</v>
      </c>
      <c r="K946" s="240">
        <v>0</v>
      </c>
      <c r="L946" s="240">
        <v>0</v>
      </c>
      <c r="M946" s="240">
        <v>0</v>
      </c>
      <c r="N946" s="240">
        <v>0</v>
      </c>
    </row>
    <row r="947" spans="1:14" x14ac:dyDescent="0.3">
      <c r="A947" s="135" t="s">
        <v>460</v>
      </c>
      <c r="B947" s="137" t="s">
        <v>413</v>
      </c>
      <c r="C947" s="137">
        <v>15</v>
      </c>
      <c r="D947" s="9">
        <v>70.2</v>
      </c>
      <c r="E947" s="8">
        <v>22.388332999999999</v>
      </c>
      <c r="F947" s="8">
        <v>17.061333000000001</v>
      </c>
      <c r="G947" s="18">
        <v>24.483332999999998</v>
      </c>
      <c r="H947" s="240">
        <v>0</v>
      </c>
      <c r="I947" s="240">
        <v>0</v>
      </c>
      <c r="J947" s="240">
        <v>0</v>
      </c>
      <c r="K947" s="240">
        <v>0</v>
      </c>
      <c r="L947" s="240">
        <v>0</v>
      </c>
      <c r="M947" s="240">
        <v>0</v>
      </c>
      <c r="N947" s="240">
        <v>0</v>
      </c>
    </row>
    <row r="948" spans="1:14" x14ac:dyDescent="0.3">
      <c r="A948" s="135" t="s">
        <v>460</v>
      </c>
      <c r="B948" s="137" t="s">
        <v>413</v>
      </c>
      <c r="C948" s="137">
        <v>16</v>
      </c>
      <c r="D948" s="9">
        <v>70.2</v>
      </c>
      <c r="E948" s="8">
        <v>22.402187000000001</v>
      </c>
      <c r="F948" s="8">
        <v>18.018000000000001</v>
      </c>
      <c r="G948" s="18">
        <v>25.328125</v>
      </c>
      <c r="H948" s="240">
        <v>0</v>
      </c>
      <c r="I948" s="240">
        <v>0</v>
      </c>
      <c r="J948" s="240">
        <v>0</v>
      </c>
      <c r="K948" s="240">
        <v>0</v>
      </c>
      <c r="L948" s="240">
        <v>0</v>
      </c>
      <c r="M948" s="240">
        <v>0</v>
      </c>
      <c r="N948" s="240">
        <v>0</v>
      </c>
    </row>
    <row r="949" spans="1:14" x14ac:dyDescent="0.3">
      <c r="A949" s="135" t="s">
        <v>460</v>
      </c>
      <c r="B949" s="137" t="s">
        <v>413</v>
      </c>
      <c r="C949" s="137">
        <v>17</v>
      </c>
      <c r="D949" s="9">
        <v>70.2</v>
      </c>
      <c r="E949" s="8">
        <v>22.414411999999999</v>
      </c>
      <c r="F949" s="8">
        <v>18.862117999999999</v>
      </c>
      <c r="G949" s="18">
        <v>26.132352999999998</v>
      </c>
      <c r="H949" s="240">
        <v>0</v>
      </c>
      <c r="I949" s="240">
        <v>0</v>
      </c>
      <c r="J949" s="240">
        <v>0</v>
      </c>
      <c r="K949" s="240">
        <v>0</v>
      </c>
      <c r="L949" s="240">
        <v>0</v>
      </c>
      <c r="M949" s="240">
        <v>0</v>
      </c>
      <c r="N949" s="240">
        <v>0</v>
      </c>
    </row>
    <row r="950" spans="1:14" x14ac:dyDescent="0.3">
      <c r="A950" s="135" t="s">
        <v>460</v>
      </c>
      <c r="B950" s="137" t="s">
        <v>413</v>
      </c>
      <c r="C950" s="137">
        <v>18</v>
      </c>
      <c r="D950" s="9">
        <v>70.2</v>
      </c>
      <c r="E950" s="8">
        <v>22.425277999999999</v>
      </c>
      <c r="F950" s="8">
        <v>19.612444</v>
      </c>
      <c r="G950" s="18">
        <v>26.916667</v>
      </c>
      <c r="H950" s="240">
        <v>0</v>
      </c>
      <c r="I950" s="240">
        <v>0</v>
      </c>
      <c r="J950" s="240">
        <v>0</v>
      </c>
      <c r="K950" s="240">
        <v>0</v>
      </c>
      <c r="L950" s="240">
        <v>0</v>
      </c>
      <c r="M950" s="240">
        <v>0</v>
      </c>
      <c r="N950" s="240">
        <v>0</v>
      </c>
    </row>
    <row r="951" spans="1:14" x14ac:dyDescent="0.3">
      <c r="A951" s="135" t="s">
        <v>460</v>
      </c>
      <c r="B951" s="137" t="s">
        <v>413</v>
      </c>
      <c r="C951" s="137">
        <v>19</v>
      </c>
      <c r="D951" s="9">
        <v>70.2</v>
      </c>
      <c r="E951" s="8">
        <v>22.434999999999999</v>
      </c>
      <c r="F951" s="8">
        <v>20.283788999999999</v>
      </c>
      <c r="G951" s="18">
        <v>27.671053000000001</v>
      </c>
      <c r="H951" s="240">
        <v>0</v>
      </c>
      <c r="I951" s="240">
        <v>0</v>
      </c>
      <c r="J951" s="240">
        <v>0</v>
      </c>
      <c r="K951" s="240">
        <v>0</v>
      </c>
      <c r="L951" s="240">
        <v>0</v>
      </c>
      <c r="M951" s="240">
        <v>0</v>
      </c>
      <c r="N951" s="240">
        <v>0</v>
      </c>
    </row>
    <row r="952" spans="1:14" x14ac:dyDescent="0.3">
      <c r="A952" s="135" t="s">
        <v>460</v>
      </c>
      <c r="B952" s="137" t="s">
        <v>413</v>
      </c>
      <c r="C952" s="137">
        <v>20</v>
      </c>
      <c r="D952" s="9">
        <v>70.2</v>
      </c>
      <c r="E952" s="8">
        <v>22.443750000000001</v>
      </c>
      <c r="F952" s="8">
        <v>20.888000000000002</v>
      </c>
      <c r="G952" s="18">
        <v>28.412500000000001</v>
      </c>
      <c r="H952" s="240">
        <v>0</v>
      </c>
      <c r="I952" s="240">
        <v>0</v>
      </c>
      <c r="J952" s="240">
        <v>0</v>
      </c>
      <c r="K952" s="240">
        <v>0</v>
      </c>
      <c r="L952" s="240">
        <v>0</v>
      </c>
      <c r="M952" s="240">
        <v>0</v>
      </c>
      <c r="N952" s="240">
        <v>0</v>
      </c>
    </row>
    <row r="953" spans="1:14" x14ac:dyDescent="0.3">
      <c r="A953" s="135" t="s">
        <v>460</v>
      </c>
      <c r="B953" s="137" t="s">
        <v>413</v>
      </c>
      <c r="C953" s="137">
        <v>21</v>
      </c>
      <c r="D953" s="9">
        <v>70.2</v>
      </c>
      <c r="E953" s="8">
        <v>22.451667</v>
      </c>
      <c r="F953" s="8">
        <v>21.921333000000001</v>
      </c>
      <c r="G953" s="18">
        <v>29.214286000000001</v>
      </c>
      <c r="H953" s="240">
        <v>0</v>
      </c>
      <c r="I953" s="240">
        <v>0</v>
      </c>
      <c r="J953" s="240">
        <v>0</v>
      </c>
      <c r="K953" s="240">
        <v>0</v>
      </c>
      <c r="L953" s="240">
        <v>0</v>
      </c>
      <c r="M953" s="240">
        <v>0</v>
      </c>
      <c r="N953" s="240">
        <v>0</v>
      </c>
    </row>
    <row r="954" spans="1:14" x14ac:dyDescent="0.3">
      <c r="A954" s="135" t="s">
        <v>460</v>
      </c>
      <c r="B954" s="137" t="s">
        <v>413</v>
      </c>
      <c r="C954" s="137">
        <v>22</v>
      </c>
      <c r="D954" s="9">
        <v>70.2</v>
      </c>
      <c r="E954" s="8">
        <v>22.458863999999998</v>
      </c>
      <c r="F954" s="8">
        <v>22.860727000000001</v>
      </c>
      <c r="G954" s="18">
        <v>29.988636</v>
      </c>
      <c r="H954" s="240">
        <v>0</v>
      </c>
      <c r="I954" s="240">
        <v>0</v>
      </c>
      <c r="J954" s="240">
        <v>0</v>
      </c>
      <c r="K954" s="240">
        <v>0</v>
      </c>
      <c r="L954" s="240">
        <v>0</v>
      </c>
      <c r="M954" s="240">
        <v>0</v>
      </c>
      <c r="N954" s="240">
        <v>0</v>
      </c>
    </row>
    <row r="955" spans="1:14" x14ac:dyDescent="0.3">
      <c r="A955" s="135" t="s">
        <v>460</v>
      </c>
      <c r="B955" s="137" t="s">
        <v>413</v>
      </c>
      <c r="C955" s="137">
        <v>23</v>
      </c>
      <c r="D955" s="9">
        <v>70.2</v>
      </c>
      <c r="E955" s="8">
        <v>22.465434999999999</v>
      </c>
      <c r="F955" s="8">
        <v>23.718434999999999</v>
      </c>
      <c r="G955" s="18">
        <v>30.739129999999999</v>
      </c>
      <c r="H955" s="240">
        <v>0</v>
      </c>
      <c r="I955" s="240">
        <v>0</v>
      </c>
      <c r="J955" s="240">
        <v>0</v>
      </c>
      <c r="K955" s="240">
        <v>0</v>
      </c>
      <c r="L955" s="240">
        <v>0</v>
      </c>
      <c r="M955" s="240">
        <v>0</v>
      </c>
      <c r="N955" s="240">
        <v>0</v>
      </c>
    </row>
    <row r="956" spans="1:14" x14ac:dyDescent="0.3">
      <c r="A956" s="135" t="s">
        <v>460</v>
      </c>
      <c r="B956" s="137" t="s">
        <v>413</v>
      </c>
      <c r="C956" s="137">
        <v>24</v>
      </c>
      <c r="D956" s="9">
        <v>70.2</v>
      </c>
      <c r="E956" s="8">
        <v>22.471457999999998</v>
      </c>
      <c r="F956" s="8">
        <v>24.504667000000001</v>
      </c>
      <c r="G956" s="18">
        <v>31.479167</v>
      </c>
      <c r="H956" s="240">
        <v>0</v>
      </c>
      <c r="I956" s="240">
        <v>0</v>
      </c>
      <c r="J956" s="240">
        <v>0</v>
      </c>
      <c r="K956" s="240">
        <v>0</v>
      </c>
      <c r="L956" s="240">
        <v>0</v>
      </c>
      <c r="M956" s="240">
        <v>0</v>
      </c>
      <c r="N956" s="240">
        <v>0</v>
      </c>
    </row>
    <row r="957" spans="1:14" x14ac:dyDescent="0.3">
      <c r="A957" s="135" t="s">
        <v>460</v>
      </c>
      <c r="B957" s="137" t="s">
        <v>413</v>
      </c>
      <c r="C957" s="137">
        <v>25</v>
      </c>
      <c r="D957" s="9">
        <v>70.2</v>
      </c>
      <c r="E957" s="8">
        <v>22.477</v>
      </c>
      <c r="F957" s="8">
        <v>25.228000000000002</v>
      </c>
      <c r="G957" s="18">
        <v>32.200000000000003</v>
      </c>
      <c r="H957" s="240">
        <v>0</v>
      </c>
      <c r="I957" s="240">
        <v>0</v>
      </c>
      <c r="J957" s="240">
        <v>0</v>
      </c>
      <c r="K957" s="240">
        <v>0</v>
      </c>
      <c r="L957" s="240">
        <v>0</v>
      </c>
      <c r="M957" s="240">
        <v>0</v>
      </c>
      <c r="N957" s="240">
        <v>0</v>
      </c>
    </row>
    <row r="958" spans="1:14" x14ac:dyDescent="0.3">
      <c r="A958" s="135" t="s">
        <v>460</v>
      </c>
      <c r="B958" s="137" t="s">
        <v>413</v>
      </c>
      <c r="C958" s="137">
        <v>26</v>
      </c>
      <c r="D958" s="9">
        <v>70.2</v>
      </c>
      <c r="E958" s="8">
        <v>22.482115</v>
      </c>
      <c r="F958" s="8">
        <v>25.895692</v>
      </c>
      <c r="G958" s="18">
        <v>32.903846000000001</v>
      </c>
      <c r="H958" s="240">
        <v>0</v>
      </c>
      <c r="I958" s="240">
        <v>0</v>
      </c>
      <c r="J958" s="240">
        <v>0</v>
      </c>
      <c r="K958" s="240">
        <v>0</v>
      </c>
      <c r="L958" s="240">
        <v>0</v>
      </c>
      <c r="M958" s="240">
        <v>0</v>
      </c>
      <c r="N958" s="240">
        <v>0</v>
      </c>
    </row>
    <row r="959" spans="1:14" x14ac:dyDescent="0.3">
      <c r="A959" s="135" t="s">
        <v>460</v>
      </c>
      <c r="B959" s="137" t="s">
        <v>413</v>
      </c>
      <c r="C959" s="137">
        <v>27</v>
      </c>
      <c r="D959" s="9">
        <v>70.2</v>
      </c>
      <c r="E959" s="8">
        <v>22.486851999999999</v>
      </c>
      <c r="F959" s="8">
        <v>26.513926000000001</v>
      </c>
      <c r="G959" s="18">
        <v>33.601852000000001</v>
      </c>
      <c r="H959" s="240">
        <v>0</v>
      </c>
      <c r="I959" s="240">
        <v>0</v>
      </c>
      <c r="J959" s="240">
        <v>0</v>
      </c>
      <c r="K959" s="240">
        <v>0</v>
      </c>
      <c r="L959" s="240">
        <v>0</v>
      </c>
      <c r="M959" s="240">
        <v>0</v>
      </c>
      <c r="N959" s="240">
        <v>0</v>
      </c>
    </row>
    <row r="960" spans="1:14" x14ac:dyDescent="0.3">
      <c r="A960" s="135" t="s">
        <v>460</v>
      </c>
      <c r="B960" s="137" t="s">
        <v>413</v>
      </c>
      <c r="C960" s="137">
        <v>28</v>
      </c>
      <c r="D960" s="9">
        <v>70.2</v>
      </c>
      <c r="E960" s="8">
        <v>22.491250000000001</v>
      </c>
      <c r="F960" s="8">
        <v>27.503</v>
      </c>
      <c r="G960" s="18">
        <v>34.348213999999999</v>
      </c>
      <c r="H960" s="240">
        <v>0</v>
      </c>
      <c r="I960" s="240">
        <v>0</v>
      </c>
      <c r="J960" s="240">
        <v>0</v>
      </c>
      <c r="K960" s="240">
        <v>0</v>
      </c>
      <c r="L960" s="240">
        <v>0</v>
      </c>
      <c r="M960" s="240">
        <v>0</v>
      </c>
      <c r="N960" s="240">
        <v>0</v>
      </c>
    </row>
    <row r="961" spans="1:14" x14ac:dyDescent="0.3">
      <c r="A961" s="135" t="s">
        <v>460</v>
      </c>
      <c r="B961" s="137" t="s">
        <v>413</v>
      </c>
      <c r="C961" s="137">
        <v>29</v>
      </c>
      <c r="D961" s="9">
        <v>70.2</v>
      </c>
      <c r="E961" s="8">
        <v>22.495345</v>
      </c>
      <c r="F961" s="8">
        <v>28.423862</v>
      </c>
      <c r="G961" s="18">
        <v>35.086207000000002</v>
      </c>
      <c r="H961" s="240">
        <v>0</v>
      </c>
      <c r="I961" s="240">
        <v>0</v>
      </c>
      <c r="J961" s="240">
        <v>0</v>
      </c>
      <c r="K961" s="240">
        <v>0</v>
      </c>
      <c r="L961" s="240">
        <v>0</v>
      </c>
      <c r="M961" s="240">
        <v>0</v>
      </c>
      <c r="N961" s="240">
        <v>0</v>
      </c>
    </row>
    <row r="962" spans="1:14" x14ac:dyDescent="0.3">
      <c r="A962" s="138" t="s">
        <v>460</v>
      </c>
      <c r="B962" s="137" t="s">
        <v>413</v>
      </c>
      <c r="C962" s="137">
        <v>30</v>
      </c>
      <c r="D962" s="9">
        <v>70.2</v>
      </c>
      <c r="E962" s="8">
        <v>22.499167</v>
      </c>
      <c r="F962" s="8">
        <v>29.283332999999999</v>
      </c>
      <c r="G962" s="18">
        <v>35.808332999999998</v>
      </c>
      <c r="H962" s="240">
        <v>0</v>
      </c>
      <c r="I962" s="240">
        <v>0</v>
      </c>
      <c r="J962" s="240">
        <v>0</v>
      </c>
      <c r="K962" s="240">
        <v>0</v>
      </c>
      <c r="L962" s="240">
        <v>0</v>
      </c>
      <c r="M962" s="240">
        <v>0</v>
      </c>
      <c r="N962" s="240">
        <v>0</v>
      </c>
    </row>
    <row r="963" spans="1:14" x14ac:dyDescent="0.3">
      <c r="A963" s="142" t="s">
        <v>460</v>
      </c>
      <c r="B963" s="143" t="s">
        <v>414</v>
      </c>
      <c r="C963" s="143">
        <v>1</v>
      </c>
      <c r="D963" s="9">
        <v>28.664999999999999</v>
      </c>
      <c r="E963" s="8">
        <v>2.9257200000000001</v>
      </c>
      <c r="F963" s="8">
        <v>0.41176800000000002</v>
      </c>
      <c r="G963" s="18">
        <v>11.25</v>
      </c>
      <c r="H963" s="240">
        <v>0</v>
      </c>
      <c r="I963" s="240">
        <v>0</v>
      </c>
      <c r="J963" s="240">
        <v>0</v>
      </c>
      <c r="K963" s="240">
        <v>0</v>
      </c>
      <c r="L963" s="240">
        <v>0</v>
      </c>
      <c r="M963" s="240">
        <v>0</v>
      </c>
      <c r="N963" s="240">
        <v>0</v>
      </c>
    </row>
    <row r="964" spans="1:14" x14ac:dyDescent="0.3">
      <c r="A964" s="135" t="s">
        <v>460</v>
      </c>
      <c r="B964" s="136" t="s">
        <v>414</v>
      </c>
      <c r="C964" s="137">
        <v>2</v>
      </c>
      <c r="D964" s="9">
        <v>31.9725</v>
      </c>
      <c r="E964" s="8">
        <v>3.2507999999999999</v>
      </c>
      <c r="F964" s="8">
        <v>0.73007599999999995</v>
      </c>
      <c r="G964" s="18">
        <v>10.25</v>
      </c>
      <c r="H964" s="240">
        <v>0</v>
      </c>
      <c r="I964" s="240">
        <v>0</v>
      </c>
      <c r="J964" s="240">
        <v>0</v>
      </c>
      <c r="K964" s="240">
        <v>0</v>
      </c>
      <c r="L964" s="240">
        <v>0</v>
      </c>
      <c r="M964" s="240">
        <v>0</v>
      </c>
      <c r="N964" s="240">
        <v>0</v>
      </c>
    </row>
    <row r="965" spans="1:14" x14ac:dyDescent="0.3">
      <c r="A965" s="135" t="s">
        <v>460</v>
      </c>
      <c r="B965" s="137" t="s">
        <v>414</v>
      </c>
      <c r="C965" s="137">
        <v>3</v>
      </c>
      <c r="D965" s="9">
        <v>33.075000000000003</v>
      </c>
      <c r="E965" s="8">
        <v>3.3591600000000001</v>
      </c>
      <c r="F965" s="8">
        <v>0.920157</v>
      </c>
      <c r="G965" s="18">
        <v>10.5</v>
      </c>
      <c r="H965" s="240">
        <v>0</v>
      </c>
      <c r="I965" s="240">
        <v>0</v>
      </c>
      <c r="J965" s="240">
        <v>0</v>
      </c>
      <c r="K965" s="240">
        <v>0</v>
      </c>
      <c r="L965" s="240">
        <v>0</v>
      </c>
      <c r="M965" s="240">
        <v>0</v>
      </c>
      <c r="N965" s="240">
        <v>0</v>
      </c>
    </row>
    <row r="966" spans="1:14" x14ac:dyDescent="0.3">
      <c r="A966" s="135" t="s">
        <v>460</v>
      </c>
      <c r="B966" s="137" t="s">
        <v>414</v>
      </c>
      <c r="C966" s="137">
        <v>4</v>
      </c>
      <c r="D966" s="9">
        <v>33.626249999999999</v>
      </c>
      <c r="E966" s="8">
        <v>3.4133399999999998</v>
      </c>
      <c r="F966" s="8">
        <v>1.14523</v>
      </c>
      <c r="G966" s="18">
        <v>11</v>
      </c>
      <c r="H966" s="240">
        <v>0</v>
      </c>
      <c r="I966" s="240">
        <v>0</v>
      </c>
      <c r="J966" s="240">
        <v>0</v>
      </c>
      <c r="K966" s="240">
        <v>0</v>
      </c>
      <c r="L966" s="240">
        <v>0</v>
      </c>
      <c r="M966" s="240">
        <v>0</v>
      </c>
      <c r="N966" s="240">
        <v>0</v>
      </c>
    </row>
    <row r="967" spans="1:14" x14ac:dyDescent="0.3">
      <c r="A967" s="135" t="s">
        <v>460</v>
      </c>
      <c r="B967" s="137" t="s">
        <v>414</v>
      </c>
      <c r="C967" s="137">
        <v>5</v>
      </c>
      <c r="D967" s="9">
        <v>33.957000000000001</v>
      </c>
      <c r="E967" s="8">
        <v>3.4458479999999998</v>
      </c>
      <c r="F967" s="8">
        <v>1.301464</v>
      </c>
      <c r="G967" s="18">
        <v>11.55</v>
      </c>
      <c r="H967" s="240">
        <v>0</v>
      </c>
      <c r="I967" s="240">
        <v>0</v>
      </c>
      <c r="J967" s="240">
        <v>0</v>
      </c>
      <c r="K967" s="240">
        <v>0</v>
      </c>
      <c r="L967" s="240">
        <v>0</v>
      </c>
      <c r="M967" s="240">
        <v>0</v>
      </c>
      <c r="N967" s="240">
        <v>0</v>
      </c>
    </row>
    <row r="968" spans="1:14" x14ac:dyDescent="0.3">
      <c r="A968" s="135" t="s">
        <v>460</v>
      </c>
      <c r="B968" s="137" t="s">
        <v>414</v>
      </c>
      <c r="C968" s="137">
        <v>6</v>
      </c>
      <c r="D968" s="9">
        <v>34.177500000000002</v>
      </c>
      <c r="E968" s="8">
        <v>3.4675199999999999</v>
      </c>
      <c r="F968" s="8">
        <v>1.561337</v>
      </c>
      <c r="G968" s="18">
        <v>12.125</v>
      </c>
      <c r="H968" s="240">
        <v>0</v>
      </c>
      <c r="I968" s="240">
        <v>0</v>
      </c>
      <c r="J968" s="240">
        <v>0</v>
      </c>
      <c r="K968" s="240">
        <v>0</v>
      </c>
      <c r="L968" s="240">
        <v>0</v>
      </c>
      <c r="M968" s="240">
        <v>0</v>
      </c>
      <c r="N968" s="240">
        <v>0</v>
      </c>
    </row>
    <row r="969" spans="1:14" x14ac:dyDescent="0.3">
      <c r="A969" s="135" t="s">
        <v>460</v>
      </c>
      <c r="B969" s="137" t="s">
        <v>414</v>
      </c>
      <c r="C969" s="137">
        <v>7</v>
      </c>
      <c r="D969" s="9">
        <v>34.335000000000001</v>
      </c>
      <c r="E969" s="8">
        <v>3.4830000000000001</v>
      </c>
      <c r="F969" s="8">
        <v>1.746961</v>
      </c>
      <c r="G969" s="18">
        <v>12.714286</v>
      </c>
      <c r="H969" s="240">
        <v>0</v>
      </c>
      <c r="I969" s="240">
        <v>0</v>
      </c>
      <c r="J969" s="240">
        <v>0</v>
      </c>
      <c r="K969" s="240">
        <v>0</v>
      </c>
      <c r="L969" s="240">
        <v>0</v>
      </c>
      <c r="M969" s="240">
        <v>0</v>
      </c>
      <c r="N969" s="240">
        <v>0</v>
      </c>
    </row>
    <row r="970" spans="1:14" x14ac:dyDescent="0.3">
      <c r="A970" s="135" t="s">
        <v>460</v>
      </c>
      <c r="B970" s="137" t="s">
        <v>414</v>
      </c>
      <c r="C970" s="137">
        <v>8</v>
      </c>
      <c r="D970" s="9">
        <v>34.453125</v>
      </c>
      <c r="E970" s="8">
        <v>3.4946100000000002</v>
      </c>
      <c r="F970" s="8">
        <v>1.904841</v>
      </c>
      <c r="G970" s="18">
        <v>13.28125</v>
      </c>
      <c r="H970" s="240">
        <v>0</v>
      </c>
      <c r="I970" s="240">
        <v>0</v>
      </c>
      <c r="J970" s="240">
        <v>0</v>
      </c>
      <c r="K970" s="240">
        <v>0</v>
      </c>
      <c r="L970" s="240">
        <v>0</v>
      </c>
      <c r="M970" s="240">
        <v>0</v>
      </c>
      <c r="N970" s="240">
        <v>0</v>
      </c>
    </row>
    <row r="971" spans="1:14" x14ac:dyDescent="0.3">
      <c r="A971" s="135" t="s">
        <v>460</v>
      </c>
      <c r="B971" s="137" t="s">
        <v>414</v>
      </c>
      <c r="C971" s="137">
        <v>9</v>
      </c>
      <c r="D971" s="9">
        <v>34.545000000000002</v>
      </c>
      <c r="E971" s="8">
        <v>3.5036399999999999</v>
      </c>
      <c r="F971" s="8">
        <v>2.0276360000000002</v>
      </c>
      <c r="G971" s="18">
        <v>13.833333</v>
      </c>
      <c r="H971" s="240">
        <v>0</v>
      </c>
      <c r="I971" s="240">
        <v>0</v>
      </c>
      <c r="J971" s="240">
        <v>0</v>
      </c>
      <c r="K971" s="240">
        <v>0</v>
      </c>
      <c r="L971" s="240">
        <v>0</v>
      </c>
      <c r="M971" s="240">
        <v>0</v>
      </c>
      <c r="N971" s="240">
        <v>0</v>
      </c>
    </row>
    <row r="972" spans="1:14" x14ac:dyDescent="0.3">
      <c r="A972" s="135" t="s">
        <v>460</v>
      </c>
      <c r="B972" s="137" t="s">
        <v>414</v>
      </c>
      <c r="C972" s="137">
        <v>10</v>
      </c>
      <c r="D972" s="9">
        <v>34.618499999999997</v>
      </c>
      <c r="E972" s="8">
        <v>3.5108640000000002</v>
      </c>
      <c r="F972" s="8">
        <v>2.214969</v>
      </c>
      <c r="G972" s="18">
        <v>14.375</v>
      </c>
      <c r="H972" s="240">
        <v>0</v>
      </c>
      <c r="I972" s="240">
        <v>0</v>
      </c>
      <c r="J972" s="240">
        <v>0</v>
      </c>
      <c r="K972" s="240">
        <v>0</v>
      </c>
      <c r="L972" s="240">
        <v>0</v>
      </c>
      <c r="M972" s="240">
        <v>0</v>
      </c>
      <c r="N972" s="240">
        <v>0</v>
      </c>
    </row>
    <row r="973" spans="1:14" x14ac:dyDescent="0.3">
      <c r="A973" s="135" t="s">
        <v>460</v>
      </c>
      <c r="B973" s="137" t="s">
        <v>414</v>
      </c>
      <c r="C973" s="137">
        <v>11</v>
      </c>
      <c r="D973" s="9">
        <v>34.678635999999997</v>
      </c>
      <c r="E973" s="8">
        <v>3.516775</v>
      </c>
      <c r="F973" s="8">
        <v>2.4076439999999999</v>
      </c>
      <c r="G973" s="18">
        <v>14.909091</v>
      </c>
      <c r="H973" s="240">
        <v>0</v>
      </c>
      <c r="I973" s="240">
        <v>0</v>
      </c>
      <c r="J973" s="240">
        <v>0</v>
      </c>
      <c r="K973" s="240">
        <v>0</v>
      </c>
      <c r="L973" s="240">
        <v>0</v>
      </c>
      <c r="M973" s="240">
        <v>0</v>
      </c>
      <c r="N973" s="240">
        <v>0</v>
      </c>
    </row>
    <row r="974" spans="1:14" x14ac:dyDescent="0.3">
      <c r="A974" s="135" t="s">
        <v>460</v>
      </c>
      <c r="B974" s="137" t="s">
        <v>414</v>
      </c>
      <c r="C974" s="137">
        <v>12</v>
      </c>
      <c r="D974" s="9">
        <v>34.728749999999998</v>
      </c>
      <c r="E974" s="8">
        <v>3.5217000000000001</v>
      </c>
      <c r="F974" s="8">
        <v>2.5682070000000001</v>
      </c>
      <c r="G974" s="18">
        <v>15.4375</v>
      </c>
      <c r="H974" s="240">
        <v>0</v>
      </c>
      <c r="I974" s="240">
        <v>0</v>
      </c>
      <c r="J974" s="240">
        <v>0</v>
      </c>
      <c r="K974" s="240">
        <v>0</v>
      </c>
      <c r="L974" s="240">
        <v>0</v>
      </c>
      <c r="M974" s="240">
        <v>0</v>
      </c>
      <c r="N974" s="240">
        <v>0</v>
      </c>
    </row>
    <row r="975" spans="1:14" x14ac:dyDescent="0.3">
      <c r="A975" s="135" t="s">
        <v>460</v>
      </c>
      <c r="B975" s="137" t="s">
        <v>414</v>
      </c>
      <c r="C975" s="137">
        <v>13</v>
      </c>
      <c r="D975" s="9">
        <v>34.771154000000003</v>
      </c>
      <c r="E975" s="8">
        <v>3.525868</v>
      </c>
      <c r="F975" s="8">
        <v>2.7040679999999999</v>
      </c>
      <c r="G975" s="18">
        <v>15.923076999999999</v>
      </c>
      <c r="H975" s="240">
        <v>0</v>
      </c>
      <c r="I975" s="240">
        <v>0</v>
      </c>
      <c r="J975" s="240">
        <v>0</v>
      </c>
      <c r="K975" s="240">
        <v>0</v>
      </c>
      <c r="L975" s="240">
        <v>0</v>
      </c>
      <c r="M975" s="240">
        <v>0</v>
      </c>
      <c r="N975" s="240">
        <v>0</v>
      </c>
    </row>
    <row r="976" spans="1:14" x14ac:dyDescent="0.3">
      <c r="A976" s="135" t="s">
        <v>460</v>
      </c>
      <c r="B976" s="137" t="s">
        <v>414</v>
      </c>
      <c r="C976" s="137">
        <v>14</v>
      </c>
      <c r="D976" s="9">
        <v>34.807499999999997</v>
      </c>
      <c r="E976" s="8">
        <v>3.5294400000000001</v>
      </c>
      <c r="F976" s="8">
        <v>2.9195929999999999</v>
      </c>
      <c r="G976" s="18">
        <v>16.428571000000002</v>
      </c>
      <c r="H976" s="240">
        <v>0</v>
      </c>
      <c r="I976" s="240">
        <v>0</v>
      </c>
      <c r="J976" s="240">
        <v>0</v>
      </c>
      <c r="K976" s="240">
        <v>0</v>
      </c>
      <c r="L976" s="240">
        <v>0</v>
      </c>
      <c r="M976" s="240">
        <v>0</v>
      </c>
      <c r="N976" s="240">
        <v>0</v>
      </c>
    </row>
    <row r="977" spans="1:14" x14ac:dyDescent="0.3">
      <c r="A977" s="135" t="s">
        <v>460</v>
      </c>
      <c r="B977" s="137" t="s">
        <v>414</v>
      </c>
      <c r="C977" s="137">
        <v>15</v>
      </c>
      <c r="D977" s="9">
        <v>34.838999999999999</v>
      </c>
      <c r="E977" s="8">
        <v>3.5325359999999999</v>
      </c>
      <c r="F977" s="8">
        <v>3.1063800000000001</v>
      </c>
      <c r="G977" s="18">
        <v>16.916667</v>
      </c>
      <c r="H977" s="240">
        <v>0</v>
      </c>
      <c r="I977" s="240">
        <v>0</v>
      </c>
      <c r="J977" s="240">
        <v>0</v>
      </c>
      <c r="K977" s="240">
        <v>0</v>
      </c>
      <c r="L977" s="240">
        <v>0</v>
      </c>
      <c r="M977" s="240">
        <v>0</v>
      </c>
      <c r="N977" s="240">
        <v>0</v>
      </c>
    </row>
    <row r="978" spans="1:14" x14ac:dyDescent="0.3">
      <c r="A978" s="135" t="s">
        <v>460</v>
      </c>
      <c r="B978" s="137" t="s">
        <v>414</v>
      </c>
      <c r="C978" s="137">
        <v>16</v>
      </c>
      <c r="D978" s="9">
        <v>35.668184872913727</v>
      </c>
      <c r="E978" s="8">
        <v>3.6046192685033187</v>
      </c>
      <c r="F978" s="8">
        <v>3.1680850425977147</v>
      </c>
      <c r="G978" s="18">
        <v>17.869199999999999</v>
      </c>
      <c r="H978" s="240">
        <v>0</v>
      </c>
      <c r="I978" s="240">
        <v>0</v>
      </c>
      <c r="J978" s="240">
        <v>0</v>
      </c>
      <c r="K978" s="240">
        <v>0</v>
      </c>
      <c r="L978" s="240">
        <v>0</v>
      </c>
      <c r="M978" s="240">
        <v>0</v>
      </c>
      <c r="N978" s="240">
        <v>0</v>
      </c>
    </row>
    <row r="979" spans="1:14" x14ac:dyDescent="0.3">
      <c r="A979" s="135" t="s">
        <v>460</v>
      </c>
      <c r="B979" s="137" t="s">
        <v>414</v>
      </c>
      <c r="C979" s="137">
        <v>17</v>
      </c>
      <c r="D979" s="9">
        <v>35.797512270474975</v>
      </c>
      <c r="E979" s="8">
        <v>3.6160773220266247</v>
      </c>
      <c r="F979" s="8">
        <v>3.3116814168056061</v>
      </c>
      <c r="G979" s="18">
        <v>18.575800000000001</v>
      </c>
      <c r="H979" s="240">
        <v>0</v>
      </c>
      <c r="I979" s="240">
        <v>0</v>
      </c>
      <c r="J979" s="240">
        <v>0</v>
      </c>
      <c r="K979" s="240">
        <v>0</v>
      </c>
      <c r="L979" s="240">
        <v>0</v>
      </c>
      <c r="M979" s="240">
        <v>0</v>
      </c>
      <c r="N979" s="240">
        <v>0</v>
      </c>
    </row>
    <row r="980" spans="1:14" x14ac:dyDescent="0.3">
      <c r="A980" s="135" t="s">
        <v>460</v>
      </c>
      <c r="B980" s="137" t="s">
        <v>414</v>
      </c>
      <c r="C980" s="137">
        <v>18</v>
      </c>
      <c r="D980" s="9">
        <v>35.919874826663531</v>
      </c>
      <c r="E980" s="8">
        <v>3.6268802622423753</v>
      </c>
      <c r="F980" s="8">
        <v>3.453023670777001</v>
      </c>
      <c r="G980" s="18">
        <v>19.3078</v>
      </c>
      <c r="H980" s="240">
        <v>0</v>
      </c>
      <c r="I980" s="240">
        <v>0</v>
      </c>
      <c r="J980" s="240">
        <v>0</v>
      </c>
      <c r="K980" s="240">
        <v>0</v>
      </c>
      <c r="L980" s="240">
        <v>0</v>
      </c>
      <c r="M980" s="240">
        <v>0</v>
      </c>
      <c r="N980" s="240">
        <v>0</v>
      </c>
    </row>
    <row r="981" spans="1:14" x14ac:dyDescent="0.3">
      <c r="A981" s="135" t="s">
        <v>460</v>
      </c>
      <c r="B981" s="137" t="s">
        <v>414</v>
      </c>
      <c r="C981" s="137">
        <v>19</v>
      </c>
      <c r="D981" s="9">
        <v>36.036004791616669</v>
      </c>
      <c r="E981" s="8">
        <v>3.6370989670624572</v>
      </c>
      <c r="F981" s="8">
        <v>3.592269680496575</v>
      </c>
      <c r="G981" s="18">
        <v>20.065200000000001</v>
      </c>
      <c r="H981" s="240">
        <v>0</v>
      </c>
      <c r="I981" s="240">
        <v>0</v>
      </c>
      <c r="J981" s="240">
        <v>0</v>
      </c>
      <c r="K981" s="240">
        <v>0</v>
      </c>
      <c r="L981" s="240">
        <v>0</v>
      </c>
      <c r="M981" s="240">
        <v>0</v>
      </c>
      <c r="N981" s="240">
        <v>0</v>
      </c>
    </row>
    <row r="982" spans="1:14" x14ac:dyDescent="0.3">
      <c r="A982" s="135" t="s">
        <v>460</v>
      </c>
      <c r="B982" s="137" t="s">
        <v>414</v>
      </c>
      <c r="C982" s="137">
        <v>20</v>
      </c>
      <c r="D982" s="9">
        <v>36.146523723844886</v>
      </c>
      <c r="E982" s="8">
        <v>3.6467933997017044</v>
      </c>
      <c r="F982" s="8">
        <v>3.7295585765616366</v>
      </c>
      <c r="G982" s="18">
        <v>20.847999999999999</v>
      </c>
      <c r="H982" s="240">
        <v>0</v>
      </c>
      <c r="I982" s="240">
        <v>0</v>
      </c>
      <c r="J982" s="240">
        <v>0</v>
      </c>
      <c r="K982" s="240">
        <v>0</v>
      </c>
      <c r="L982" s="240">
        <v>0</v>
      </c>
      <c r="M982" s="240">
        <v>0</v>
      </c>
      <c r="N982" s="240">
        <v>0</v>
      </c>
    </row>
    <row r="983" spans="1:14" x14ac:dyDescent="0.3">
      <c r="A983" s="135" t="s">
        <v>460</v>
      </c>
      <c r="B983" s="137" t="s">
        <v>414</v>
      </c>
      <c r="C983" s="137">
        <v>21</v>
      </c>
      <c r="D983" s="9">
        <v>36.251963821972026</v>
      </c>
      <c r="E983" s="8">
        <v>3.6560147407297272</v>
      </c>
      <c r="F983" s="8">
        <v>3.8650137925417152</v>
      </c>
      <c r="G983" s="18">
        <v>21.656199999999998</v>
      </c>
      <c r="H983" s="240">
        <v>0</v>
      </c>
      <c r="I983" s="240">
        <v>0</v>
      </c>
      <c r="J983" s="240">
        <v>0</v>
      </c>
      <c r="K983" s="240">
        <v>0</v>
      </c>
      <c r="L983" s="240">
        <v>0</v>
      </c>
      <c r="M983" s="240">
        <v>0</v>
      </c>
      <c r="N983" s="240">
        <v>0</v>
      </c>
    </row>
    <row r="984" spans="1:14" x14ac:dyDescent="0.3">
      <c r="A984" s="135" t="s">
        <v>460</v>
      </c>
      <c r="B984" s="137" t="s">
        <v>414</v>
      </c>
      <c r="C984" s="137">
        <v>22</v>
      </c>
      <c r="D984" s="9">
        <v>36.352784341658108</v>
      </c>
      <c r="E984" s="8">
        <v>3.6648070236847219</v>
      </c>
      <c r="F984" s="8">
        <v>3.9987454964442981</v>
      </c>
      <c r="G984" s="18">
        <v>22.489799999999999</v>
      </c>
      <c r="H984" s="240">
        <v>0</v>
      </c>
      <c r="I984" s="240">
        <v>0</v>
      </c>
      <c r="J984" s="240">
        <v>0</v>
      </c>
      <c r="K984" s="240">
        <v>0</v>
      </c>
      <c r="L984" s="240">
        <v>0</v>
      </c>
      <c r="M984" s="240">
        <v>0</v>
      </c>
      <c r="N984" s="240">
        <v>0</v>
      </c>
    </row>
    <row r="985" spans="1:14" x14ac:dyDescent="0.3">
      <c r="A985" s="135" t="s">
        <v>460</v>
      </c>
      <c r="B985" s="137" t="s">
        <v>414</v>
      </c>
      <c r="C985" s="137">
        <v>23</v>
      </c>
      <c r="D985" s="9">
        <v>36.449384398842902</v>
      </c>
      <c r="E985" s="8">
        <v>3.6732084068106094</v>
      </c>
      <c r="F985" s="8">
        <v>4.1308525524411293</v>
      </c>
      <c r="G985" s="18">
        <v>23.348800000000001</v>
      </c>
      <c r="H985" s="240">
        <v>0</v>
      </c>
      <c r="I985" s="240">
        <v>0</v>
      </c>
      <c r="J985" s="240">
        <v>0</v>
      </c>
      <c r="K985" s="240">
        <v>0</v>
      </c>
      <c r="L985" s="240">
        <v>0</v>
      </c>
      <c r="M985" s="240">
        <v>0</v>
      </c>
      <c r="N985" s="240">
        <v>0</v>
      </c>
    </row>
    <row r="986" spans="1:14" x14ac:dyDescent="0.3">
      <c r="A986" s="135" t="s">
        <v>460</v>
      </c>
      <c r="B986" s="137" t="s">
        <v>414</v>
      </c>
      <c r="C986" s="137">
        <v>24</v>
      </c>
      <c r="D986" s="9">
        <v>36.542113075109128</v>
      </c>
      <c r="E986" s="8">
        <v>3.6812521739357615</v>
      </c>
      <c r="F986" s="8">
        <v>4.261424120042987</v>
      </c>
      <c r="G986" s="18">
        <v>24.2332</v>
      </c>
      <c r="H986" s="240">
        <v>0</v>
      </c>
      <c r="I986" s="240">
        <v>0</v>
      </c>
      <c r="J986" s="240">
        <v>0</v>
      </c>
      <c r="K986" s="240">
        <v>0</v>
      </c>
      <c r="L986" s="240">
        <v>0</v>
      </c>
      <c r="M986" s="240">
        <v>0</v>
      </c>
      <c r="N986" s="240">
        <v>0</v>
      </c>
    </row>
    <row r="987" spans="1:14" x14ac:dyDescent="0.3">
      <c r="A987" s="135" t="s">
        <v>460</v>
      </c>
      <c r="B987" s="137" t="s">
        <v>414</v>
      </c>
      <c r="C987" s="137">
        <v>25</v>
      </c>
      <c r="D987" s="9">
        <v>36.631277480864654</v>
      </c>
      <c r="E987" s="8">
        <v>3.68896753090009</v>
      </c>
      <c r="F987" s="8">
        <v>4.390540970011048</v>
      </c>
      <c r="G987" s="18">
        <v>25.143000000000001</v>
      </c>
      <c r="H987" s="240">
        <v>0</v>
      </c>
      <c r="I987" s="240">
        <v>0</v>
      </c>
      <c r="J987" s="240">
        <v>0</v>
      </c>
      <c r="K987" s="240">
        <v>0</v>
      </c>
      <c r="L987" s="240">
        <v>0</v>
      </c>
      <c r="M987" s="240">
        <v>0</v>
      </c>
      <c r="N987" s="240">
        <v>0</v>
      </c>
    </row>
    <row r="988" spans="1:14" x14ac:dyDescent="0.3">
      <c r="A988" s="135" t="s">
        <v>460</v>
      </c>
      <c r="B988" s="137" t="s">
        <v>414</v>
      </c>
      <c r="C988" s="137">
        <v>26</v>
      </c>
      <c r="D988" s="9">
        <v>36.717149253146495</v>
      </c>
      <c r="E988" s="8">
        <v>3.6963802456860604</v>
      </c>
      <c r="F988" s="8">
        <v>4.5182765764796802</v>
      </c>
      <c r="G988" s="18">
        <v>26.078200000000002</v>
      </c>
      <c r="H988" s="240">
        <v>0</v>
      </c>
      <c r="I988" s="240">
        <v>0</v>
      </c>
      <c r="J988" s="240">
        <v>0</v>
      </c>
      <c r="K988" s="240">
        <v>0</v>
      </c>
      <c r="L988" s="240">
        <v>0</v>
      </c>
      <c r="M988" s="240">
        <v>0</v>
      </c>
      <c r="N988" s="240">
        <v>0</v>
      </c>
    </row>
    <row r="989" spans="1:14" x14ac:dyDescent="0.3">
      <c r="A989" s="135" t="s">
        <v>460</v>
      </c>
      <c r="B989" s="137" t="s">
        <v>414</v>
      </c>
      <c r="C989" s="137">
        <v>27</v>
      </c>
      <c r="D989" s="9">
        <v>36.799969839689787</v>
      </c>
      <c r="E989" s="8">
        <v>3.7035131676748181</v>
      </c>
      <c r="F989" s="8">
        <v>4.6446980304742311</v>
      </c>
      <c r="G989" s="18">
        <v>27.038800000000002</v>
      </c>
      <c r="H989" s="240">
        <v>0</v>
      </c>
      <c r="I989" s="240">
        <v>0</v>
      </c>
      <c r="J989" s="240">
        <v>0</v>
      </c>
      <c r="K989" s="240">
        <v>0</v>
      </c>
      <c r="L989" s="240">
        <v>0</v>
      </c>
      <c r="M989" s="240">
        <v>0</v>
      </c>
      <c r="N989" s="240">
        <v>0</v>
      </c>
    </row>
    <row r="990" spans="1:14" x14ac:dyDescent="0.3">
      <c r="A990" s="135" t="s">
        <v>460</v>
      </c>
      <c r="B990" s="137" t="s">
        <v>414</v>
      </c>
      <c r="C990" s="137">
        <v>28</v>
      </c>
      <c r="D990" s="9">
        <v>36.879954831967204</v>
      </c>
      <c r="E990" s="8">
        <v>3.7103866524231135</v>
      </c>
      <c r="F990" s="8">
        <v>4.7698668095518402</v>
      </c>
      <c r="G990" s="18">
        <v>28.024799999999999</v>
      </c>
      <c r="H990" s="240">
        <v>0</v>
      </c>
      <c r="I990" s="240">
        <v>0</v>
      </c>
      <c r="J990" s="240">
        <v>0</v>
      </c>
      <c r="K990" s="240">
        <v>0</v>
      </c>
      <c r="L990" s="240">
        <v>0</v>
      </c>
      <c r="M990" s="240">
        <v>0</v>
      </c>
      <c r="N990" s="240">
        <v>0</v>
      </c>
    </row>
    <row r="991" spans="1:14" x14ac:dyDescent="0.3">
      <c r="A991" s="135" t="s">
        <v>460</v>
      </c>
      <c r="B991" s="137" t="s">
        <v>414</v>
      </c>
      <c r="C991" s="137">
        <v>29</v>
      </c>
      <c r="D991" s="9">
        <v>36.957297545799882</v>
      </c>
      <c r="E991" s="8">
        <v>3.7170189118674437</v>
      </c>
      <c r="F991" s="8">
        <v>4.8938394305436352</v>
      </c>
      <c r="G991" s="18">
        <v>29.036200000000001</v>
      </c>
      <c r="H991" s="240">
        <v>0</v>
      </c>
      <c r="I991" s="240">
        <v>0</v>
      </c>
      <c r="J991" s="240">
        <v>0</v>
      </c>
      <c r="K991" s="240">
        <v>0</v>
      </c>
      <c r="L991" s="240">
        <v>0</v>
      </c>
      <c r="M991" s="240">
        <v>0</v>
      </c>
      <c r="N991" s="240">
        <v>0</v>
      </c>
    </row>
    <row r="992" spans="1:14" x14ac:dyDescent="0.3">
      <c r="A992" s="138" t="s">
        <v>460</v>
      </c>
      <c r="B992" s="137" t="s">
        <v>414</v>
      </c>
      <c r="C992" s="137">
        <v>30</v>
      </c>
      <c r="D992" s="9">
        <v>37.032172001326543</v>
      </c>
      <c r="E992" s="8">
        <v>3.7234263051341472</v>
      </c>
      <c r="F992" s="8">
        <v>5.0166680065636955</v>
      </c>
      <c r="G992" s="18">
        <v>30.073</v>
      </c>
      <c r="H992" s="240">
        <v>0</v>
      </c>
      <c r="I992" s="240">
        <v>0</v>
      </c>
      <c r="J992" s="240">
        <v>0</v>
      </c>
      <c r="K992" s="240">
        <v>0</v>
      </c>
      <c r="L992" s="240">
        <v>0</v>
      </c>
      <c r="M992" s="240">
        <v>0</v>
      </c>
      <c r="N992" s="240">
        <v>0</v>
      </c>
    </row>
    <row r="993" spans="1:14" x14ac:dyDescent="0.3">
      <c r="A993" s="142" t="s">
        <v>460</v>
      </c>
      <c r="B993" s="143" t="s">
        <v>415</v>
      </c>
      <c r="C993" s="143">
        <v>1</v>
      </c>
      <c r="D993" s="9">
        <v>28.664999999999999</v>
      </c>
      <c r="E993" s="8">
        <v>0</v>
      </c>
      <c r="F993" s="8">
        <v>3.7044000000000001</v>
      </c>
      <c r="G993" s="18">
        <v>5</v>
      </c>
      <c r="H993" s="240">
        <v>0</v>
      </c>
      <c r="I993" s="240">
        <v>0</v>
      </c>
      <c r="J993" s="240">
        <v>0</v>
      </c>
      <c r="K993" s="240">
        <v>0</v>
      </c>
      <c r="L993" s="240">
        <v>0</v>
      </c>
      <c r="M993" s="240">
        <v>0</v>
      </c>
      <c r="N993" s="240">
        <v>0</v>
      </c>
    </row>
    <row r="994" spans="1:14" x14ac:dyDescent="0.3">
      <c r="A994" s="135" t="s">
        <v>460</v>
      </c>
      <c r="B994" s="136" t="s">
        <v>415</v>
      </c>
      <c r="C994" s="137">
        <v>2</v>
      </c>
      <c r="D994" s="9">
        <v>31.9725</v>
      </c>
      <c r="E994" s="8">
        <v>0</v>
      </c>
      <c r="F994" s="8">
        <v>4.9391999999999996</v>
      </c>
      <c r="G994" s="18">
        <v>4.5</v>
      </c>
      <c r="H994" s="240">
        <v>0</v>
      </c>
      <c r="I994" s="240">
        <v>0</v>
      </c>
      <c r="J994" s="240">
        <v>0</v>
      </c>
      <c r="K994" s="240">
        <v>0</v>
      </c>
      <c r="L994" s="240">
        <v>0</v>
      </c>
      <c r="M994" s="240">
        <v>0</v>
      </c>
      <c r="N994" s="240">
        <v>0</v>
      </c>
    </row>
    <row r="995" spans="1:14" x14ac:dyDescent="0.3">
      <c r="A995" s="135" t="s">
        <v>460</v>
      </c>
      <c r="B995" s="137" t="s">
        <v>415</v>
      </c>
      <c r="C995" s="137">
        <v>3</v>
      </c>
      <c r="D995" s="9">
        <v>33.075000000000003</v>
      </c>
      <c r="E995" s="8">
        <v>0</v>
      </c>
      <c r="F995" s="8">
        <v>5.5566000000000004</v>
      </c>
      <c r="G995" s="18">
        <v>4.5833329999999997</v>
      </c>
      <c r="H995" s="240">
        <v>0</v>
      </c>
      <c r="I995" s="240">
        <v>0</v>
      </c>
      <c r="J995" s="240">
        <v>0</v>
      </c>
      <c r="K995" s="240">
        <v>0</v>
      </c>
      <c r="L995" s="240">
        <v>0</v>
      </c>
      <c r="M995" s="240">
        <v>0</v>
      </c>
      <c r="N995" s="240">
        <v>0</v>
      </c>
    </row>
    <row r="996" spans="1:14" x14ac:dyDescent="0.3">
      <c r="A996" s="135" t="s">
        <v>460</v>
      </c>
      <c r="B996" s="137" t="s">
        <v>415</v>
      </c>
      <c r="C996" s="137">
        <v>4</v>
      </c>
      <c r="D996" s="9">
        <v>33.626249999999999</v>
      </c>
      <c r="E996" s="8">
        <v>0</v>
      </c>
      <c r="F996" s="8">
        <v>6.0196500000000004</v>
      </c>
      <c r="G996" s="18">
        <v>4.8125</v>
      </c>
      <c r="H996" s="240">
        <v>0</v>
      </c>
      <c r="I996" s="240">
        <v>0</v>
      </c>
      <c r="J996" s="240">
        <v>0</v>
      </c>
      <c r="K996" s="240">
        <v>0</v>
      </c>
      <c r="L996" s="240">
        <v>0</v>
      </c>
      <c r="M996" s="240">
        <v>0</v>
      </c>
      <c r="N996" s="240">
        <v>0</v>
      </c>
    </row>
    <row r="997" spans="1:14" x14ac:dyDescent="0.3">
      <c r="A997" s="135" t="s">
        <v>460</v>
      </c>
      <c r="B997" s="137" t="s">
        <v>415</v>
      </c>
      <c r="C997" s="137">
        <v>5</v>
      </c>
      <c r="D997" s="9">
        <v>33.957000000000001</v>
      </c>
      <c r="E997" s="8">
        <v>0</v>
      </c>
      <c r="F997" s="8">
        <v>6.5444399999999998</v>
      </c>
      <c r="G997" s="18">
        <v>5.0999999999999996</v>
      </c>
      <c r="H997" s="240">
        <v>0</v>
      </c>
      <c r="I997" s="240">
        <v>0</v>
      </c>
      <c r="J997" s="240">
        <v>0</v>
      </c>
      <c r="K997" s="240">
        <v>0</v>
      </c>
      <c r="L997" s="240">
        <v>0</v>
      </c>
      <c r="M997" s="240">
        <v>0</v>
      </c>
      <c r="N997" s="240">
        <v>0</v>
      </c>
    </row>
    <row r="998" spans="1:14" x14ac:dyDescent="0.3">
      <c r="A998" s="135" t="s">
        <v>460</v>
      </c>
      <c r="B998" s="137" t="s">
        <v>415</v>
      </c>
      <c r="C998" s="137">
        <v>6</v>
      </c>
      <c r="D998" s="9">
        <v>34.177500000000002</v>
      </c>
      <c r="E998" s="8">
        <v>0</v>
      </c>
      <c r="F998" s="8">
        <v>6.8943000000000003</v>
      </c>
      <c r="G998" s="18">
        <v>5.375</v>
      </c>
      <c r="H998" s="240">
        <v>0</v>
      </c>
      <c r="I998" s="240">
        <v>0</v>
      </c>
      <c r="J998" s="240">
        <v>0</v>
      </c>
      <c r="K998" s="240">
        <v>0</v>
      </c>
      <c r="L998" s="240">
        <v>0</v>
      </c>
      <c r="M998" s="240">
        <v>0</v>
      </c>
      <c r="N998" s="240">
        <v>0</v>
      </c>
    </row>
    <row r="999" spans="1:14" x14ac:dyDescent="0.3">
      <c r="A999" s="135" t="s">
        <v>460</v>
      </c>
      <c r="B999" s="137" t="s">
        <v>415</v>
      </c>
      <c r="C999" s="137">
        <v>7</v>
      </c>
      <c r="D999" s="9">
        <v>34.335000000000001</v>
      </c>
      <c r="E999" s="8">
        <v>0</v>
      </c>
      <c r="F999" s="8">
        <v>7.1441999999999997</v>
      </c>
      <c r="G999" s="18">
        <v>5.6071429999999998</v>
      </c>
      <c r="H999" s="240">
        <v>0</v>
      </c>
      <c r="I999" s="240">
        <v>0</v>
      </c>
      <c r="J999" s="240">
        <v>0</v>
      </c>
      <c r="K999" s="240">
        <v>0</v>
      </c>
      <c r="L999" s="240">
        <v>0</v>
      </c>
      <c r="M999" s="240">
        <v>0</v>
      </c>
      <c r="N999" s="240">
        <v>0</v>
      </c>
    </row>
    <row r="1000" spans="1:14" x14ac:dyDescent="0.3">
      <c r="A1000" s="135" t="s">
        <v>460</v>
      </c>
      <c r="B1000" s="137" t="s">
        <v>415</v>
      </c>
      <c r="C1000" s="137">
        <v>8</v>
      </c>
      <c r="D1000" s="9">
        <v>34.453125</v>
      </c>
      <c r="E1000" s="8">
        <v>0</v>
      </c>
      <c r="F1000" s="8">
        <v>7.4859749999999998</v>
      </c>
      <c r="G1000" s="18">
        <v>5.875</v>
      </c>
      <c r="H1000" s="240">
        <v>0</v>
      </c>
      <c r="I1000" s="240">
        <v>0</v>
      </c>
      <c r="J1000" s="240">
        <v>0</v>
      </c>
      <c r="K1000" s="240">
        <v>0</v>
      </c>
      <c r="L1000" s="240">
        <v>0</v>
      </c>
      <c r="M1000" s="240">
        <v>0</v>
      </c>
      <c r="N1000" s="240">
        <v>0</v>
      </c>
    </row>
    <row r="1001" spans="1:14" x14ac:dyDescent="0.3">
      <c r="A1001" s="135" t="s">
        <v>460</v>
      </c>
      <c r="B1001" s="137" t="s">
        <v>415</v>
      </c>
      <c r="C1001" s="137">
        <v>9</v>
      </c>
      <c r="D1001" s="9">
        <v>34.545000000000002</v>
      </c>
      <c r="E1001" s="8">
        <v>0</v>
      </c>
      <c r="F1001" s="8">
        <v>7.7518000000000002</v>
      </c>
      <c r="G1001" s="18">
        <v>6.1388889999999998</v>
      </c>
      <c r="H1001" s="240">
        <v>0</v>
      </c>
      <c r="I1001" s="240">
        <v>0</v>
      </c>
      <c r="J1001" s="240">
        <v>0</v>
      </c>
      <c r="K1001" s="240">
        <v>0</v>
      </c>
      <c r="L1001" s="240">
        <v>0</v>
      </c>
      <c r="M1001" s="240">
        <v>0</v>
      </c>
      <c r="N1001" s="240">
        <v>0</v>
      </c>
    </row>
    <row r="1002" spans="1:14" x14ac:dyDescent="0.3">
      <c r="A1002" s="135" t="s">
        <v>460</v>
      </c>
      <c r="B1002" s="137" t="s">
        <v>415</v>
      </c>
      <c r="C1002" s="137">
        <v>10</v>
      </c>
      <c r="D1002" s="9">
        <v>34.618499999999997</v>
      </c>
      <c r="E1002" s="8">
        <v>0</v>
      </c>
      <c r="F1002" s="8">
        <v>7.9644599999999999</v>
      </c>
      <c r="G1002" s="18">
        <v>6.375</v>
      </c>
      <c r="H1002" s="240">
        <v>0</v>
      </c>
      <c r="I1002" s="240">
        <v>0</v>
      </c>
      <c r="J1002" s="240">
        <v>0</v>
      </c>
      <c r="K1002" s="240">
        <v>0</v>
      </c>
      <c r="L1002" s="240">
        <v>0</v>
      </c>
      <c r="M1002" s="240">
        <v>0</v>
      </c>
      <c r="N1002" s="240">
        <v>0</v>
      </c>
    </row>
    <row r="1003" spans="1:14" x14ac:dyDescent="0.3">
      <c r="A1003" s="135" t="s">
        <v>460</v>
      </c>
      <c r="B1003" s="137" t="s">
        <v>415</v>
      </c>
      <c r="C1003" s="137">
        <v>11</v>
      </c>
      <c r="D1003" s="9">
        <v>34.678635999999997</v>
      </c>
      <c r="E1003" s="8">
        <v>0</v>
      </c>
      <c r="F1003" s="8">
        <v>8.4752179999999999</v>
      </c>
      <c r="G1003" s="18">
        <v>6.6136359999999996</v>
      </c>
      <c r="H1003" s="240">
        <v>0</v>
      </c>
      <c r="I1003" s="240">
        <v>0</v>
      </c>
      <c r="J1003" s="240">
        <v>0</v>
      </c>
      <c r="K1003" s="240">
        <v>0</v>
      </c>
      <c r="L1003" s="240">
        <v>0</v>
      </c>
      <c r="M1003" s="240">
        <v>0</v>
      </c>
      <c r="N1003" s="240">
        <v>0</v>
      </c>
    </row>
    <row r="1004" spans="1:14" x14ac:dyDescent="0.3">
      <c r="A1004" s="135" t="s">
        <v>460</v>
      </c>
      <c r="B1004" s="137" t="s">
        <v>415</v>
      </c>
      <c r="C1004" s="137">
        <v>12</v>
      </c>
      <c r="D1004" s="9">
        <v>34.728749999999998</v>
      </c>
      <c r="E1004" s="8">
        <v>0</v>
      </c>
      <c r="F1004" s="8">
        <v>8.9008500000000002</v>
      </c>
      <c r="G1004" s="18">
        <v>6.8541670000000003</v>
      </c>
      <c r="H1004" s="240">
        <v>0</v>
      </c>
      <c r="I1004" s="240">
        <v>0</v>
      </c>
      <c r="J1004" s="240">
        <v>0</v>
      </c>
      <c r="K1004" s="240">
        <v>0</v>
      </c>
      <c r="L1004" s="240">
        <v>0</v>
      </c>
      <c r="M1004" s="240">
        <v>0</v>
      </c>
      <c r="N1004" s="240">
        <v>0</v>
      </c>
    </row>
    <row r="1005" spans="1:14" x14ac:dyDescent="0.3">
      <c r="A1005" s="135" t="s">
        <v>460</v>
      </c>
      <c r="B1005" s="137" t="s">
        <v>415</v>
      </c>
      <c r="C1005" s="137">
        <v>13</v>
      </c>
      <c r="D1005" s="9">
        <v>34.771154000000003</v>
      </c>
      <c r="E1005" s="8">
        <v>0</v>
      </c>
      <c r="F1005" s="8">
        <v>9.2609999999999992</v>
      </c>
      <c r="G1005" s="18">
        <v>7.0961540000000003</v>
      </c>
      <c r="H1005" s="240">
        <v>0</v>
      </c>
      <c r="I1005" s="240">
        <v>0</v>
      </c>
      <c r="J1005" s="240">
        <v>0</v>
      </c>
      <c r="K1005" s="240">
        <v>0</v>
      </c>
      <c r="L1005" s="240">
        <v>0</v>
      </c>
      <c r="M1005" s="240">
        <v>0</v>
      </c>
      <c r="N1005" s="240">
        <v>0</v>
      </c>
    </row>
    <row r="1006" spans="1:14" x14ac:dyDescent="0.3">
      <c r="A1006" s="135" t="s">
        <v>460</v>
      </c>
      <c r="B1006" s="137" t="s">
        <v>415</v>
      </c>
      <c r="C1006" s="137">
        <v>14</v>
      </c>
      <c r="D1006" s="9">
        <v>34.807499999999997</v>
      </c>
      <c r="E1006" s="8">
        <v>0</v>
      </c>
      <c r="F1006" s="8">
        <v>9.5696999999999992</v>
      </c>
      <c r="G1006" s="18">
        <v>7.3214290000000002</v>
      </c>
      <c r="H1006" s="240">
        <v>0</v>
      </c>
      <c r="I1006" s="240">
        <v>0</v>
      </c>
      <c r="J1006" s="240">
        <v>0</v>
      </c>
      <c r="K1006" s="240">
        <v>0</v>
      </c>
      <c r="L1006" s="240">
        <v>0</v>
      </c>
      <c r="M1006" s="240">
        <v>0</v>
      </c>
      <c r="N1006" s="240">
        <v>0</v>
      </c>
    </row>
    <row r="1007" spans="1:14" x14ac:dyDescent="0.3">
      <c r="A1007" s="135" t="s">
        <v>460</v>
      </c>
      <c r="B1007" s="137" t="s">
        <v>415</v>
      </c>
      <c r="C1007" s="137">
        <v>15</v>
      </c>
      <c r="D1007" s="9">
        <v>34.838999999999999</v>
      </c>
      <c r="E1007" s="8">
        <v>0</v>
      </c>
      <c r="F1007" s="8">
        <v>9.8372399999999995</v>
      </c>
      <c r="G1007" s="18">
        <v>7.55</v>
      </c>
      <c r="H1007" s="240">
        <v>0</v>
      </c>
      <c r="I1007" s="240">
        <v>0</v>
      </c>
      <c r="J1007" s="240">
        <v>0</v>
      </c>
      <c r="K1007" s="240">
        <v>0</v>
      </c>
      <c r="L1007" s="240">
        <v>0</v>
      </c>
      <c r="M1007" s="240">
        <v>0</v>
      </c>
      <c r="N1007" s="240">
        <v>0</v>
      </c>
    </row>
    <row r="1008" spans="1:14" x14ac:dyDescent="0.3">
      <c r="A1008" s="135" t="s">
        <v>460</v>
      </c>
      <c r="B1008" s="137" t="s">
        <v>415</v>
      </c>
      <c r="C1008" s="137">
        <v>16</v>
      </c>
      <c r="D1008" s="9">
        <v>34.866562000000002</v>
      </c>
      <c r="E1008" s="8">
        <v>0</v>
      </c>
      <c r="F1008" s="8">
        <v>10.071337</v>
      </c>
      <c r="G1008" s="18">
        <v>7.75</v>
      </c>
      <c r="H1008" s="240">
        <v>0</v>
      </c>
      <c r="I1008" s="240">
        <v>0</v>
      </c>
      <c r="J1008" s="240">
        <v>0</v>
      </c>
      <c r="K1008" s="240">
        <v>0</v>
      </c>
      <c r="L1008" s="240">
        <v>0</v>
      </c>
      <c r="M1008" s="240">
        <v>0</v>
      </c>
      <c r="N1008" s="240">
        <v>0</v>
      </c>
    </row>
    <row r="1009" spans="1:14" x14ac:dyDescent="0.3">
      <c r="A1009" s="135" t="s">
        <v>460</v>
      </c>
      <c r="B1009" s="137" t="s">
        <v>415</v>
      </c>
      <c r="C1009" s="137">
        <v>17</v>
      </c>
      <c r="D1009" s="9">
        <v>34.890881999999998</v>
      </c>
      <c r="E1009" s="8">
        <v>0</v>
      </c>
      <c r="F1009" s="8">
        <v>10.277894</v>
      </c>
      <c r="G1009" s="18">
        <v>7.9705880000000002</v>
      </c>
      <c r="H1009" s="240">
        <v>0</v>
      </c>
      <c r="I1009" s="240">
        <v>0</v>
      </c>
      <c r="J1009" s="240">
        <v>0</v>
      </c>
      <c r="K1009" s="240">
        <v>0</v>
      </c>
      <c r="L1009" s="240">
        <v>0</v>
      </c>
      <c r="M1009" s="240">
        <v>0</v>
      </c>
      <c r="N1009" s="240">
        <v>0</v>
      </c>
    </row>
    <row r="1010" spans="1:14" x14ac:dyDescent="0.3">
      <c r="A1010" s="135" t="s">
        <v>460</v>
      </c>
      <c r="B1010" s="137" t="s">
        <v>415</v>
      </c>
      <c r="C1010" s="137">
        <v>18</v>
      </c>
      <c r="D1010" s="9">
        <v>34.912500000000001</v>
      </c>
      <c r="E1010" s="8">
        <v>0</v>
      </c>
      <c r="F1010" s="8">
        <v>10.461499999999999</v>
      </c>
      <c r="G1010" s="18">
        <v>8.1666670000000003</v>
      </c>
      <c r="H1010" s="240">
        <v>0</v>
      </c>
      <c r="I1010" s="240">
        <v>0</v>
      </c>
      <c r="J1010" s="240">
        <v>0</v>
      </c>
      <c r="K1010" s="240">
        <v>0</v>
      </c>
      <c r="L1010" s="240">
        <v>0</v>
      </c>
      <c r="M1010" s="240">
        <v>0</v>
      </c>
      <c r="N1010" s="240">
        <v>0</v>
      </c>
    </row>
    <row r="1011" spans="1:14" x14ac:dyDescent="0.3">
      <c r="A1011" s="135" t="s">
        <v>460</v>
      </c>
      <c r="B1011" s="137" t="s">
        <v>415</v>
      </c>
      <c r="C1011" s="137">
        <v>19</v>
      </c>
      <c r="D1011" s="9">
        <v>34.931842000000003</v>
      </c>
      <c r="E1011" s="8">
        <v>0</v>
      </c>
      <c r="F1011" s="8">
        <v>10.690768</v>
      </c>
      <c r="G1011" s="18">
        <v>8.3684209999999997</v>
      </c>
      <c r="H1011" s="240">
        <v>0</v>
      </c>
      <c r="I1011" s="240">
        <v>0</v>
      </c>
      <c r="J1011" s="240">
        <v>0</v>
      </c>
      <c r="K1011" s="240">
        <v>0</v>
      </c>
      <c r="L1011" s="240">
        <v>0</v>
      </c>
      <c r="M1011" s="240">
        <v>0</v>
      </c>
      <c r="N1011" s="240">
        <v>0</v>
      </c>
    </row>
    <row r="1012" spans="1:14" x14ac:dyDescent="0.3">
      <c r="A1012" s="135" t="s">
        <v>460</v>
      </c>
      <c r="B1012" s="137" t="s">
        <v>415</v>
      </c>
      <c r="C1012" s="137">
        <v>20</v>
      </c>
      <c r="D1012" s="9">
        <v>34.949249999999999</v>
      </c>
      <c r="E1012" s="8">
        <v>0</v>
      </c>
      <c r="F1012" s="8">
        <v>10.89711</v>
      </c>
      <c r="G1012" s="18">
        <v>8.5625</v>
      </c>
      <c r="H1012" s="240">
        <v>0</v>
      </c>
      <c r="I1012" s="240">
        <v>0</v>
      </c>
      <c r="J1012" s="240">
        <v>0</v>
      </c>
      <c r="K1012" s="240">
        <v>0</v>
      </c>
      <c r="L1012" s="240">
        <v>0</v>
      </c>
      <c r="M1012" s="240">
        <v>0</v>
      </c>
      <c r="N1012" s="240">
        <v>0</v>
      </c>
    </row>
    <row r="1013" spans="1:14" x14ac:dyDescent="0.3">
      <c r="A1013" s="135" t="s">
        <v>460</v>
      </c>
      <c r="B1013" s="137" t="s">
        <v>415</v>
      </c>
      <c r="C1013" s="137">
        <v>21</v>
      </c>
      <c r="D1013" s="9">
        <v>34.965000000000003</v>
      </c>
      <c r="E1013" s="8">
        <v>0</v>
      </c>
      <c r="F1013" s="8">
        <v>11.1426</v>
      </c>
      <c r="G1013" s="18">
        <v>8.7619050000000005</v>
      </c>
      <c r="H1013" s="240">
        <v>0</v>
      </c>
      <c r="I1013" s="240">
        <v>0</v>
      </c>
      <c r="J1013" s="240">
        <v>0</v>
      </c>
      <c r="K1013" s="240">
        <v>0</v>
      </c>
      <c r="L1013" s="240">
        <v>0</v>
      </c>
      <c r="M1013" s="240">
        <v>0</v>
      </c>
      <c r="N1013" s="240">
        <v>0</v>
      </c>
    </row>
    <row r="1014" spans="1:14" x14ac:dyDescent="0.3">
      <c r="A1014" s="135" t="s">
        <v>460</v>
      </c>
      <c r="B1014" s="137" t="s">
        <v>415</v>
      </c>
      <c r="C1014" s="137">
        <v>22</v>
      </c>
      <c r="D1014" s="9">
        <v>34.979317999999999</v>
      </c>
      <c r="E1014" s="8">
        <v>0</v>
      </c>
      <c r="F1014" s="8">
        <v>11.365773000000001</v>
      </c>
      <c r="G1014" s="18">
        <v>8.9545449999999995</v>
      </c>
      <c r="H1014" s="240">
        <v>0</v>
      </c>
      <c r="I1014" s="240">
        <v>0</v>
      </c>
      <c r="J1014" s="240">
        <v>0</v>
      </c>
      <c r="K1014" s="240">
        <v>0</v>
      </c>
      <c r="L1014" s="240">
        <v>0</v>
      </c>
      <c r="M1014" s="240">
        <v>0</v>
      </c>
      <c r="N1014" s="240">
        <v>0</v>
      </c>
    </row>
    <row r="1015" spans="1:14" x14ac:dyDescent="0.3">
      <c r="A1015" s="135" t="s">
        <v>460</v>
      </c>
      <c r="B1015" s="137" t="s">
        <v>415</v>
      </c>
      <c r="C1015" s="137">
        <v>23</v>
      </c>
      <c r="D1015" s="9">
        <v>34.992390999999998</v>
      </c>
      <c r="E1015" s="8">
        <v>0</v>
      </c>
      <c r="F1015" s="8">
        <v>11.623226000000001</v>
      </c>
      <c r="G1015" s="18">
        <v>9.1521740000000005</v>
      </c>
      <c r="H1015" s="240">
        <v>0</v>
      </c>
      <c r="I1015" s="240">
        <v>0</v>
      </c>
      <c r="J1015" s="240">
        <v>0</v>
      </c>
      <c r="K1015" s="240">
        <v>0</v>
      </c>
      <c r="L1015" s="240">
        <v>0</v>
      </c>
      <c r="M1015" s="240">
        <v>0</v>
      </c>
      <c r="N1015" s="240">
        <v>0</v>
      </c>
    </row>
    <row r="1016" spans="1:14" x14ac:dyDescent="0.3">
      <c r="A1016" s="135" t="s">
        <v>460</v>
      </c>
      <c r="B1016" s="137" t="s">
        <v>415</v>
      </c>
      <c r="C1016" s="137">
        <v>24</v>
      </c>
      <c r="D1016" s="9">
        <v>35.004375000000003</v>
      </c>
      <c r="E1016" s="8">
        <v>0</v>
      </c>
      <c r="F1016" s="8">
        <v>11.859225</v>
      </c>
      <c r="G1016" s="18">
        <v>9.3333329999999997</v>
      </c>
      <c r="H1016" s="240">
        <v>0</v>
      </c>
      <c r="I1016" s="240">
        <v>0</v>
      </c>
      <c r="J1016" s="240">
        <v>0</v>
      </c>
      <c r="K1016" s="240">
        <v>0</v>
      </c>
      <c r="L1016" s="240">
        <v>0</v>
      </c>
      <c r="M1016" s="240">
        <v>0</v>
      </c>
      <c r="N1016" s="240">
        <v>0</v>
      </c>
    </row>
    <row r="1017" spans="1:14" x14ac:dyDescent="0.3">
      <c r="A1017" s="135" t="s">
        <v>460</v>
      </c>
      <c r="B1017" s="137" t="s">
        <v>415</v>
      </c>
      <c r="C1017" s="137">
        <v>25</v>
      </c>
      <c r="D1017" s="9">
        <v>35.0154</v>
      </c>
      <c r="E1017" s="8">
        <v>0</v>
      </c>
      <c r="F1017" s="8">
        <v>12.125736</v>
      </c>
      <c r="G1017" s="18">
        <v>9.52</v>
      </c>
      <c r="H1017" s="240">
        <v>0</v>
      </c>
      <c r="I1017" s="240">
        <v>0</v>
      </c>
      <c r="J1017" s="240">
        <v>0</v>
      </c>
      <c r="K1017" s="240">
        <v>0</v>
      </c>
      <c r="L1017" s="240">
        <v>0</v>
      </c>
      <c r="M1017" s="240">
        <v>0</v>
      </c>
      <c r="N1017" s="240">
        <v>0</v>
      </c>
    </row>
    <row r="1018" spans="1:14" x14ac:dyDescent="0.3">
      <c r="A1018" s="135" t="s">
        <v>460</v>
      </c>
      <c r="B1018" s="137" t="s">
        <v>415</v>
      </c>
      <c r="C1018" s="137">
        <v>26</v>
      </c>
      <c r="D1018" s="9">
        <v>35.025576999999998</v>
      </c>
      <c r="E1018" s="8">
        <v>0</v>
      </c>
      <c r="F1018" s="8">
        <v>12.371746</v>
      </c>
      <c r="G1018" s="18">
        <v>9.7019230000000007</v>
      </c>
      <c r="H1018" s="240">
        <v>0</v>
      </c>
      <c r="I1018" s="240">
        <v>0</v>
      </c>
      <c r="J1018" s="240">
        <v>0</v>
      </c>
      <c r="K1018" s="240">
        <v>0</v>
      </c>
      <c r="L1018" s="240">
        <v>0</v>
      </c>
      <c r="M1018" s="240">
        <v>0</v>
      </c>
      <c r="N1018" s="240">
        <v>0</v>
      </c>
    </row>
    <row r="1019" spans="1:14" x14ac:dyDescent="0.3">
      <c r="A1019" s="135" t="s">
        <v>460</v>
      </c>
      <c r="B1019" s="137" t="s">
        <v>415</v>
      </c>
      <c r="C1019" s="137">
        <v>27</v>
      </c>
      <c r="D1019" s="9">
        <v>35.034999999999997</v>
      </c>
      <c r="E1019" s="8">
        <v>0</v>
      </c>
      <c r="F1019" s="8">
        <v>12.599532999999999</v>
      </c>
      <c r="G1019" s="18">
        <v>9.8888890000000007</v>
      </c>
      <c r="H1019" s="240">
        <v>0</v>
      </c>
      <c r="I1019" s="240">
        <v>0</v>
      </c>
      <c r="J1019" s="240">
        <v>0</v>
      </c>
      <c r="K1019" s="240">
        <v>0</v>
      </c>
      <c r="L1019" s="240">
        <v>0</v>
      </c>
      <c r="M1019" s="240">
        <v>0</v>
      </c>
      <c r="N1019" s="240">
        <v>0</v>
      </c>
    </row>
    <row r="1020" spans="1:14" x14ac:dyDescent="0.3">
      <c r="A1020" s="135" t="s">
        <v>460</v>
      </c>
      <c r="B1020" s="137" t="s">
        <v>415</v>
      </c>
      <c r="C1020" s="137">
        <v>28</v>
      </c>
      <c r="D1020" s="9">
        <v>35.043750000000003</v>
      </c>
      <c r="E1020" s="8">
        <v>0</v>
      </c>
      <c r="F1020" s="8">
        <v>12.81105</v>
      </c>
      <c r="G1020" s="18">
        <v>10.0625</v>
      </c>
      <c r="H1020" s="240">
        <v>0</v>
      </c>
      <c r="I1020" s="240">
        <v>0</v>
      </c>
      <c r="J1020" s="240">
        <v>0</v>
      </c>
      <c r="K1020" s="240">
        <v>0</v>
      </c>
      <c r="L1020" s="240">
        <v>0</v>
      </c>
      <c r="M1020" s="240">
        <v>0</v>
      </c>
      <c r="N1020" s="240">
        <v>0</v>
      </c>
    </row>
    <row r="1021" spans="1:14" x14ac:dyDescent="0.3">
      <c r="A1021" s="135" t="s">
        <v>460</v>
      </c>
      <c r="B1021" s="137" t="s">
        <v>415</v>
      </c>
      <c r="C1021" s="137">
        <v>29</v>
      </c>
      <c r="D1021" s="9">
        <v>35.051896999999997</v>
      </c>
      <c r="E1021" s="8">
        <v>0</v>
      </c>
      <c r="F1021" s="8">
        <v>13.007979000000001</v>
      </c>
      <c r="G1021" s="18">
        <v>10.232759</v>
      </c>
      <c r="H1021" s="240">
        <v>0</v>
      </c>
      <c r="I1021" s="240">
        <v>0</v>
      </c>
      <c r="J1021" s="240">
        <v>0</v>
      </c>
      <c r="K1021" s="240">
        <v>0</v>
      </c>
      <c r="L1021" s="240">
        <v>0</v>
      </c>
      <c r="M1021" s="240">
        <v>0</v>
      </c>
      <c r="N1021" s="240">
        <v>0</v>
      </c>
    </row>
    <row r="1022" spans="1:14" x14ac:dyDescent="0.3">
      <c r="A1022" s="138" t="s">
        <v>460</v>
      </c>
      <c r="B1022" s="137" t="s">
        <v>415</v>
      </c>
      <c r="C1022" s="137">
        <v>30</v>
      </c>
      <c r="D1022" s="9">
        <v>35.0595</v>
      </c>
      <c r="E1022" s="8">
        <v>0</v>
      </c>
      <c r="F1022" s="8">
        <v>13.232939999999999</v>
      </c>
      <c r="G1022" s="18">
        <v>10.408333000000001</v>
      </c>
      <c r="H1022" s="240">
        <v>0</v>
      </c>
      <c r="I1022" s="240">
        <v>0</v>
      </c>
      <c r="J1022" s="240">
        <v>0</v>
      </c>
      <c r="K1022" s="240">
        <v>0</v>
      </c>
      <c r="L1022" s="240">
        <v>0</v>
      </c>
      <c r="M1022" s="240">
        <v>0</v>
      </c>
      <c r="N1022" s="240">
        <v>0</v>
      </c>
    </row>
    <row r="1023" spans="1:14" x14ac:dyDescent="0.3">
      <c r="A1023" s="142" t="s">
        <v>460</v>
      </c>
      <c r="B1023" s="143" t="s">
        <v>422</v>
      </c>
      <c r="C1023" s="143">
        <v>1</v>
      </c>
      <c r="D1023" s="9">
        <v>10.3302</v>
      </c>
      <c r="E1023" s="8">
        <v>2.9257200000000001</v>
      </c>
      <c r="F1023" s="8">
        <v>0.41176800000000002</v>
      </c>
      <c r="G1023" s="18">
        <v>11.25</v>
      </c>
      <c r="H1023" s="240">
        <v>0</v>
      </c>
      <c r="I1023" s="240">
        <v>0</v>
      </c>
      <c r="J1023" s="240">
        <v>0</v>
      </c>
      <c r="K1023" s="240">
        <v>0</v>
      </c>
      <c r="L1023" s="240">
        <v>0</v>
      </c>
      <c r="M1023" s="240">
        <v>0</v>
      </c>
      <c r="N1023" s="240">
        <v>0</v>
      </c>
    </row>
    <row r="1024" spans="1:14" x14ac:dyDescent="0.3">
      <c r="A1024" s="135" t="s">
        <v>460</v>
      </c>
      <c r="B1024" s="136" t="s">
        <v>422</v>
      </c>
      <c r="C1024" s="137">
        <v>2</v>
      </c>
      <c r="D1024" s="9">
        <v>11.018700000000001</v>
      </c>
      <c r="E1024" s="8">
        <v>3.2507999999999999</v>
      </c>
      <c r="F1024" s="8">
        <v>0.73007599999999995</v>
      </c>
      <c r="G1024" s="18">
        <v>9.625</v>
      </c>
      <c r="H1024" s="240">
        <v>0</v>
      </c>
      <c r="I1024" s="240">
        <v>0</v>
      </c>
      <c r="J1024" s="240">
        <v>0</v>
      </c>
      <c r="K1024" s="240">
        <v>0</v>
      </c>
      <c r="L1024" s="240">
        <v>0</v>
      </c>
      <c r="M1024" s="240">
        <v>0</v>
      </c>
      <c r="N1024" s="240">
        <v>0</v>
      </c>
    </row>
    <row r="1025" spans="1:14" x14ac:dyDescent="0.3">
      <c r="A1025" s="135" t="s">
        <v>460</v>
      </c>
      <c r="B1025" s="137" t="s">
        <v>422</v>
      </c>
      <c r="C1025" s="137">
        <v>3</v>
      </c>
      <c r="D1025" s="9">
        <v>11.248200000000001</v>
      </c>
      <c r="E1025" s="8">
        <v>3.3591600000000001</v>
      </c>
      <c r="F1025" s="8">
        <v>0.920157</v>
      </c>
      <c r="G1025" s="18">
        <v>9.5833329999999997</v>
      </c>
      <c r="H1025" s="240">
        <v>0</v>
      </c>
      <c r="I1025" s="240">
        <v>0</v>
      </c>
      <c r="J1025" s="240">
        <v>0</v>
      </c>
      <c r="K1025" s="240">
        <v>0</v>
      </c>
      <c r="L1025" s="240">
        <v>0</v>
      </c>
      <c r="M1025" s="240">
        <v>0</v>
      </c>
      <c r="N1025" s="240">
        <v>0</v>
      </c>
    </row>
    <row r="1026" spans="1:14" x14ac:dyDescent="0.3">
      <c r="A1026" s="135" t="s">
        <v>460</v>
      </c>
      <c r="B1026" s="137" t="s">
        <v>422</v>
      </c>
      <c r="C1026" s="137">
        <v>4</v>
      </c>
      <c r="D1026" s="9">
        <v>11.36295</v>
      </c>
      <c r="E1026" s="8">
        <v>3.4133399999999998</v>
      </c>
      <c r="F1026" s="8">
        <v>1.14523</v>
      </c>
      <c r="G1026" s="18">
        <v>9.875</v>
      </c>
      <c r="H1026" s="240">
        <v>0</v>
      </c>
      <c r="I1026" s="240">
        <v>0</v>
      </c>
      <c r="J1026" s="240">
        <v>0</v>
      </c>
      <c r="K1026" s="240">
        <v>0</v>
      </c>
      <c r="L1026" s="240">
        <v>0</v>
      </c>
      <c r="M1026" s="240">
        <v>0</v>
      </c>
      <c r="N1026" s="240">
        <v>0</v>
      </c>
    </row>
    <row r="1027" spans="1:14" x14ac:dyDescent="0.3">
      <c r="A1027" s="135" t="s">
        <v>460</v>
      </c>
      <c r="B1027" s="137" t="s">
        <v>422</v>
      </c>
      <c r="C1027" s="137">
        <v>5</v>
      </c>
      <c r="D1027" s="9">
        <v>11.431800000000001</v>
      </c>
      <c r="E1027" s="8">
        <v>3.4458479999999998</v>
      </c>
      <c r="F1027" s="8">
        <v>1.280273</v>
      </c>
      <c r="G1027" s="18">
        <v>10.25</v>
      </c>
      <c r="H1027" s="240">
        <v>0</v>
      </c>
      <c r="I1027" s="240">
        <v>0</v>
      </c>
      <c r="J1027" s="240">
        <v>0</v>
      </c>
      <c r="K1027" s="240">
        <v>0</v>
      </c>
      <c r="L1027" s="240">
        <v>0</v>
      </c>
      <c r="M1027" s="240">
        <v>0</v>
      </c>
      <c r="N1027" s="240">
        <v>0</v>
      </c>
    </row>
    <row r="1028" spans="1:14" x14ac:dyDescent="0.3">
      <c r="A1028" s="135" t="s">
        <v>460</v>
      </c>
      <c r="B1028" s="137" t="s">
        <v>422</v>
      </c>
      <c r="C1028" s="137">
        <v>6</v>
      </c>
      <c r="D1028" s="9">
        <v>11.4777</v>
      </c>
      <c r="E1028" s="8">
        <v>3.4675199999999999</v>
      </c>
      <c r="F1028" s="8">
        <v>1.387961</v>
      </c>
      <c r="G1028" s="18">
        <v>10.708333</v>
      </c>
      <c r="H1028" s="240">
        <v>0</v>
      </c>
      <c r="I1028" s="240">
        <v>0</v>
      </c>
      <c r="J1028" s="240">
        <v>0</v>
      </c>
      <c r="K1028" s="240">
        <v>0</v>
      </c>
      <c r="L1028" s="240">
        <v>0</v>
      </c>
      <c r="M1028" s="240">
        <v>0</v>
      </c>
      <c r="N1028" s="240">
        <v>0</v>
      </c>
    </row>
    <row r="1029" spans="1:14" x14ac:dyDescent="0.3">
      <c r="A1029" s="135" t="s">
        <v>460</v>
      </c>
      <c r="B1029" s="137" t="s">
        <v>422</v>
      </c>
      <c r="C1029" s="137">
        <v>7</v>
      </c>
      <c r="D1029" s="9">
        <v>11.510486</v>
      </c>
      <c r="E1029" s="8">
        <v>3.4830000000000001</v>
      </c>
      <c r="F1029" s="8">
        <v>1.5983529999999999</v>
      </c>
      <c r="G1029" s="18">
        <v>11.142856999999999</v>
      </c>
      <c r="H1029" s="240">
        <v>0</v>
      </c>
      <c r="I1029" s="240">
        <v>0</v>
      </c>
      <c r="J1029" s="240">
        <v>0</v>
      </c>
      <c r="K1029" s="240">
        <v>0</v>
      </c>
      <c r="L1029" s="240">
        <v>0</v>
      </c>
      <c r="M1029" s="240">
        <v>0</v>
      </c>
      <c r="N1029" s="240">
        <v>0</v>
      </c>
    </row>
    <row r="1030" spans="1:14" x14ac:dyDescent="0.3">
      <c r="A1030" s="135" t="s">
        <v>460</v>
      </c>
      <c r="B1030" s="137" t="s">
        <v>422</v>
      </c>
      <c r="C1030" s="137">
        <v>8</v>
      </c>
      <c r="D1030" s="9">
        <v>11.535075000000001</v>
      </c>
      <c r="E1030" s="8">
        <v>3.4946100000000002</v>
      </c>
      <c r="F1030" s="8">
        <v>1.7561469999999999</v>
      </c>
      <c r="G1030" s="18">
        <v>11.5625</v>
      </c>
      <c r="H1030" s="240">
        <v>0</v>
      </c>
      <c r="I1030" s="240">
        <v>0</v>
      </c>
      <c r="J1030" s="240">
        <v>0</v>
      </c>
      <c r="K1030" s="240">
        <v>0</v>
      </c>
      <c r="L1030" s="240">
        <v>0</v>
      </c>
      <c r="M1030" s="240">
        <v>0</v>
      </c>
      <c r="N1030" s="240">
        <v>0</v>
      </c>
    </row>
    <row r="1031" spans="1:14" x14ac:dyDescent="0.3">
      <c r="A1031" s="135" t="s">
        <v>460</v>
      </c>
      <c r="B1031" s="137" t="s">
        <v>422</v>
      </c>
      <c r="C1031" s="137">
        <v>9</v>
      </c>
      <c r="D1031" s="9">
        <v>11.5542</v>
      </c>
      <c r="E1031" s="8">
        <v>3.5036399999999999</v>
      </c>
      <c r="F1031" s="8">
        <v>1.895464</v>
      </c>
      <c r="G1031" s="18">
        <v>12</v>
      </c>
      <c r="H1031" s="240">
        <v>0</v>
      </c>
      <c r="I1031" s="240">
        <v>0</v>
      </c>
      <c r="J1031" s="240">
        <v>0</v>
      </c>
      <c r="K1031" s="240">
        <v>0</v>
      </c>
      <c r="L1031" s="240">
        <v>0</v>
      </c>
      <c r="M1031" s="240">
        <v>0</v>
      </c>
      <c r="N1031" s="240">
        <v>0</v>
      </c>
    </row>
    <row r="1032" spans="1:14" x14ac:dyDescent="0.3">
      <c r="A1032" s="135" t="s">
        <v>460</v>
      </c>
      <c r="B1032" s="137" t="s">
        <v>422</v>
      </c>
      <c r="C1032" s="137">
        <v>10</v>
      </c>
      <c r="D1032" s="9">
        <v>11.5695</v>
      </c>
      <c r="E1032" s="8">
        <v>3.5108640000000002</v>
      </c>
      <c r="F1032" s="8">
        <v>2.0069170000000001</v>
      </c>
      <c r="G1032" s="18">
        <v>12.425000000000001</v>
      </c>
      <c r="H1032" s="240">
        <v>0</v>
      </c>
      <c r="I1032" s="240">
        <v>0</v>
      </c>
      <c r="J1032" s="240">
        <v>0</v>
      </c>
      <c r="K1032" s="240">
        <v>0</v>
      </c>
      <c r="L1032" s="240">
        <v>0</v>
      </c>
      <c r="M1032" s="240">
        <v>0</v>
      </c>
      <c r="N1032" s="240">
        <v>0</v>
      </c>
    </row>
    <row r="1033" spans="1:14" x14ac:dyDescent="0.3">
      <c r="A1033" s="135" t="s">
        <v>460</v>
      </c>
      <c r="B1033" s="137" t="s">
        <v>422</v>
      </c>
      <c r="C1033" s="137">
        <v>11</v>
      </c>
      <c r="D1033" s="9">
        <v>11.582018</v>
      </c>
      <c r="E1033" s="8">
        <v>3.516775</v>
      </c>
      <c r="F1033" s="8">
        <v>2.179103</v>
      </c>
      <c r="G1033" s="18">
        <v>12.863636</v>
      </c>
      <c r="H1033" s="240">
        <v>0</v>
      </c>
      <c r="I1033" s="240">
        <v>0</v>
      </c>
      <c r="J1033" s="240">
        <v>0</v>
      </c>
      <c r="K1033" s="240">
        <v>0</v>
      </c>
      <c r="L1033" s="240">
        <v>0</v>
      </c>
      <c r="M1033" s="240">
        <v>0</v>
      </c>
      <c r="N1033" s="240">
        <v>0</v>
      </c>
    </row>
    <row r="1034" spans="1:14" x14ac:dyDescent="0.3">
      <c r="A1034" s="135" t="s">
        <v>460</v>
      </c>
      <c r="B1034" s="137" t="s">
        <v>422</v>
      </c>
      <c r="C1034" s="137">
        <v>12</v>
      </c>
      <c r="D1034" s="9">
        <v>11.592449999999999</v>
      </c>
      <c r="E1034" s="8">
        <v>3.5217000000000001</v>
      </c>
      <c r="F1034" s="8">
        <v>2.358711</v>
      </c>
      <c r="G1034" s="18">
        <v>13.270833</v>
      </c>
      <c r="H1034" s="240">
        <v>0</v>
      </c>
      <c r="I1034" s="240">
        <v>0</v>
      </c>
      <c r="J1034" s="240">
        <v>0</v>
      </c>
      <c r="K1034" s="240">
        <v>0</v>
      </c>
      <c r="L1034" s="240">
        <v>0</v>
      </c>
      <c r="M1034" s="240">
        <v>0</v>
      </c>
      <c r="N1034" s="240">
        <v>0</v>
      </c>
    </row>
    <row r="1035" spans="1:14" x14ac:dyDescent="0.3">
      <c r="A1035" s="135" t="s">
        <v>460</v>
      </c>
      <c r="B1035" s="137" t="s">
        <v>422</v>
      </c>
      <c r="C1035" s="137">
        <v>13</v>
      </c>
      <c r="D1035" s="9">
        <v>11.601277</v>
      </c>
      <c r="E1035" s="8">
        <v>3.525868</v>
      </c>
      <c r="F1035" s="8">
        <v>2.5106869999999999</v>
      </c>
      <c r="G1035" s="18">
        <v>13.673076999999999</v>
      </c>
      <c r="H1035" s="240">
        <v>0</v>
      </c>
      <c r="I1035" s="240">
        <v>0</v>
      </c>
      <c r="J1035" s="240">
        <v>0</v>
      </c>
      <c r="K1035" s="240">
        <v>0</v>
      </c>
      <c r="L1035" s="240">
        <v>0</v>
      </c>
      <c r="M1035" s="240">
        <v>0</v>
      </c>
      <c r="N1035" s="240">
        <v>0</v>
      </c>
    </row>
    <row r="1036" spans="1:14" x14ac:dyDescent="0.3">
      <c r="A1036" s="135" t="s">
        <v>460</v>
      </c>
      <c r="B1036" s="137" t="s">
        <v>422</v>
      </c>
      <c r="C1036" s="137">
        <v>14</v>
      </c>
      <c r="D1036" s="9">
        <v>11.608843</v>
      </c>
      <c r="E1036" s="8">
        <v>3.5294400000000001</v>
      </c>
      <c r="F1036" s="8">
        <v>2.6409530000000001</v>
      </c>
      <c r="G1036" s="18">
        <v>14.071429</v>
      </c>
      <c r="H1036" s="240">
        <v>0</v>
      </c>
      <c r="I1036" s="240">
        <v>0</v>
      </c>
      <c r="J1036" s="240">
        <v>0</v>
      </c>
      <c r="K1036" s="240">
        <v>0</v>
      </c>
      <c r="L1036" s="240">
        <v>0</v>
      </c>
      <c r="M1036" s="240">
        <v>0</v>
      </c>
      <c r="N1036" s="240">
        <v>0</v>
      </c>
    </row>
    <row r="1037" spans="1:14" x14ac:dyDescent="0.3">
      <c r="A1037" s="135" t="s">
        <v>460</v>
      </c>
      <c r="B1037" s="137" t="s">
        <v>422</v>
      </c>
      <c r="C1037" s="137">
        <v>15</v>
      </c>
      <c r="D1037" s="9">
        <v>11.615399999999999</v>
      </c>
      <c r="E1037" s="8">
        <v>3.5325359999999999</v>
      </c>
      <c r="F1037" s="8">
        <v>2.7538490000000002</v>
      </c>
      <c r="G1037" s="18">
        <v>14.466666999999999</v>
      </c>
      <c r="H1037" s="240">
        <v>0</v>
      </c>
      <c r="I1037" s="240">
        <v>0</v>
      </c>
      <c r="J1037" s="240">
        <v>0</v>
      </c>
      <c r="K1037" s="240">
        <v>0</v>
      </c>
      <c r="L1037" s="240">
        <v>0</v>
      </c>
      <c r="M1037" s="240">
        <v>0</v>
      </c>
      <c r="N1037" s="240">
        <v>0</v>
      </c>
    </row>
    <row r="1038" spans="1:14" x14ac:dyDescent="0.3">
      <c r="A1038" s="135" t="s">
        <v>460</v>
      </c>
      <c r="B1038" s="137" t="s">
        <v>422</v>
      </c>
      <c r="C1038" s="137">
        <v>16</v>
      </c>
      <c r="D1038" s="9">
        <v>11.621136999999999</v>
      </c>
      <c r="E1038" s="8">
        <v>3.5352450000000002</v>
      </c>
      <c r="F1038" s="8">
        <v>2.9393210000000001</v>
      </c>
      <c r="G1038" s="18">
        <v>14.84375</v>
      </c>
      <c r="H1038" s="240">
        <v>0</v>
      </c>
      <c r="I1038" s="240">
        <v>0</v>
      </c>
      <c r="J1038" s="240">
        <v>0</v>
      </c>
      <c r="K1038" s="240">
        <v>0</v>
      </c>
      <c r="L1038" s="240">
        <v>0</v>
      </c>
      <c r="M1038" s="240">
        <v>0</v>
      </c>
      <c r="N1038" s="240">
        <v>0</v>
      </c>
    </row>
    <row r="1039" spans="1:14" x14ac:dyDescent="0.3">
      <c r="A1039" s="135" t="s">
        <v>460</v>
      </c>
      <c r="B1039" s="137" t="s">
        <v>422</v>
      </c>
      <c r="C1039" s="137">
        <v>17</v>
      </c>
      <c r="D1039" s="9">
        <v>11.626200000000001</v>
      </c>
      <c r="E1039" s="8">
        <v>3.5376349999999999</v>
      </c>
      <c r="F1039" s="8">
        <v>3.1029740000000001</v>
      </c>
      <c r="G1039" s="18">
        <v>15.220587999999999</v>
      </c>
      <c r="H1039" s="240">
        <v>0</v>
      </c>
      <c r="I1039" s="240">
        <v>0</v>
      </c>
      <c r="J1039" s="240">
        <v>0</v>
      </c>
      <c r="K1039" s="240">
        <v>0</v>
      </c>
      <c r="L1039" s="240">
        <v>0</v>
      </c>
      <c r="M1039" s="240">
        <v>0</v>
      </c>
      <c r="N1039" s="240">
        <v>0</v>
      </c>
    </row>
    <row r="1040" spans="1:14" x14ac:dyDescent="0.3">
      <c r="A1040" s="135" t="s">
        <v>460</v>
      </c>
      <c r="B1040" s="137" t="s">
        <v>422</v>
      </c>
      <c r="C1040" s="137">
        <v>18</v>
      </c>
      <c r="D1040" s="9">
        <v>11.773444223332115</v>
      </c>
      <c r="E1040" s="8">
        <v>3.606817726796042</v>
      </c>
      <c r="F1040" s="8">
        <v>3.1846999999999999</v>
      </c>
      <c r="G1040" s="18">
        <v>16.1829</v>
      </c>
      <c r="H1040" s="240">
        <v>0</v>
      </c>
      <c r="I1040" s="240">
        <v>0</v>
      </c>
      <c r="J1040" s="240">
        <v>0</v>
      </c>
      <c r="K1040" s="240">
        <v>0</v>
      </c>
      <c r="L1040" s="240">
        <v>0</v>
      </c>
      <c r="M1040" s="240">
        <v>0</v>
      </c>
      <c r="N1040" s="240">
        <v>0</v>
      </c>
    </row>
    <row r="1041" spans="1:14" x14ac:dyDescent="0.3">
      <c r="A1041" s="135" t="s">
        <v>460</v>
      </c>
      <c r="B1041" s="137" t="s">
        <v>422</v>
      </c>
      <c r="C1041" s="137">
        <v>19</v>
      </c>
      <c r="D1041" s="9">
        <v>11.793692397697832</v>
      </c>
      <c r="E1041" s="8">
        <v>3.616376811516627</v>
      </c>
      <c r="F1041" s="8">
        <v>3.3090999999999999</v>
      </c>
      <c r="G1041" s="18">
        <v>16.8125</v>
      </c>
      <c r="H1041" s="240">
        <v>0</v>
      </c>
      <c r="I1041" s="240">
        <v>0</v>
      </c>
      <c r="J1041" s="240">
        <v>0</v>
      </c>
      <c r="K1041" s="240">
        <v>0</v>
      </c>
      <c r="L1041" s="240">
        <v>0</v>
      </c>
      <c r="M1041" s="240">
        <v>0</v>
      </c>
      <c r="N1041" s="240">
        <v>0</v>
      </c>
    </row>
    <row r="1042" spans="1:14" x14ac:dyDescent="0.3">
      <c r="A1042" s="135" t="s">
        <v>460</v>
      </c>
      <c r="B1042" s="137" t="s">
        <v>422</v>
      </c>
      <c r="C1042" s="137">
        <v>20</v>
      </c>
      <c r="D1042" s="9">
        <v>11.812901736445971</v>
      </c>
      <c r="E1042" s="8">
        <v>3.6254454659643458</v>
      </c>
      <c r="F1042" s="8">
        <v>3.4299000000000004</v>
      </c>
      <c r="G1042" s="18">
        <v>17.4711</v>
      </c>
      <c r="H1042" s="240">
        <v>0</v>
      </c>
      <c r="I1042" s="240">
        <v>0</v>
      </c>
      <c r="J1042" s="240">
        <v>0</v>
      </c>
      <c r="K1042" s="240">
        <v>0</v>
      </c>
      <c r="L1042" s="240">
        <v>0</v>
      </c>
      <c r="M1042" s="240">
        <v>0</v>
      </c>
      <c r="N1042" s="240">
        <v>0</v>
      </c>
    </row>
    <row r="1043" spans="1:14" x14ac:dyDescent="0.3">
      <c r="A1043" s="135" t="s">
        <v>460</v>
      </c>
      <c r="B1043" s="137" t="s">
        <v>422</v>
      </c>
      <c r="C1043" s="137">
        <v>21</v>
      </c>
      <c r="D1043" s="9">
        <v>11.831173652927422</v>
      </c>
      <c r="E1043" s="8">
        <v>3.6340715669895012</v>
      </c>
      <c r="F1043" s="8">
        <v>3.5470999999999999</v>
      </c>
      <c r="G1043" s="18">
        <v>18.158700000000003</v>
      </c>
      <c r="H1043" s="240">
        <v>0</v>
      </c>
      <c r="I1043" s="240">
        <v>0</v>
      </c>
      <c r="J1043" s="240">
        <v>0</v>
      </c>
      <c r="K1043" s="240">
        <v>0</v>
      </c>
      <c r="L1043" s="240">
        <v>0</v>
      </c>
      <c r="M1043" s="240">
        <v>0</v>
      </c>
      <c r="N1043" s="240">
        <v>0</v>
      </c>
    </row>
    <row r="1044" spans="1:14" x14ac:dyDescent="0.3">
      <c r="A1044" s="135" t="s">
        <v>460</v>
      </c>
      <c r="B1044" s="137" t="s">
        <v>422</v>
      </c>
      <c r="C1044" s="137">
        <v>22</v>
      </c>
      <c r="D1044" s="9">
        <v>11.84859539878269</v>
      </c>
      <c r="E1044" s="8">
        <v>3.6422963057537503</v>
      </c>
      <c r="F1044" s="8">
        <v>3.6606999999999998</v>
      </c>
      <c r="G1044" s="18">
        <v>18.875300000000003</v>
      </c>
      <c r="H1044" s="240">
        <v>0</v>
      </c>
      <c r="I1044" s="240">
        <v>0</v>
      </c>
      <c r="J1044" s="240">
        <v>0</v>
      </c>
      <c r="K1044" s="240">
        <v>0</v>
      </c>
      <c r="L1044" s="240">
        <v>0</v>
      </c>
      <c r="M1044" s="240">
        <v>0</v>
      </c>
      <c r="N1044" s="240">
        <v>0</v>
      </c>
    </row>
    <row r="1045" spans="1:14" x14ac:dyDescent="0.3">
      <c r="A1045" s="135" t="s">
        <v>460</v>
      </c>
      <c r="B1045" s="137" t="s">
        <v>422</v>
      </c>
      <c r="C1045" s="137">
        <v>23</v>
      </c>
      <c r="D1045" s="9">
        <v>11.865242583865466</v>
      </c>
      <c r="E1045" s="8">
        <v>3.650155377376274</v>
      </c>
      <c r="F1045" s="8">
        <v>3.7706999999999997</v>
      </c>
      <c r="G1045" s="18">
        <v>19.620900000000002</v>
      </c>
      <c r="H1045" s="240">
        <v>0</v>
      </c>
      <c r="I1045" s="240">
        <v>0</v>
      </c>
      <c r="J1045" s="240">
        <v>0</v>
      </c>
      <c r="K1045" s="240">
        <v>0</v>
      </c>
      <c r="L1045" s="240">
        <v>0</v>
      </c>
      <c r="M1045" s="240">
        <v>0</v>
      </c>
      <c r="N1045" s="240">
        <v>0</v>
      </c>
    </row>
    <row r="1046" spans="1:14" x14ac:dyDescent="0.3">
      <c r="A1046" s="135" t="s">
        <v>460</v>
      </c>
      <c r="B1046" s="137" t="s">
        <v>422</v>
      </c>
      <c r="C1046" s="137">
        <v>24</v>
      </c>
      <c r="D1046" s="9">
        <v>11.881181159465307</v>
      </c>
      <c r="E1046" s="8">
        <v>3.6576799172055168</v>
      </c>
      <c r="F1046" s="8">
        <v>3.8770999999999995</v>
      </c>
      <c r="G1046" s="18">
        <v>20.395500000000002</v>
      </c>
      <c r="H1046" s="240">
        <v>0</v>
      </c>
      <c r="I1046" s="240">
        <v>0</v>
      </c>
      <c r="J1046" s="240">
        <v>0</v>
      </c>
      <c r="K1046" s="240">
        <v>0</v>
      </c>
      <c r="L1046" s="240">
        <v>0</v>
      </c>
      <c r="M1046" s="240">
        <v>0</v>
      </c>
      <c r="N1046" s="240">
        <v>0</v>
      </c>
    </row>
    <row r="1047" spans="1:14" x14ac:dyDescent="0.3">
      <c r="A1047" s="135" t="s">
        <v>460</v>
      </c>
      <c r="B1047" s="137" t="s">
        <v>422</v>
      </c>
      <c r="C1047" s="137">
        <v>25</v>
      </c>
      <c r="D1047" s="9">
        <v>11.896468996413141</v>
      </c>
      <c r="E1047" s="8">
        <v>3.664897245836698</v>
      </c>
      <c r="F1047" s="8">
        <v>3.9799000000000002</v>
      </c>
      <c r="G1047" s="18">
        <v>21.199100000000001</v>
      </c>
      <c r="H1047" s="240">
        <v>0</v>
      </c>
      <c r="I1047" s="240">
        <v>0</v>
      </c>
      <c r="J1047" s="240">
        <v>0</v>
      </c>
      <c r="K1047" s="240">
        <v>0</v>
      </c>
      <c r="L1047" s="240">
        <v>0</v>
      </c>
      <c r="M1047" s="240">
        <v>0</v>
      </c>
      <c r="N1047" s="240">
        <v>0</v>
      </c>
    </row>
    <row r="1048" spans="1:14" x14ac:dyDescent="0.3">
      <c r="A1048" s="135" t="s">
        <v>460</v>
      </c>
      <c r="B1048" s="137" t="s">
        <v>422</v>
      </c>
      <c r="C1048" s="137">
        <v>26</v>
      </c>
      <c r="D1048" s="9">
        <v>11.911157153489047</v>
      </c>
      <c r="E1048" s="8">
        <v>3.6718314679221979</v>
      </c>
      <c r="F1048" s="8">
        <v>4.0791000000000004</v>
      </c>
      <c r="G1048" s="18">
        <v>22.031700000000001</v>
      </c>
      <c r="H1048" s="240">
        <v>0</v>
      </c>
      <c r="I1048" s="240">
        <v>0</v>
      </c>
      <c r="J1048" s="240">
        <v>0</v>
      </c>
      <c r="K1048" s="240">
        <v>0</v>
      </c>
      <c r="L1048" s="240">
        <v>0</v>
      </c>
      <c r="M1048" s="240">
        <v>0</v>
      </c>
      <c r="N1048" s="240">
        <v>0</v>
      </c>
    </row>
    <row r="1049" spans="1:14" x14ac:dyDescent="0.3">
      <c r="A1049" s="135" t="s">
        <v>460</v>
      </c>
      <c r="B1049" s="137" t="s">
        <v>422</v>
      </c>
      <c r="C1049" s="137">
        <v>27</v>
      </c>
      <c r="D1049" s="9">
        <v>11.925290906318622</v>
      </c>
      <c r="E1049" s="8">
        <v>3.6785039579095655</v>
      </c>
      <c r="F1049" s="8">
        <v>4.1747000000000005</v>
      </c>
      <c r="G1049" s="18">
        <v>22.893300000000004</v>
      </c>
      <c r="H1049" s="240">
        <v>0</v>
      </c>
      <c r="I1049" s="240">
        <v>0</v>
      </c>
      <c r="J1049" s="240">
        <v>0</v>
      </c>
      <c r="K1049" s="240">
        <v>0</v>
      </c>
      <c r="L1049" s="240">
        <v>0</v>
      </c>
      <c r="M1049" s="240">
        <v>0</v>
      </c>
      <c r="N1049" s="240">
        <v>0</v>
      </c>
    </row>
    <row r="1050" spans="1:14" x14ac:dyDescent="0.3">
      <c r="A1050" s="135" t="s">
        <v>460</v>
      </c>
      <c r="B1050" s="137" t="s">
        <v>422</v>
      </c>
      <c r="C1050" s="137">
        <v>28</v>
      </c>
      <c r="D1050" s="9">
        <v>11.938910589060615</v>
      </c>
      <c r="E1050" s="8">
        <v>3.6849337573989764</v>
      </c>
      <c r="F1050" s="8">
        <v>4.2667000000000002</v>
      </c>
      <c r="G1050" s="18">
        <v>23.783900000000003</v>
      </c>
      <c r="H1050" s="240">
        <v>0</v>
      </c>
      <c r="I1050" s="240">
        <v>0</v>
      </c>
      <c r="J1050" s="240">
        <v>0</v>
      </c>
      <c r="K1050" s="240">
        <v>0</v>
      </c>
      <c r="L1050" s="240">
        <v>0</v>
      </c>
      <c r="M1050" s="240">
        <v>0</v>
      </c>
      <c r="N1050" s="240">
        <v>0</v>
      </c>
    </row>
    <row r="1051" spans="1:14" x14ac:dyDescent="0.3">
      <c r="A1051" s="135" t="s">
        <v>460</v>
      </c>
      <c r="B1051" s="137" t="s">
        <v>422</v>
      </c>
      <c r="C1051" s="137">
        <v>29</v>
      </c>
      <c r="D1051" s="9">
        <v>11.952052288329936</v>
      </c>
      <c r="E1051" s="8">
        <v>3.6911379027416089</v>
      </c>
      <c r="F1051" s="8">
        <v>4.3551000000000002</v>
      </c>
      <c r="G1051" s="18">
        <v>24.703500000000002</v>
      </c>
      <c r="H1051" s="240">
        <v>0</v>
      </c>
      <c r="I1051" s="240">
        <v>0</v>
      </c>
      <c r="J1051" s="240">
        <v>0</v>
      </c>
      <c r="K1051" s="240">
        <v>0</v>
      </c>
      <c r="L1051" s="240">
        <v>0</v>
      </c>
      <c r="M1051" s="240">
        <v>0</v>
      </c>
      <c r="N1051" s="240">
        <v>0</v>
      </c>
    </row>
    <row r="1052" spans="1:14" x14ac:dyDescent="0.3">
      <c r="A1052" s="138" t="s">
        <v>460</v>
      </c>
      <c r="B1052" s="137" t="s">
        <v>422</v>
      </c>
      <c r="C1052" s="137">
        <v>30</v>
      </c>
      <c r="D1052" s="9">
        <v>11.964748419432478</v>
      </c>
      <c r="E1052" s="8">
        <v>3.6971316970778694</v>
      </c>
      <c r="F1052" s="8">
        <v>4.4399000000000006</v>
      </c>
      <c r="G1052" s="18">
        <v>25.652100000000001</v>
      </c>
      <c r="H1052" s="240">
        <v>0</v>
      </c>
      <c r="I1052" s="240">
        <v>0</v>
      </c>
      <c r="J1052" s="240">
        <v>0</v>
      </c>
      <c r="K1052" s="240">
        <v>0</v>
      </c>
      <c r="L1052" s="240">
        <v>0</v>
      </c>
      <c r="M1052" s="240">
        <v>0</v>
      </c>
      <c r="N1052" s="240">
        <v>0</v>
      </c>
    </row>
    <row r="1053" spans="1:14" x14ac:dyDescent="0.3">
      <c r="A1053" s="142" t="s">
        <v>461</v>
      </c>
      <c r="B1053" s="143" t="s">
        <v>412</v>
      </c>
      <c r="C1053" s="143">
        <v>1</v>
      </c>
      <c r="D1053" s="9">
        <v>70.2</v>
      </c>
      <c r="E1053" s="8">
        <v>0</v>
      </c>
      <c r="F1053" s="8">
        <v>55.125</v>
      </c>
      <c r="G1053" s="18">
        <v>5</v>
      </c>
      <c r="H1053" s="240">
        <v>0</v>
      </c>
      <c r="I1053" s="240">
        <v>0</v>
      </c>
      <c r="J1053" s="240">
        <v>0</v>
      </c>
      <c r="K1053" s="240">
        <v>0</v>
      </c>
      <c r="L1053" s="240">
        <v>0</v>
      </c>
      <c r="M1053" s="240">
        <v>0</v>
      </c>
      <c r="N1053" s="240">
        <v>0</v>
      </c>
    </row>
    <row r="1054" spans="1:14" x14ac:dyDescent="0.3">
      <c r="A1054" s="135" t="s">
        <v>461</v>
      </c>
      <c r="B1054" s="136" t="s">
        <v>412</v>
      </c>
      <c r="C1054" s="137">
        <v>2</v>
      </c>
      <c r="D1054" s="9">
        <v>70.2</v>
      </c>
      <c r="E1054" s="8">
        <v>0</v>
      </c>
      <c r="F1054" s="8">
        <v>55.125</v>
      </c>
      <c r="G1054" s="18">
        <v>5</v>
      </c>
      <c r="H1054" s="240">
        <v>0</v>
      </c>
      <c r="I1054" s="240">
        <v>0</v>
      </c>
      <c r="J1054" s="240">
        <v>0</v>
      </c>
      <c r="K1054" s="240">
        <v>0</v>
      </c>
      <c r="L1054" s="240">
        <v>0</v>
      </c>
      <c r="M1054" s="240">
        <v>0</v>
      </c>
      <c r="N1054" s="240">
        <v>0</v>
      </c>
    </row>
    <row r="1055" spans="1:14" x14ac:dyDescent="0.3">
      <c r="A1055" s="135" t="s">
        <v>461</v>
      </c>
      <c r="B1055" s="137" t="s">
        <v>412</v>
      </c>
      <c r="C1055" s="137">
        <v>3</v>
      </c>
      <c r="D1055" s="9">
        <v>70.2</v>
      </c>
      <c r="E1055" s="8">
        <v>0</v>
      </c>
      <c r="F1055" s="8">
        <v>55.125</v>
      </c>
      <c r="G1055" s="18">
        <v>5.3333329999999997</v>
      </c>
      <c r="H1055" s="240">
        <v>0</v>
      </c>
      <c r="I1055" s="240">
        <v>0</v>
      </c>
      <c r="J1055" s="240">
        <v>0</v>
      </c>
      <c r="K1055" s="240">
        <v>0</v>
      </c>
      <c r="L1055" s="240">
        <v>0</v>
      </c>
      <c r="M1055" s="240">
        <v>0</v>
      </c>
      <c r="N1055" s="240">
        <v>0</v>
      </c>
    </row>
    <row r="1056" spans="1:14" x14ac:dyDescent="0.3">
      <c r="A1056" s="135" t="s">
        <v>461</v>
      </c>
      <c r="B1056" s="137" t="s">
        <v>412</v>
      </c>
      <c r="C1056" s="137">
        <v>4</v>
      </c>
      <c r="D1056" s="9">
        <v>70.2</v>
      </c>
      <c r="E1056" s="8">
        <v>0</v>
      </c>
      <c r="F1056" s="8">
        <v>55.125</v>
      </c>
      <c r="G1056" s="18">
        <v>5.75</v>
      </c>
      <c r="H1056" s="240">
        <v>0</v>
      </c>
      <c r="I1056" s="240">
        <v>0</v>
      </c>
      <c r="J1056" s="240">
        <v>0</v>
      </c>
      <c r="K1056" s="240">
        <v>0</v>
      </c>
      <c r="L1056" s="240">
        <v>0</v>
      </c>
      <c r="M1056" s="240">
        <v>0</v>
      </c>
      <c r="N1056" s="240">
        <v>0</v>
      </c>
    </row>
    <row r="1057" spans="1:14" x14ac:dyDescent="0.3">
      <c r="A1057" s="135" t="s">
        <v>461</v>
      </c>
      <c r="B1057" s="137" t="s">
        <v>412</v>
      </c>
      <c r="C1057" s="137">
        <v>5</v>
      </c>
      <c r="D1057" s="9">
        <v>70.2</v>
      </c>
      <c r="E1057" s="8">
        <v>0</v>
      </c>
      <c r="F1057" s="8">
        <v>55.125</v>
      </c>
      <c r="G1057" s="18">
        <v>6.1</v>
      </c>
      <c r="H1057" s="240">
        <v>0</v>
      </c>
      <c r="I1057" s="240">
        <v>0</v>
      </c>
      <c r="J1057" s="240">
        <v>0</v>
      </c>
      <c r="K1057" s="240">
        <v>0</v>
      </c>
      <c r="L1057" s="240">
        <v>0</v>
      </c>
      <c r="M1057" s="240">
        <v>0</v>
      </c>
      <c r="N1057" s="240">
        <v>0</v>
      </c>
    </row>
    <row r="1058" spans="1:14" x14ac:dyDescent="0.3">
      <c r="A1058" s="135" t="s">
        <v>461</v>
      </c>
      <c r="B1058" s="137" t="s">
        <v>412</v>
      </c>
      <c r="C1058" s="137">
        <v>6</v>
      </c>
      <c r="D1058" s="9">
        <v>70.2</v>
      </c>
      <c r="E1058" s="8">
        <v>0</v>
      </c>
      <c r="F1058" s="8">
        <v>55.125</v>
      </c>
      <c r="G1058" s="18">
        <v>6.4583329999999997</v>
      </c>
      <c r="H1058" s="240">
        <v>0</v>
      </c>
      <c r="I1058" s="240">
        <v>0</v>
      </c>
      <c r="J1058" s="240">
        <v>0</v>
      </c>
      <c r="K1058" s="240">
        <v>0</v>
      </c>
      <c r="L1058" s="240">
        <v>0</v>
      </c>
      <c r="M1058" s="240">
        <v>0</v>
      </c>
      <c r="N1058" s="240">
        <v>0</v>
      </c>
    </row>
    <row r="1059" spans="1:14" x14ac:dyDescent="0.3">
      <c r="A1059" s="135" t="s">
        <v>461</v>
      </c>
      <c r="B1059" s="137" t="s">
        <v>412</v>
      </c>
      <c r="C1059" s="137">
        <v>7</v>
      </c>
      <c r="D1059" s="9">
        <v>70.2</v>
      </c>
      <c r="E1059" s="8">
        <v>0</v>
      </c>
      <c r="F1059" s="8">
        <v>57.75</v>
      </c>
      <c r="G1059" s="18">
        <v>6.9285709999999998</v>
      </c>
      <c r="H1059" s="240">
        <v>0</v>
      </c>
      <c r="I1059" s="240">
        <v>0</v>
      </c>
      <c r="J1059" s="240">
        <v>0</v>
      </c>
      <c r="K1059" s="240">
        <v>0</v>
      </c>
      <c r="L1059" s="240">
        <v>0</v>
      </c>
      <c r="M1059" s="240">
        <v>0</v>
      </c>
      <c r="N1059" s="240">
        <v>0</v>
      </c>
    </row>
    <row r="1060" spans="1:14" x14ac:dyDescent="0.3">
      <c r="A1060" s="135" t="s">
        <v>461</v>
      </c>
      <c r="B1060" s="137" t="s">
        <v>412</v>
      </c>
      <c r="C1060" s="137">
        <v>8</v>
      </c>
      <c r="D1060" s="9">
        <v>70.2</v>
      </c>
      <c r="E1060" s="8">
        <v>0</v>
      </c>
      <c r="F1060" s="8">
        <v>59.71875</v>
      </c>
      <c r="G1060" s="18">
        <v>7.34375</v>
      </c>
      <c r="H1060" s="240">
        <v>0</v>
      </c>
      <c r="I1060" s="240">
        <v>0</v>
      </c>
      <c r="J1060" s="240">
        <v>0</v>
      </c>
      <c r="K1060" s="240">
        <v>0</v>
      </c>
      <c r="L1060" s="240">
        <v>0</v>
      </c>
      <c r="M1060" s="240">
        <v>0</v>
      </c>
      <c r="N1060" s="240">
        <v>0</v>
      </c>
    </row>
    <row r="1061" spans="1:14" x14ac:dyDescent="0.3">
      <c r="A1061" s="135" t="s">
        <v>461</v>
      </c>
      <c r="B1061" s="137" t="s">
        <v>412</v>
      </c>
      <c r="C1061" s="137">
        <v>9</v>
      </c>
      <c r="D1061" s="9">
        <v>70.2</v>
      </c>
      <c r="E1061" s="8">
        <v>0</v>
      </c>
      <c r="F1061" s="8">
        <v>61.25</v>
      </c>
      <c r="G1061" s="18">
        <v>7.75</v>
      </c>
      <c r="H1061" s="240">
        <v>0</v>
      </c>
      <c r="I1061" s="240">
        <v>0</v>
      </c>
      <c r="J1061" s="240">
        <v>0</v>
      </c>
      <c r="K1061" s="240">
        <v>0</v>
      </c>
      <c r="L1061" s="240">
        <v>0</v>
      </c>
      <c r="M1061" s="240">
        <v>0</v>
      </c>
      <c r="N1061" s="240">
        <v>0</v>
      </c>
    </row>
    <row r="1062" spans="1:14" x14ac:dyDescent="0.3">
      <c r="A1062" s="135" t="s">
        <v>461</v>
      </c>
      <c r="B1062" s="137" t="s">
        <v>412</v>
      </c>
      <c r="C1062" s="137">
        <v>10</v>
      </c>
      <c r="D1062" s="9">
        <v>70.2</v>
      </c>
      <c r="E1062" s="8">
        <v>0</v>
      </c>
      <c r="F1062" s="8">
        <v>62.475000000000001</v>
      </c>
      <c r="G1062" s="18">
        <v>8.15</v>
      </c>
      <c r="H1062" s="240">
        <v>0</v>
      </c>
      <c r="I1062" s="240">
        <v>0</v>
      </c>
      <c r="J1062" s="240">
        <v>0</v>
      </c>
      <c r="K1062" s="240">
        <v>0</v>
      </c>
      <c r="L1062" s="240">
        <v>0</v>
      </c>
      <c r="M1062" s="240">
        <v>0</v>
      </c>
      <c r="N1062" s="240">
        <v>0</v>
      </c>
    </row>
    <row r="1063" spans="1:14" x14ac:dyDescent="0.3">
      <c r="A1063" s="135" t="s">
        <v>461</v>
      </c>
      <c r="B1063" s="137" t="s">
        <v>412</v>
      </c>
      <c r="C1063" s="137">
        <v>11</v>
      </c>
      <c r="D1063" s="9">
        <v>70.2</v>
      </c>
      <c r="E1063" s="8">
        <v>0</v>
      </c>
      <c r="F1063" s="8">
        <v>63.477272999999997</v>
      </c>
      <c r="G1063" s="18">
        <v>8.5227269999999997</v>
      </c>
      <c r="H1063" s="240">
        <v>0</v>
      </c>
      <c r="I1063" s="240">
        <v>0</v>
      </c>
      <c r="J1063" s="240">
        <v>0</v>
      </c>
      <c r="K1063" s="240">
        <v>0</v>
      </c>
      <c r="L1063" s="240">
        <v>0</v>
      </c>
      <c r="M1063" s="240">
        <v>0</v>
      </c>
      <c r="N1063" s="240">
        <v>0</v>
      </c>
    </row>
    <row r="1064" spans="1:14" x14ac:dyDescent="0.3">
      <c r="A1064" s="135" t="s">
        <v>461</v>
      </c>
      <c r="B1064" s="137" t="s">
        <v>412</v>
      </c>
      <c r="C1064" s="137">
        <v>12</v>
      </c>
      <c r="D1064" s="9">
        <v>70.2</v>
      </c>
      <c r="E1064" s="8">
        <v>0</v>
      </c>
      <c r="F1064" s="8">
        <v>64.3125</v>
      </c>
      <c r="G1064" s="18">
        <v>8.875</v>
      </c>
      <c r="H1064" s="240">
        <v>0</v>
      </c>
      <c r="I1064" s="240">
        <v>0</v>
      </c>
      <c r="J1064" s="240">
        <v>0</v>
      </c>
      <c r="K1064" s="240">
        <v>0</v>
      </c>
      <c r="L1064" s="240">
        <v>0</v>
      </c>
      <c r="M1064" s="240">
        <v>0</v>
      </c>
      <c r="N1064" s="240">
        <v>0</v>
      </c>
    </row>
    <row r="1065" spans="1:14" x14ac:dyDescent="0.3">
      <c r="A1065" s="135" t="s">
        <v>461</v>
      </c>
      <c r="B1065" s="137" t="s">
        <v>412</v>
      </c>
      <c r="C1065" s="137">
        <v>13</v>
      </c>
      <c r="D1065" s="9">
        <v>70.2</v>
      </c>
      <c r="E1065" s="8">
        <v>0</v>
      </c>
      <c r="F1065" s="8">
        <v>65.019231000000005</v>
      </c>
      <c r="G1065" s="18">
        <v>9.2115379999999991</v>
      </c>
      <c r="H1065" s="240">
        <v>0</v>
      </c>
      <c r="I1065" s="240">
        <v>0</v>
      </c>
      <c r="J1065" s="240">
        <v>0</v>
      </c>
      <c r="K1065" s="240">
        <v>0</v>
      </c>
      <c r="L1065" s="240">
        <v>0</v>
      </c>
      <c r="M1065" s="240">
        <v>0</v>
      </c>
      <c r="N1065" s="240">
        <v>0</v>
      </c>
    </row>
    <row r="1066" spans="1:14" x14ac:dyDescent="0.3">
      <c r="A1066" s="135" t="s">
        <v>461</v>
      </c>
      <c r="B1066" s="137" t="s">
        <v>412</v>
      </c>
      <c r="C1066" s="137">
        <v>14</v>
      </c>
      <c r="D1066" s="9">
        <v>70.2</v>
      </c>
      <c r="E1066" s="8">
        <v>0</v>
      </c>
      <c r="F1066" s="8">
        <v>65.625</v>
      </c>
      <c r="G1066" s="18">
        <v>9.5357140000000005</v>
      </c>
      <c r="H1066" s="240">
        <v>0</v>
      </c>
      <c r="I1066" s="240">
        <v>0</v>
      </c>
      <c r="J1066" s="240">
        <v>0</v>
      </c>
      <c r="K1066" s="240">
        <v>0</v>
      </c>
      <c r="L1066" s="240">
        <v>0</v>
      </c>
      <c r="M1066" s="240">
        <v>0</v>
      </c>
      <c r="N1066" s="240">
        <v>0</v>
      </c>
    </row>
    <row r="1067" spans="1:14" x14ac:dyDescent="0.3">
      <c r="A1067" s="135" t="s">
        <v>461</v>
      </c>
      <c r="B1067" s="137" t="s">
        <v>412</v>
      </c>
      <c r="C1067" s="137">
        <v>15</v>
      </c>
      <c r="D1067" s="9">
        <v>70.2</v>
      </c>
      <c r="E1067" s="8">
        <v>0</v>
      </c>
      <c r="F1067" s="8">
        <v>66.150000000000006</v>
      </c>
      <c r="G1067" s="18">
        <v>9.85</v>
      </c>
      <c r="H1067" s="240">
        <v>0</v>
      </c>
      <c r="I1067" s="240">
        <v>0</v>
      </c>
      <c r="J1067" s="240">
        <v>0</v>
      </c>
      <c r="K1067" s="240">
        <v>0</v>
      </c>
      <c r="L1067" s="240">
        <v>0</v>
      </c>
      <c r="M1067" s="240">
        <v>0</v>
      </c>
      <c r="N1067" s="240">
        <v>0</v>
      </c>
    </row>
    <row r="1068" spans="1:14" x14ac:dyDescent="0.3">
      <c r="A1068" s="135" t="s">
        <v>461</v>
      </c>
      <c r="B1068" s="137" t="s">
        <v>412</v>
      </c>
      <c r="C1068" s="137">
        <v>16</v>
      </c>
      <c r="D1068" s="9">
        <v>70.2</v>
      </c>
      <c r="E1068" s="8">
        <v>0</v>
      </c>
      <c r="F1068" s="8">
        <v>67.757812000000001</v>
      </c>
      <c r="G1068" s="18">
        <v>10.234375</v>
      </c>
      <c r="H1068" s="240">
        <v>0</v>
      </c>
      <c r="I1068" s="240">
        <v>0</v>
      </c>
      <c r="J1068" s="240">
        <v>0</v>
      </c>
      <c r="K1068" s="240">
        <v>0</v>
      </c>
      <c r="L1068" s="240">
        <v>0</v>
      </c>
      <c r="M1068" s="240">
        <v>0</v>
      </c>
      <c r="N1068" s="240">
        <v>0</v>
      </c>
    </row>
    <row r="1069" spans="1:14" x14ac:dyDescent="0.3">
      <c r="A1069" s="135" t="s">
        <v>461</v>
      </c>
      <c r="B1069" s="137" t="s">
        <v>412</v>
      </c>
      <c r="C1069" s="137">
        <v>17</v>
      </c>
      <c r="D1069" s="9">
        <v>70.2</v>
      </c>
      <c r="E1069" s="8">
        <v>0</v>
      </c>
      <c r="F1069" s="8">
        <v>69.176471000000006</v>
      </c>
      <c r="G1069" s="18">
        <v>10.588234999999999</v>
      </c>
      <c r="H1069" s="240">
        <v>0</v>
      </c>
      <c r="I1069" s="240">
        <v>0</v>
      </c>
      <c r="J1069" s="240">
        <v>0</v>
      </c>
      <c r="K1069" s="240">
        <v>0</v>
      </c>
      <c r="L1069" s="240">
        <v>0</v>
      </c>
      <c r="M1069" s="240">
        <v>0</v>
      </c>
      <c r="N1069" s="240">
        <v>0</v>
      </c>
    </row>
    <row r="1070" spans="1:14" x14ac:dyDescent="0.3">
      <c r="A1070" s="135" t="s">
        <v>461</v>
      </c>
      <c r="B1070" s="137" t="s">
        <v>412</v>
      </c>
      <c r="C1070" s="137">
        <v>18</v>
      </c>
      <c r="D1070" s="9">
        <v>70.2</v>
      </c>
      <c r="E1070" s="8">
        <v>0</v>
      </c>
      <c r="F1070" s="8">
        <v>70.4375</v>
      </c>
      <c r="G1070" s="18">
        <v>10.930555999999999</v>
      </c>
      <c r="H1070" s="240">
        <v>0</v>
      </c>
      <c r="I1070" s="240">
        <v>0</v>
      </c>
      <c r="J1070" s="240">
        <v>0</v>
      </c>
      <c r="K1070" s="240">
        <v>0</v>
      </c>
      <c r="L1070" s="240">
        <v>0</v>
      </c>
      <c r="M1070" s="240">
        <v>0</v>
      </c>
      <c r="N1070" s="240">
        <v>0</v>
      </c>
    </row>
    <row r="1071" spans="1:14" x14ac:dyDescent="0.3">
      <c r="A1071" s="135" t="s">
        <v>461</v>
      </c>
      <c r="B1071" s="137" t="s">
        <v>412</v>
      </c>
      <c r="C1071" s="137">
        <v>19</v>
      </c>
      <c r="D1071" s="9">
        <v>70.2</v>
      </c>
      <c r="E1071" s="8">
        <v>0</v>
      </c>
      <c r="F1071" s="8">
        <v>71.565788999999995</v>
      </c>
      <c r="G1071" s="18">
        <v>11.276316</v>
      </c>
      <c r="H1071" s="240">
        <v>0</v>
      </c>
      <c r="I1071" s="240">
        <v>0</v>
      </c>
      <c r="J1071" s="240">
        <v>0</v>
      </c>
      <c r="K1071" s="240">
        <v>0</v>
      </c>
      <c r="L1071" s="240">
        <v>0</v>
      </c>
      <c r="M1071" s="240">
        <v>0</v>
      </c>
      <c r="N1071" s="240">
        <v>0</v>
      </c>
    </row>
    <row r="1072" spans="1:14" x14ac:dyDescent="0.3">
      <c r="A1072" s="135" t="s">
        <v>461</v>
      </c>
      <c r="B1072" s="137" t="s">
        <v>412</v>
      </c>
      <c r="C1072" s="137">
        <v>20</v>
      </c>
      <c r="D1072" s="9">
        <v>70.2</v>
      </c>
      <c r="E1072" s="8">
        <v>0</v>
      </c>
      <c r="F1072" s="8">
        <v>72.581249999999997</v>
      </c>
      <c r="G1072" s="18">
        <v>11.6</v>
      </c>
      <c r="H1072" s="240">
        <v>0</v>
      </c>
      <c r="I1072" s="240">
        <v>0</v>
      </c>
      <c r="J1072" s="240">
        <v>0</v>
      </c>
      <c r="K1072" s="240">
        <v>0</v>
      </c>
      <c r="L1072" s="240">
        <v>0</v>
      </c>
      <c r="M1072" s="240">
        <v>0</v>
      </c>
      <c r="N1072" s="240">
        <v>0</v>
      </c>
    </row>
    <row r="1073" spans="1:14" x14ac:dyDescent="0.3">
      <c r="A1073" s="135" t="s">
        <v>461</v>
      </c>
      <c r="B1073" s="137" t="s">
        <v>412</v>
      </c>
      <c r="C1073" s="137">
        <v>21</v>
      </c>
      <c r="D1073" s="9">
        <v>70.2</v>
      </c>
      <c r="E1073" s="8">
        <v>0</v>
      </c>
      <c r="F1073" s="8">
        <v>73.5</v>
      </c>
      <c r="G1073" s="18">
        <v>11.916667</v>
      </c>
      <c r="H1073" s="240">
        <v>0</v>
      </c>
      <c r="I1073" s="240">
        <v>0</v>
      </c>
      <c r="J1073" s="240">
        <v>0</v>
      </c>
      <c r="K1073" s="240">
        <v>0</v>
      </c>
      <c r="L1073" s="240">
        <v>0</v>
      </c>
      <c r="M1073" s="240">
        <v>0</v>
      </c>
      <c r="N1073" s="240">
        <v>0</v>
      </c>
    </row>
    <row r="1074" spans="1:14" x14ac:dyDescent="0.3">
      <c r="A1074" s="135" t="s">
        <v>461</v>
      </c>
      <c r="B1074" s="137" t="s">
        <v>412</v>
      </c>
      <c r="C1074" s="137">
        <v>22</v>
      </c>
      <c r="D1074" s="9">
        <v>70.2</v>
      </c>
      <c r="E1074" s="8">
        <v>0</v>
      </c>
      <c r="F1074" s="8">
        <v>74.335227000000003</v>
      </c>
      <c r="G1074" s="18">
        <v>12.227273</v>
      </c>
      <c r="H1074" s="240">
        <v>0</v>
      </c>
      <c r="I1074" s="240">
        <v>0</v>
      </c>
      <c r="J1074" s="240">
        <v>0</v>
      </c>
      <c r="K1074" s="240">
        <v>0</v>
      </c>
      <c r="L1074" s="240">
        <v>0</v>
      </c>
      <c r="M1074" s="240">
        <v>0</v>
      </c>
      <c r="N1074" s="240">
        <v>0</v>
      </c>
    </row>
    <row r="1075" spans="1:14" x14ac:dyDescent="0.3">
      <c r="A1075" s="135" t="s">
        <v>461</v>
      </c>
      <c r="B1075" s="137" t="s">
        <v>412</v>
      </c>
      <c r="C1075" s="137">
        <v>23</v>
      </c>
      <c r="D1075" s="9">
        <v>70.2</v>
      </c>
      <c r="E1075" s="8">
        <v>0</v>
      </c>
      <c r="F1075" s="8">
        <v>75.097825999999998</v>
      </c>
      <c r="G1075" s="18">
        <v>12.532609000000001</v>
      </c>
      <c r="H1075" s="240">
        <v>0</v>
      </c>
      <c r="I1075" s="240">
        <v>0</v>
      </c>
      <c r="J1075" s="240">
        <v>0</v>
      </c>
      <c r="K1075" s="240">
        <v>0</v>
      </c>
      <c r="L1075" s="240">
        <v>0</v>
      </c>
      <c r="M1075" s="240">
        <v>0</v>
      </c>
      <c r="N1075" s="240">
        <v>0</v>
      </c>
    </row>
    <row r="1076" spans="1:14" x14ac:dyDescent="0.3">
      <c r="A1076" s="135" t="s">
        <v>461</v>
      </c>
      <c r="B1076" s="137" t="s">
        <v>412</v>
      </c>
      <c r="C1076" s="137">
        <v>24</v>
      </c>
      <c r="D1076" s="9">
        <v>70.2</v>
      </c>
      <c r="E1076" s="8">
        <v>0</v>
      </c>
      <c r="F1076" s="8">
        <v>75.796875</v>
      </c>
      <c r="G1076" s="18">
        <v>12.822917</v>
      </c>
      <c r="H1076" s="240">
        <v>0</v>
      </c>
      <c r="I1076" s="240">
        <v>0</v>
      </c>
      <c r="J1076" s="240">
        <v>0</v>
      </c>
      <c r="K1076" s="240">
        <v>0</v>
      </c>
      <c r="L1076" s="240">
        <v>0</v>
      </c>
      <c r="M1076" s="240">
        <v>0</v>
      </c>
      <c r="N1076" s="240">
        <v>0</v>
      </c>
    </row>
    <row r="1077" spans="1:14" x14ac:dyDescent="0.3">
      <c r="A1077" s="135" t="s">
        <v>461</v>
      </c>
      <c r="B1077" s="137" t="s">
        <v>412</v>
      </c>
      <c r="C1077" s="137">
        <v>25</v>
      </c>
      <c r="D1077" s="9">
        <v>70.2</v>
      </c>
      <c r="E1077" s="8">
        <v>0</v>
      </c>
      <c r="F1077" s="8">
        <v>76.44</v>
      </c>
      <c r="G1077" s="18">
        <v>13.12</v>
      </c>
      <c r="H1077" s="240">
        <v>0</v>
      </c>
      <c r="I1077" s="240">
        <v>0</v>
      </c>
      <c r="J1077" s="240">
        <v>0</v>
      </c>
      <c r="K1077" s="240">
        <v>0</v>
      </c>
      <c r="L1077" s="240">
        <v>0</v>
      </c>
      <c r="M1077" s="240">
        <v>0</v>
      </c>
      <c r="N1077" s="240">
        <v>0</v>
      </c>
    </row>
    <row r="1078" spans="1:14" x14ac:dyDescent="0.3">
      <c r="A1078" s="135" t="s">
        <v>461</v>
      </c>
      <c r="B1078" s="137" t="s">
        <v>412</v>
      </c>
      <c r="C1078" s="137">
        <v>26</v>
      </c>
      <c r="D1078" s="9">
        <v>70.2</v>
      </c>
      <c r="E1078" s="8">
        <v>0</v>
      </c>
      <c r="F1078" s="8">
        <v>77.033653999999999</v>
      </c>
      <c r="G1078" s="18">
        <v>13.403846</v>
      </c>
      <c r="H1078" s="240">
        <v>0</v>
      </c>
      <c r="I1078" s="240">
        <v>0</v>
      </c>
      <c r="J1078" s="240">
        <v>0</v>
      </c>
      <c r="K1078" s="240">
        <v>0</v>
      </c>
      <c r="L1078" s="240">
        <v>0</v>
      </c>
      <c r="M1078" s="240">
        <v>0</v>
      </c>
      <c r="N1078" s="240">
        <v>0</v>
      </c>
    </row>
    <row r="1079" spans="1:14" x14ac:dyDescent="0.3">
      <c r="A1079" s="135" t="s">
        <v>461</v>
      </c>
      <c r="B1079" s="137" t="s">
        <v>412</v>
      </c>
      <c r="C1079" s="137">
        <v>27</v>
      </c>
      <c r="D1079" s="9">
        <v>70.2</v>
      </c>
      <c r="E1079" s="8">
        <v>0</v>
      </c>
      <c r="F1079" s="8">
        <v>77.583332999999996</v>
      </c>
      <c r="G1079" s="18">
        <v>13.675926</v>
      </c>
      <c r="H1079" s="240">
        <v>0</v>
      </c>
      <c r="I1079" s="240">
        <v>0</v>
      </c>
      <c r="J1079" s="240">
        <v>0</v>
      </c>
      <c r="K1079" s="240">
        <v>0</v>
      </c>
      <c r="L1079" s="240">
        <v>0</v>
      </c>
      <c r="M1079" s="240">
        <v>0</v>
      </c>
      <c r="N1079" s="240">
        <v>0</v>
      </c>
    </row>
    <row r="1080" spans="1:14" x14ac:dyDescent="0.3">
      <c r="A1080" s="135" t="s">
        <v>461</v>
      </c>
      <c r="B1080" s="137" t="s">
        <v>412</v>
      </c>
      <c r="C1080" s="137">
        <v>28</v>
      </c>
      <c r="D1080" s="9">
        <v>70.2</v>
      </c>
      <c r="E1080" s="8">
        <v>0</v>
      </c>
      <c r="F1080" s="8">
        <v>78.09375</v>
      </c>
      <c r="G1080" s="18">
        <v>13.946429</v>
      </c>
      <c r="H1080" s="240">
        <v>0</v>
      </c>
      <c r="I1080" s="240">
        <v>0</v>
      </c>
      <c r="J1080" s="240">
        <v>0</v>
      </c>
      <c r="K1080" s="240">
        <v>0</v>
      </c>
      <c r="L1080" s="240">
        <v>0</v>
      </c>
      <c r="M1080" s="240">
        <v>0</v>
      </c>
      <c r="N1080" s="240">
        <v>0</v>
      </c>
    </row>
    <row r="1081" spans="1:14" x14ac:dyDescent="0.3">
      <c r="A1081" s="135" t="s">
        <v>461</v>
      </c>
      <c r="B1081" s="137" t="s">
        <v>412</v>
      </c>
      <c r="C1081" s="137">
        <v>29</v>
      </c>
      <c r="D1081" s="9">
        <v>70.2</v>
      </c>
      <c r="E1081" s="8">
        <v>0</v>
      </c>
      <c r="F1081" s="8">
        <v>79.202585999999997</v>
      </c>
      <c r="G1081" s="18">
        <v>14.267241</v>
      </c>
      <c r="H1081" s="240">
        <v>0</v>
      </c>
      <c r="I1081" s="240">
        <v>0</v>
      </c>
      <c r="J1081" s="240">
        <v>0</v>
      </c>
      <c r="K1081" s="240">
        <v>0</v>
      </c>
      <c r="L1081" s="240">
        <v>0</v>
      </c>
      <c r="M1081" s="240">
        <v>0</v>
      </c>
      <c r="N1081" s="240">
        <v>0</v>
      </c>
    </row>
    <row r="1082" spans="1:14" x14ac:dyDescent="0.3">
      <c r="A1082" s="138" t="s">
        <v>461</v>
      </c>
      <c r="B1082" s="137" t="s">
        <v>412</v>
      </c>
      <c r="C1082" s="137">
        <v>30</v>
      </c>
      <c r="D1082" s="9">
        <v>70.2</v>
      </c>
      <c r="E1082" s="8">
        <v>0</v>
      </c>
      <c r="F1082" s="8">
        <v>80.237499999999997</v>
      </c>
      <c r="G1082" s="18">
        <v>14.574999999999999</v>
      </c>
      <c r="H1082" s="240">
        <v>0</v>
      </c>
      <c r="I1082" s="240">
        <v>0</v>
      </c>
      <c r="J1082" s="240">
        <v>0</v>
      </c>
      <c r="K1082" s="240">
        <v>0</v>
      </c>
      <c r="L1082" s="240">
        <v>0</v>
      </c>
      <c r="M1082" s="240">
        <v>0</v>
      </c>
      <c r="N1082" s="240">
        <v>0</v>
      </c>
    </row>
    <row r="1083" spans="1:14" x14ac:dyDescent="0.3">
      <c r="A1083" s="142" t="s">
        <v>461</v>
      </c>
      <c r="B1083" s="143" t="s">
        <v>413</v>
      </c>
      <c r="C1083" s="143">
        <v>1</v>
      </c>
      <c r="D1083" s="9">
        <v>70.2</v>
      </c>
      <c r="E1083" s="8">
        <v>19.285</v>
      </c>
      <c r="F1083" s="8">
        <v>5.4880000000000004</v>
      </c>
      <c r="G1083" s="18">
        <v>10</v>
      </c>
      <c r="H1083" s="240">
        <v>0</v>
      </c>
      <c r="I1083" s="240">
        <v>0</v>
      </c>
      <c r="J1083" s="240">
        <v>0</v>
      </c>
      <c r="K1083" s="240">
        <v>0</v>
      </c>
      <c r="L1083" s="240">
        <v>0</v>
      </c>
      <c r="M1083" s="240">
        <v>0</v>
      </c>
      <c r="N1083" s="240">
        <v>0</v>
      </c>
    </row>
    <row r="1084" spans="1:14" x14ac:dyDescent="0.3">
      <c r="A1084" s="135" t="s">
        <v>461</v>
      </c>
      <c r="B1084" s="136" t="s">
        <v>413</v>
      </c>
      <c r="C1084" s="137">
        <v>2</v>
      </c>
      <c r="D1084" s="9">
        <v>70.2</v>
      </c>
      <c r="E1084" s="8">
        <v>20.947500000000002</v>
      </c>
      <c r="F1084" s="8">
        <v>5.4880000000000004</v>
      </c>
      <c r="G1084" s="18">
        <v>10.3</v>
      </c>
      <c r="H1084" s="240">
        <v>0</v>
      </c>
      <c r="I1084" s="240">
        <v>0</v>
      </c>
      <c r="J1084" s="240">
        <v>0</v>
      </c>
      <c r="K1084" s="240">
        <v>0</v>
      </c>
      <c r="L1084" s="240">
        <v>0</v>
      </c>
      <c r="M1084" s="240">
        <v>0</v>
      </c>
      <c r="N1084" s="240">
        <v>0</v>
      </c>
    </row>
    <row r="1085" spans="1:14" x14ac:dyDescent="0.3">
      <c r="A1085" s="135" t="s">
        <v>461</v>
      </c>
      <c r="B1085" s="137" t="s">
        <v>413</v>
      </c>
      <c r="C1085" s="137">
        <v>3</v>
      </c>
      <c r="D1085" s="9">
        <v>70.2</v>
      </c>
      <c r="E1085" s="8">
        <v>21.501667000000001</v>
      </c>
      <c r="F1085" s="8">
        <v>7.0279999999999996</v>
      </c>
      <c r="G1085" s="18">
        <v>10.666667</v>
      </c>
      <c r="H1085" s="240">
        <v>0</v>
      </c>
      <c r="I1085" s="240">
        <v>0</v>
      </c>
      <c r="J1085" s="240">
        <v>0</v>
      </c>
      <c r="K1085" s="240">
        <v>0</v>
      </c>
      <c r="L1085" s="240">
        <v>0</v>
      </c>
      <c r="M1085" s="240">
        <v>0</v>
      </c>
      <c r="N1085" s="240">
        <v>0</v>
      </c>
    </row>
    <row r="1086" spans="1:14" x14ac:dyDescent="0.3">
      <c r="A1086" s="135" t="s">
        <v>461</v>
      </c>
      <c r="B1086" s="137" t="s">
        <v>413</v>
      </c>
      <c r="C1086" s="137">
        <v>4</v>
      </c>
      <c r="D1086" s="9">
        <v>70.2</v>
      </c>
      <c r="E1086" s="8">
        <v>21.778749999999999</v>
      </c>
      <c r="F1086" s="8">
        <v>7.798</v>
      </c>
      <c r="G1086" s="18">
        <v>11.4375</v>
      </c>
      <c r="H1086" s="240">
        <v>0</v>
      </c>
      <c r="I1086" s="240">
        <v>0</v>
      </c>
      <c r="J1086" s="240">
        <v>0</v>
      </c>
      <c r="K1086" s="240">
        <v>0</v>
      </c>
      <c r="L1086" s="240">
        <v>0</v>
      </c>
      <c r="M1086" s="240">
        <v>0</v>
      </c>
      <c r="N1086" s="240">
        <v>0</v>
      </c>
    </row>
    <row r="1087" spans="1:14" x14ac:dyDescent="0.3">
      <c r="A1087" s="135" t="s">
        <v>461</v>
      </c>
      <c r="B1087" s="137" t="s">
        <v>413</v>
      </c>
      <c r="C1087" s="137">
        <v>5</v>
      </c>
      <c r="D1087" s="9">
        <v>70.2</v>
      </c>
      <c r="E1087" s="8">
        <v>21.945</v>
      </c>
      <c r="F1087" s="8">
        <v>8.26</v>
      </c>
      <c r="G1087" s="18">
        <v>12.15</v>
      </c>
      <c r="H1087" s="240">
        <v>0</v>
      </c>
      <c r="I1087" s="240">
        <v>0</v>
      </c>
      <c r="J1087" s="240">
        <v>0</v>
      </c>
      <c r="K1087" s="240">
        <v>0</v>
      </c>
      <c r="L1087" s="240">
        <v>0</v>
      </c>
      <c r="M1087" s="240">
        <v>0</v>
      </c>
      <c r="N1087" s="240">
        <v>0</v>
      </c>
    </row>
    <row r="1088" spans="1:14" x14ac:dyDescent="0.3">
      <c r="A1088" s="135" t="s">
        <v>461</v>
      </c>
      <c r="B1088" s="137" t="s">
        <v>413</v>
      </c>
      <c r="C1088" s="137">
        <v>6</v>
      </c>
      <c r="D1088" s="9">
        <v>70.2</v>
      </c>
      <c r="E1088" s="8">
        <v>22.055833</v>
      </c>
      <c r="F1088" s="8">
        <v>8.5679999999999996</v>
      </c>
      <c r="G1088" s="18">
        <v>12.916667</v>
      </c>
      <c r="H1088" s="240">
        <v>0</v>
      </c>
      <c r="I1088" s="240">
        <v>0</v>
      </c>
      <c r="J1088" s="240">
        <v>0</v>
      </c>
      <c r="K1088" s="240">
        <v>0</v>
      </c>
      <c r="L1088" s="240">
        <v>0</v>
      </c>
      <c r="M1088" s="240">
        <v>0</v>
      </c>
      <c r="N1088" s="240">
        <v>0</v>
      </c>
    </row>
    <row r="1089" spans="1:14" x14ac:dyDescent="0.3">
      <c r="A1089" s="135" t="s">
        <v>461</v>
      </c>
      <c r="B1089" s="137" t="s">
        <v>413</v>
      </c>
      <c r="C1089" s="137">
        <v>7</v>
      </c>
      <c r="D1089" s="9">
        <v>70.2</v>
      </c>
      <c r="E1089" s="8">
        <v>22.135000000000002</v>
      </c>
      <c r="F1089" s="8">
        <v>9.6479999999999997</v>
      </c>
      <c r="G1089" s="18">
        <v>13.678571</v>
      </c>
      <c r="H1089" s="240">
        <v>0</v>
      </c>
      <c r="I1089" s="240">
        <v>0</v>
      </c>
      <c r="J1089" s="240">
        <v>0</v>
      </c>
      <c r="K1089" s="240">
        <v>0</v>
      </c>
      <c r="L1089" s="240">
        <v>0</v>
      </c>
      <c r="M1089" s="240">
        <v>0</v>
      </c>
      <c r="N1089" s="240">
        <v>0</v>
      </c>
    </row>
    <row r="1090" spans="1:14" x14ac:dyDescent="0.3">
      <c r="A1090" s="135" t="s">
        <v>461</v>
      </c>
      <c r="B1090" s="137" t="s">
        <v>413</v>
      </c>
      <c r="C1090" s="137">
        <v>8</v>
      </c>
      <c r="D1090" s="9">
        <v>70.2</v>
      </c>
      <c r="E1090" s="8">
        <v>22.194375000000001</v>
      </c>
      <c r="F1090" s="8">
        <v>10.458</v>
      </c>
      <c r="G1090" s="18">
        <v>14.40625</v>
      </c>
      <c r="H1090" s="240">
        <v>0</v>
      </c>
      <c r="I1090" s="240">
        <v>0</v>
      </c>
      <c r="J1090" s="240">
        <v>0</v>
      </c>
      <c r="K1090" s="240">
        <v>0</v>
      </c>
      <c r="L1090" s="240">
        <v>0</v>
      </c>
      <c r="M1090" s="240">
        <v>0</v>
      </c>
      <c r="N1090" s="240">
        <v>0</v>
      </c>
    </row>
    <row r="1091" spans="1:14" x14ac:dyDescent="0.3">
      <c r="A1091" s="135" t="s">
        <v>461</v>
      </c>
      <c r="B1091" s="137" t="s">
        <v>413</v>
      </c>
      <c r="C1091" s="137">
        <v>9</v>
      </c>
      <c r="D1091" s="9">
        <v>70.2</v>
      </c>
      <c r="E1091" s="8">
        <v>22.240556000000002</v>
      </c>
      <c r="F1091" s="8">
        <v>11.087999999999999</v>
      </c>
      <c r="G1091" s="18">
        <v>15.111110999999999</v>
      </c>
      <c r="H1091" s="240">
        <v>0</v>
      </c>
      <c r="I1091" s="240">
        <v>0</v>
      </c>
      <c r="J1091" s="240">
        <v>0</v>
      </c>
      <c r="K1091" s="240">
        <v>0</v>
      </c>
      <c r="L1091" s="240">
        <v>0</v>
      </c>
      <c r="M1091" s="240">
        <v>0</v>
      </c>
      <c r="N1091" s="240">
        <v>0</v>
      </c>
    </row>
    <row r="1092" spans="1:14" x14ac:dyDescent="0.3">
      <c r="A1092" s="135" t="s">
        <v>461</v>
      </c>
      <c r="B1092" s="137" t="s">
        <v>413</v>
      </c>
      <c r="C1092" s="137">
        <v>10</v>
      </c>
      <c r="D1092" s="9">
        <v>70.2</v>
      </c>
      <c r="E1092" s="8">
        <v>22.2775</v>
      </c>
      <c r="F1092" s="8">
        <v>11.592000000000001</v>
      </c>
      <c r="G1092" s="18">
        <v>15.8</v>
      </c>
      <c r="H1092" s="240">
        <v>0</v>
      </c>
      <c r="I1092" s="240">
        <v>0</v>
      </c>
      <c r="J1092" s="240">
        <v>0</v>
      </c>
      <c r="K1092" s="240">
        <v>0</v>
      </c>
      <c r="L1092" s="240">
        <v>0</v>
      </c>
      <c r="M1092" s="240">
        <v>0</v>
      </c>
      <c r="N1092" s="240">
        <v>0</v>
      </c>
    </row>
    <row r="1093" spans="1:14" x14ac:dyDescent="0.3">
      <c r="A1093" s="135" t="s">
        <v>461</v>
      </c>
      <c r="B1093" s="137" t="s">
        <v>413</v>
      </c>
      <c r="C1093" s="137">
        <v>11</v>
      </c>
      <c r="D1093" s="9">
        <v>70.2</v>
      </c>
      <c r="E1093" s="8">
        <v>22.307727</v>
      </c>
      <c r="F1093" s="8">
        <v>12.004364000000001</v>
      </c>
      <c r="G1093" s="18">
        <v>16.454545</v>
      </c>
      <c r="H1093" s="240">
        <v>0</v>
      </c>
      <c r="I1093" s="240">
        <v>0</v>
      </c>
      <c r="J1093" s="240">
        <v>0</v>
      </c>
      <c r="K1093" s="240">
        <v>0</v>
      </c>
      <c r="L1093" s="240">
        <v>0</v>
      </c>
      <c r="M1093" s="240">
        <v>0</v>
      </c>
      <c r="N1093" s="240">
        <v>0</v>
      </c>
    </row>
    <row r="1094" spans="1:14" x14ac:dyDescent="0.3">
      <c r="A1094" s="135" t="s">
        <v>461</v>
      </c>
      <c r="B1094" s="137" t="s">
        <v>413</v>
      </c>
      <c r="C1094" s="137">
        <v>12</v>
      </c>
      <c r="D1094" s="9">
        <v>70.2</v>
      </c>
      <c r="E1094" s="8">
        <v>22.332916999999998</v>
      </c>
      <c r="F1094" s="8">
        <v>12.966333000000001</v>
      </c>
      <c r="G1094" s="18">
        <v>17.145833</v>
      </c>
      <c r="H1094" s="240">
        <v>0</v>
      </c>
      <c r="I1094" s="240">
        <v>0</v>
      </c>
      <c r="J1094" s="240">
        <v>0</v>
      </c>
      <c r="K1094" s="240">
        <v>0</v>
      </c>
      <c r="L1094" s="240">
        <v>0</v>
      </c>
      <c r="M1094" s="240">
        <v>0</v>
      </c>
      <c r="N1094" s="240">
        <v>0</v>
      </c>
    </row>
    <row r="1095" spans="1:14" x14ac:dyDescent="0.3">
      <c r="A1095" s="135" t="s">
        <v>461</v>
      </c>
      <c r="B1095" s="137" t="s">
        <v>413</v>
      </c>
      <c r="C1095" s="137">
        <v>13</v>
      </c>
      <c r="D1095" s="9">
        <v>70.2</v>
      </c>
      <c r="E1095" s="8">
        <v>22.354230999999999</v>
      </c>
      <c r="F1095" s="8">
        <v>13.780308</v>
      </c>
      <c r="G1095" s="18">
        <v>17.807691999999999</v>
      </c>
      <c r="H1095" s="240">
        <v>0</v>
      </c>
      <c r="I1095" s="240">
        <v>0</v>
      </c>
      <c r="J1095" s="240">
        <v>0</v>
      </c>
      <c r="K1095" s="240">
        <v>0</v>
      </c>
      <c r="L1095" s="240">
        <v>0</v>
      </c>
      <c r="M1095" s="240">
        <v>0</v>
      </c>
      <c r="N1095" s="240">
        <v>0</v>
      </c>
    </row>
    <row r="1096" spans="1:14" x14ac:dyDescent="0.3">
      <c r="A1096" s="135" t="s">
        <v>461</v>
      </c>
      <c r="B1096" s="137" t="s">
        <v>413</v>
      </c>
      <c r="C1096" s="137">
        <v>14</v>
      </c>
      <c r="D1096" s="9">
        <v>70.2</v>
      </c>
      <c r="E1096" s="8">
        <v>22.372499999999999</v>
      </c>
      <c r="F1096" s="8">
        <v>14.478</v>
      </c>
      <c r="G1096" s="18">
        <v>18.446428999999998</v>
      </c>
      <c r="H1096" s="240">
        <v>0</v>
      </c>
      <c r="I1096" s="240">
        <v>0</v>
      </c>
      <c r="J1096" s="240">
        <v>0</v>
      </c>
      <c r="K1096" s="240">
        <v>0</v>
      </c>
      <c r="L1096" s="240">
        <v>0</v>
      </c>
      <c r="M1096" s="240">
        <v>0</v>
      </c>
      <c r="N1096" s="240">
        <v>0</v>
      </c>
    </row>
    <row r="1097" spans="1:14" x14ac:dyDescent="0.3">
      <c r="A1097" s="135" t="s">
        <v>461</v>
      </c>
      <c r="B1097" s="137" t="s">
        <v>413</v>
      </c>
      <c r="C1097" s="137">
        <v>15</v>
      </c>
      <c r="D1097" s="9">
        <v>70.2</v>
      </c>
      <c r="E1097" s="8">
        <v>22.388332999999999</v>
      </c>
      <c r="F1097" s="8">
        <v>15.082667000000001</v>
      </c>
      <c r="G1097" s="18">
        <v>19.066666999999999</v>
      </c>
      <c r="H1097" s="240">
        <v>0</v>
      </c>
      <c r="I1097" s="240">
        <v>0</v>
      </c>
      <c r="J1097" s="240">
        <v>0</v>
      </c>
      <c r="K1097" s="240">
        <v>0</v>
      </c>
      <c r="L1097" s="240">
        <v>0</v>
      </c>
      <c r="M1097" s="240">
        <v>0</v>
      </c>
      <c r="N1097" s="240">
        <v>0</v>
      </c>
    </row>
    <row r="1098" spans="1:14" x14ac:dyDescent="0.3">
      <c r="A1098" s="135" t="s">
        <v>461</v>
      </c>
      <c r="B1098" s="137" t="s">
        <v>413</v>
      </c>
      <c r="C1098" s="137">
        <v>16</v>
      </c>
      <c r="D1098" s="9">
        <v>70.2</v>
      </c>
      <c r="E1098" s="8">
        <v>22.402187000000001</v>
      </c>
      <c r="F1098" s="8">
        <v>15.611750000000001</v>
      </c>
      <c r="G1098" s="18">
        <v>19.671875</v>
      </c>
      <c r="H1098" s="240">
        <v>0</v>
      </c>
      <c r="I1098" s="240">
        <v>0</v>
      </c>
      <c r="J1098" s="240">
        <v>0</v>
      </c>
      <c r="K1098" s="240">
        <v>0</v>
      </c>
      <c r="L1098" s="240">
        <v>0</v>
      </c>
      <c r="M1098" s="240">
        <v>0</v>
      </c>
      <c r="N1098" s="240">
        <v>0</v>
      </c>
    </row>
    <row r="1099" spans="1:14" x14ac:dyDescent="0.3">
      <c r="A1099" s="135" t="s">
        <v>461</v>
      </c>
      <c r="B1099" s="137" t="s">
        <v>413</v>
      </c>
      <c r="C1099" s="137">
        <v>17</v>
      </c>
      <c r="D1099" s="9">
        <v>70.2</v>
      </c>
      <c r="E1099" s="8">
        <v>22.414411999999999</v>
      </c>
      <c r="F1099" s="8">
        <v>16.078588</v>
      </c>
      <c r="G1099" s="18">
        <v>20.25</v>
      </c>
      <c r="H1099" s="240">
        <v>0</v>
      </c>
      <c r="I1099" s="240">
        <v>0</v>
      </c>
      <c r="J1099" s="240">
        <v>0</v>
      </c>
      <c r="K1099" s="240">
        <v>0</v>
      </c>
      <c r="L1099" s="240">
        <v>0</v>
      </c>
      <c r="M1099" s="240">
        <v>0</v>
      </c>
      <c r="N1099" s="240">
        <v>0</v>
      </c>
    </row>
    <row r="1100" spans="1:14" x14ac:dyDescent="0.3">
      <c r="A1100" s="135" t="s">
        <v>461</v>
      </c>
      <c r="B1100" s="137" t="s">
        <v>413</v>
      </c>
      <c r="C1100" s="137">
        <v>18</v>
      </c>
      <c r="D1100" s="9">
        <v>70.2</v>
      </c>
      <c r="E1100" s="8">
        <v>22.425277999999999</v>
      </c>
      <c r="F1100" s="8">
        <v>16.983556</v>
      </c>
      <c r="G1100" s="18">
        <v>20.888888999999999</v>
      </c>
      <c r="H1100" s="240">
        <v>0</v>
      </c>
      <c r="I1100" s="240">
        <v>0</v>
      </c>
      <c r="J1100" s="240">
        <v>0</v>
      </c>
      <c r="K1100" s="240">
        <v>0</v>
      </c>
      <c r="L1100" s="240">
        <v>0</v>
      </c>
      <c r="M1100" s="240">
        <v>0</v>
      </c>
      <c r="N1100" s="240">
        <v>0</v>
      </c>
    </row>
    <row r="1101" spans="1:14" x14ac:dyDescent="0.3">
      <c r="A1101" s="135" t="s">
        <v>461</v>
      </c>
      <c r="B1101" s="137" t="s">
        <v>413</v>
      </c>
      <c r="C1101" s="137">
        <v>19</v>
      </c>
      <c r="D1101" s="9">
        <v>70.2</v>
      </c>
      <c r="E1101" s="8">
        <v>22.434999999999999</v>
      </c>
      <c r="F1101" s="8">
        <v>17.793263</v>
      </c>
      <c r="G1101" s="18">
        <v>21.5</v>
      </c>
      <c r="H1101" s="240">
        <v>0</v>
      </c>
      <c r="I1101" s="240">
        <v>0</v>
      </c>
      <c r="J1101" s="240">
        <v>0</v>
      </c>
      <c r="K1101" s="240">
        <v>0</v>
      </c>
      <c r="L1101" s="240">
        <v>0</v>
      </c>
      <c r="M1101" s="240">
        <v>0</v>
      </c>
      <c r="N1101" s="240">
        <v>0</v>
      </c>
    </row>
    <row r="1102" spans="1:14" x14ac:dyDescent="0.3">
      <c r="A1102" s="135" t="s">
        <v>461</v>
      </c>
      <c r="B1102" s="137" t="s">
        <v>413</v>
      </c>
      <c r="C1102" s="137">
        <v>20</v>
      </c>
      <c r="D1102" s="9">
        <v>70.2</v>
      </c>
      <c r="E1102" s="8">
        <v>22.443750000000001</v>
      </c>
      <c r="F1102" s="8">
        <v>18.521999999999998</v>
      </c>
      <c r="G1102" s="18">
        <v>22.087499999999999</v>
      </c>
      <c r="H1102" s="240">
        <v>0</v>
      </c>
      <c r="I1102" s="240">
        <v>0</v>
      </c>
      <c r="J1102" s="240">
        <v>0</v>
      </c>
      <c r="K1102" s="240">
        <v>0</v>
      </c>
      <c r="L1102" s="240">
        <v>0</v>
      </c>
      <c r="M1102" s="240">
        <v>0</v>
      </c>
      <c r="N1102" s="240">
        <v>0</v>
      </c>
    </row>
    <row r="1103" spans="1:14" x14ac:dyDescent="0.3">
      <c r="A1103" s="135" t="s">
        <v>461</v>
      </c>
      <c r="B1103" s="137" t="s">
        <v>413</v>
      </c>
      <c r="C1103" s="137">
        <v>21</v>
      </c>
      <c r="D1103" s="9">
        <v>70.2</v>
      </c>
      <c r="E1103" s="8">
        <v>22.451667</v>
      </c>
      <c r="F1103" s="8">
        <v>19.181332999999999</v>
      </c>
      <c r="G1103" s="18">
        <v>22.666667</v>
      </c>
      <c r="H1103" s="240">
        <v>0</v>
      </c>
      <c r="I1103" s="240">
        <v>0</v>
      </c>
      <c r="J1103" s="240">
        <v>0</v>
      </c>
      <c r="K1103" s="240">
        <v>0</v>
      </c>
      <c r="L1103" s="240">
        <v>0</v>
      </c>
      <c r="M1103" s="240">
        <v>0</v>
      </c>
      <c r="N1103" s="240">
        <v>0</v>
      </c>
    </row>
    <row r="1104" spans="1:14" x14ac:dyDescent="0.3">
      <c r="A1104" s="135" t="s">
        <v>461</v>
      </c>
      <c r="B1104" s="137" t="s">
        <v>413</v>
      </c>
      <c r="C1104" s="137">
        <v>22</v>
      </c>
      <c r="D1104" s="9">
        <v>70.2</v>
      </c>
      <c r="E1104" s="8">
        <v>22.458863999999998</v>
      </c>
      <c r="F1104" s="8">
        <v>19.780726999999999</v>
      </c>
      <c r="G1104" s="18">
        <v>23.238636</v>
      </c>
      <c r="H1104" s="240">
        <v>0</v>
      </c>
      <c r="I1104" s="240">
        <v>0</v>
      </c>
      <c r="J1104" s="240">
        <v>0</v>
      </c>
      <c r="K1104" s="240">
        <v>0</v>
      </c>
      <c r="L1104" s="240">
        <v>0</v>
      </c>
      <c r="M1104" s="240">
        <v>0</v>
      </c>
      <c r="N1104" s="240">
        <v>0</v>
      </c>
    </row>
    <row r="1105" spans="1:14" x14ac:dyDescent="0.3">
      <c r="A1105" s="135" t="s">
        <v>461</v>
      </c>
      <c r="B1105" s="137" t="s">
        <v>413</v>
      </c>
      <c r="C1105" s="137">
        <v>23</v>
      </c>
      <c r="D1105" s="9">
        <v>70.2</v>
      </c>
      <c r="E1105" s="8">
        <v>22.465434999999999</v>
      </c>
      <c r="F1105" s="8">
        <v>20.327999999999999</v>
      </c>
      <c r="G1105" s="18">
        <v>23.782609000000001</v>
      </c>
      <c r="H1105" s="240">
        <v>0</v>
      </c>
      <c r="I1105" s="240">
        <v>0</v>
      </c>
      <c r="J1105" s="240">
        <v>0</v>
      </c>
      <c r="K1105" s="240">
        <v>0</v>
      </c>
      <c r="L1105" s="240">
        <v>0</v>
      </c>
      <c r="M1105" s="240">
        <v>0</v>
      </c>
      <c r="N1105" s="240">
        <v>0</v>
      </c>
    </row>
    <row r="1106" spans="1:14" x14ac:dyDescent="0.3">
      <c r="A1106" s="135" t="s">
        <v>461</v>
      </c>
      <c r="B1106" s="137" t="s">
        <v>413</v>
      </c>
      <c r="C1106" s="137">
        <v>24</v>
      </c>
      <c r="D1106" s="9">
        <v>70.2</v>
      </c>
      <c r="E1106" s="8">
        <v>22.471457999999998</v>
      </c>
      <c r="F1106" s="8">
        <v>20.829667000000001</v>
      </c>
      <c r="G1106" s="18">
        <v>24.322917</v>
      </c>
      <c r="H1106" s="240">
        <v>0</v>
      </c>
      <c r="I1106" s="240">
        <v>0</v>
      </c>
      <c r="J1106" s="240">
        <v>0</v>
      </c>
      <c r="K1106" s="240">
        <v>0</v>
      </c>
      <c r="L1106" s="240">
        <v>0</v>
      </c>
      <c r="M1106" s="240">
        <v>0</v>
      </c>
      <c r="N1106" s="240">
        <v>0</v>
      </c>
    </row>
    <row r="1107" spans="1:14" x14ac:dyDescent="0.3">
      <c r="A1107" s="135" t="s">
        <v>461</v>
      </c>
      <c r="B1107" s="137" t="s">
        <v>413</v>
      </c>
      <c r="C1107" s="137">
        <v>25</v>
      </c>
      <c r="D1107" s="9">
        <v>70.2</v>
      </c>
      <c r="E1107" s="8">
        <v>22.477</v>
      </c>
      <c r="F1107" s="8">
        <v>21.7</v>
      </c>
      <c r="G1107" s="18">
        <v>24.92</v>
      </c>
      <c r="H1107" s="240">
        <v>0</v>
      </c>
      <c r="I1107" s="240">
        <v>0</v>
      </c>
      <c r="J1107" s="240">
        <v>0</v>
      </c>
      <c r="K1107" s="240">
        <v>0</v>
      </c>
      <c r="L1107" s="240">
        <v>0</v>
      </c>
      <c r="M1107" s="240">
        <v>0</v>
      </c>
      <c r="N1107" s="240">
        <v>0</v>
      </c>
    </row>
    <row r="1108" spans="1:14" x14ac:dyDescent="0.3">
      <c r="A1108" s="135" t="s">
        <v>461</v>
      </c>
      <c r="B1108" s="137" t="s">
        <v>413</v>
      </c>
      <c r="C1108" s="137">
        <v>26</v>
      </c>
      <c r="D1108" s="9">
        <v>70.2</v>
      </c>
      <c r="E1108" s="8">
        <v>22.482115</v>
      </c>
      <c r="F1108" s="8">
        <v>22.503385000000002</v>
      </c>
      <c r="G1108" s="18">
        <v>25.490385</v>
      </c>
      <c r="H1108" s="240">
        <v>0</v>
      </c>
      <c r="I1108" s="240">
        <v>0</v>
      </c>
      <c r="J1108" s="240">
        <v>0</v>
      </c>
      <c r="K1108" s="240">
        <v>0</v>
      </c>
      <c r="L1108" s="240">
        <v>0</v>
      </c>
      <c r="M1108" s="240">
        <v>0</v>
      </c>
      <c r="N1108" s="240">
        <v>0</v>
      </c>
    </row>
    <row r="1109" spans="1:14" x14ac:dyDescent="0.3">
      <c r="A1109" s="135" t="s">
        <v>461</v>
      </c>
      <c r="B1109" s="137" t="s">
        <v>413</v>
      </c>
      <c r="C1109" s="137">
        <v>27</v>
      </c>
      <c r="D1109" s="9">
        <v>70.2</v>
      </c>
      <c r="E1109" s="8">
        <v>22.486851999999999</v>
      </c>
      <c r="F1109" s="8">
        <v>23.247259</v>
      </c>
      <c r="G1109" s="18">
        <v>26.055555999999999</v>
      </c>
      <c r="H1109" s="240">
        <v>0</v>
      </c>
      <c r="I1109" s="240">
        <v>0</v>
      </c>
      <c r="J1109" s="240">
        <v>0</v>
      </c>
      <c r="K1109" s="240">
        <v>0</v>
      </c>
      <c r="L1109" s="240">
        <v>0</v>
      </c>
      <c r="M1109" s="240">
        <v>0</v>
      </c>
      <c r="N1109" s="240">
        <v>0</v>
      </c>
    </row>
    <row r="1110" spans="1:14" x14ac:dyDescent="0.3">
      <c r="A1110" s="135" t="s">
        <v>461</v>
      </c>
      <c r="B1110" s="137" t="s">
        <v>413</v>
      </c>
      <c r="C1110" s="137">
        <v>28</v>
      </c>
      <c r="D1110" s="9">
        <v>70.2</v>
      </c>
      <c r="E1110" s="8">
        <v>22.491250000000001</v>
      </c>
      <c r="F1110" s="8">
        <v>23.937999999999999</v>
      </c>
      <c r="G1110" s="18">
        <v>26.607143000000001</v>
      </c>
      <c r="H1110" s="240">
        <v>0</v>
      </c>
      <c r="I1110" s="240">
        <v>0</v>
      </c>
      <c r="J1110" s="240">
        <v>0</v>
      </c>
      <c r="K1110" s="240">
        <v>0</v>
      </c>
      <c r="L1110" s="240">
        <v>0</v>
      </c>
      <c r="M1110" s="240">
        <v>0</v>
      </c>
      <c r="N1110" s="240">
        <v>0</v>
      </c>
    </row>
    <row r="1111" spans="1:14" x14ac:dyDescent="0.3">
      <c r="A1111" s="135" t="s">
        <v>461</v>
      </c>
      <c r="B1111" s="137" t="s">
        <v>413</v>
      </c>
      <c r="C1111" s="137">
        <v>29</v>
      </c>
      <c r="D1111" s="9">
        <v>70.2</v>
      </c>
      <c r="E1111" s="8">
        <v>22.495345</v>
      </c>
      <c r="F1111" s="8">
        <v>24.581102999999999</v>
      </c>
      <c r="G1111" s="18">
        <v>27.155172</v>
      </c>
      <c r="H1111" s="240">
        <v>0</v>
      </c>
      <c r="I1111" s="240">
        <v>0</v>
      </c>
      <c r="J1111" s="240">
        <v>0</v>
      </c>
      <c r="K1111" s="240">
        <v>0</v>
      </c>
      <c r="L1111" s="240">
        <v>0</v>
      </c>
      <c r="M1111" s="240">
        <v>0</v>
      </c>
      <c r="N1111" s="240">
        <v>0</v>
      </c>
    </row>
    <row r="1112" spans="1:14" x14ac:dyDescent="0.3">
      <c r="A1112" s="138" t="s">
        <v>461</v>
      </c>
      <c r="B1112" s="137" t="s">
        <v>413</v>
      </c>
      <c r="C1112" s="137">
        <v>30</v>
      </c>
      <c r="D1112" s="9">
        <v>70.2</v>
      </c>
      <c r="E1112" s="8">
        <v>22.499167</v>
      </c>
      <c r="F1112" s="8">
        <v>25.181332999999999</v>
      </c>
      <c r="G1112" s="18">
        <v>27.683333000000001</v>
      </c>
      <c r="H1112" s="240">
        <v>0</v>
      </c>
      <c r="I1112" s="240">
        <v>0</v>
      </c>
      <c r="J1112" s="240">
        <v>0</v>
      </c>
      <c r="K1112" s="240">
        <v>0</v>
      </c>
      <c r="L1112" s="240">
        <v>0</v>
      </c>
      <c r="M1112" s="240">
        <v>0</v>
      </c>
      <c r="N1112" s="240">
        <v>0</v>
      </c>
    </row>
    <row r="1113" spans="1:14" x14ac:dyDescent="0.3">
      <c r="A1113" s="142" t="s">
        <v>461</v>
      </c>
      <c r="B1113" s="143" t="s">
        <v>414</v>
      </c>
      <c r="C1113" s="143">
        <v>1</v>
      </c>
      <c r="D1113" s="9">
        <v>28.664999999999999</v>
      </c>
      <c r="E1113" s="8">
        <v>2.9257200000000001</v>
      </c>
      <c r="F1113" s="8">
        <v>0.41176800000000002</v>
      </c>
      <c r="G1113" s="18">
        <v>9.5</v>
      </c>
      <c r="H1113" s="240">
        <v>0</v>
      </c>
      <c r="I1113" s="240">
        <v>0</v>
      </c>
      <c r="J1113" s="240">
        <v>0</v>
      </c>
      <c r="K1113" s="240">
        <v>0</v>
      </c>
      <c r="L1113" s="240">
        <v>0</v>
      </c>
      <c r="M1113" s="240">
        <v>0</v>
      </c>
      <c r="N1113" s="240">
        <v>0</v>
      </c>
    </row>
    <row r="1114" spans="1:14" x14ac:dyDescent="0.3">
      <c r="A1114" s="135" t="s">
        <v>461</v>
      </c>
      <c r="B1114" s="136" t="s">
        <v>414</v>
      </c>
      <c r="C1114" s="137">
        <v>2</v>
      </c>
      <c r="D1114" s="9">
        <v>29.767499999999998</v>
      </c>
      <c r="E1114" s="8">
        <v>2.9257200000000001</v>
      </c>
      <c r="F1114" s="8">
        <v>0.61358900000000005</v>
      </c>
      <c r="G1114" s="18">
        <v>8.125</v>
      </c>
      <c r="H1114" s="240">
        <v>0</v>
      </c>
      <c r="I1114" s="240">
        <v>0</v>
      </c>
      <c r="J1114" s="240">
        <v>0</v>
      </c>
      <c r="K1114" s="240">
        <v>0</v>
      </c>
      <c r="L1114" s="240">
        <v>0</v>
      </c>
      <c r="M1114" s="240">
        <v>0</v>
      </c>
      <c r="N1114" s="240">
        <v>0</v>
      </c>
    </row>
    <row r="1115" spans="1:14" x14ac:dyDescent="0.3">
      <c r="A1115" s="135" t="s">
        <v>461</v>
      </c>
      <c r="B1115" s="137" t="s">
        <v>414</v>
      </c>
      <c r="C1115" s="137">
        <v>3</v>
      </c>
      <c r="D1115" s="9">
        <v>30.135000000000002</v>
      </c>
      <c r="E1115" s="8">
        <v>2.9257200000000001</v>
      </c>
      <c r="F1115" s="8">
        <v>0.842499</v>
      </c>
      <c r="G1115" s="18">
        <v>8</v>
      </c>
      <c r="H1115" s="240">
        <v>0</v>
      </c>
      <c r="I1115" s="240">
        <v>0</v>
      </c>
      <c r="J1115" s="240">
        <v>0</v>
      </c>
      <c r="K1115" s="240">
        <v>0</v>
      </c>
      <c r="L1115" s="240">
        <v>0</v>
      </c>
      <c r="M1115" s="240">
        <v>0</v>
      </c>
      <c r="N1115" s="240">
        <v>0</v>
      </c>
    </row>
    <row r="1116" spans="1:14" x14ac:dyDescent="0.3">
      <c r="A1116" s="135" t="s">
        <v>461</v>
      </c>
      <c r="B1116" s="137" t="s">
        <v>414</v>
      </c>
      <c r="C1116" s="137">
        <v>4</v>
      </c>
      <c r="D1116" s="9">
        <v>30.318750000000001</v>
      </c>
      <c r="E1116" s="8">
        <v>2.9257200000000001</v>
      </c>
      <c r="F1116" s="8">
        <v>0.95695399999999997</v>
      </c>
      <c r="G1116" s="18">
        <v>8.1875</v>
      </c>
      <c r="H1116" s="240">
        <v>0</v>
      </c>
      <c r="I1116" s="240">
        <v>0</v>
      </c>
      <c r="J1116" s="240">
        <v>0</v>
      </c>
      <c r="K1116" s="240">
        <v>0</v>
      </c>
      <c r="L1116" s="240">
        <v>0</v>
      </c>
      <c r="M1116" s="240">
        <v>0</v>
      </c>
      <c r="N1116" s="240">
        <v>0</v>
      </c>
    </row>
    <row r="1117" spans="1:14" x14ac:dyDescent="0.3">
      <c r="A1117" s="135" t="s">
        <v>461</v>
      </c>
      <c r="B1117" s="137" t="s">
        <v>414</v>
      </c>
      <c r="C1117" s="137">
        <v>5</v>
      </c>
      <c r="D1117" s="9">
        <v>30.428999999999998</v>
      </c>
      <c r="E1117" s="8">
        <v>2.9257200000000001</v>
      </c>
      <c r="F1117" s="8">
        <v>1.129653</v>
      </c>
      <c r="G1117" s="18">
        <v>8.5</v>
      </c>
      <c r="H1117" s="240">
        <v>0</v>
      </c>
      <c r="I1117" s="240">
        <v>0</v>
      </c>
      <c r="J1117" s="240">
        <v>0</v>
      </c>
      <c r="K1117" s="240">
        <v>0</v>
      </c>
      <c r="L1117" s="240">
        <v>0</v>
      </c>
      <c r="M1117" s="240">
        <v>0</v>
      </c>
      <c r="N1117" s="240">
        <v>0</v>
      </c>
    </row>
    <row r="1118" spans="1:14" x14ac:dyDescent="0.3">
      <c r="A1118" s="135" t="s">
        <v>461</v>
      </c>
      <c r="B1118" s="137" t="s">
        <v>414</v>
      </c>
      <c r="C1118" s="137">
        <v>6</v>
      </c>
      <c r="D1118" s="9">
        <v>30.502500000000001</v>
      </c>
      <c r="E1118" s="8">
        <v>2.9257200000000001</v>
      </c>
      <c r="F1118" s="8">
        <v>1.2624439999999999</v>
      </c>
      <c r="G1118" s="18">
        <v>8.8333329999999997</v>
      </c>
      <c r="H1118" s="240">
        <v>0</v>
      </c>
      <c r="I1118" s="240">
        <v>0</v>
      </c>
      <c r="J1118" s="240">
        <v>0</v>
      </c>
      <c r="K1118" s="240">
        <v>0</v>
      </c>
      <c r="L1118" s="240">
        <v>0</v>
      </c>
      <c r="M1118" s="240">
        <v>0</v>
      </c>
      <c r="N1118" s="240">
        <v>0</v>
      </c>
    </row>
    <row r="1119" spans="1:14" x14ac:dyDescent="0.3">
      <c r="A1119" s="135" t="s">
        <v>461</v>
      </c>
      <c r="B1119" s="137" t="s">
        <v>414</v>
      </c>
      <c r="C1119" s="137">
        <v>7</v>
      </c>
      <c r="D1119" s="9">
        <v>30.555</v>
      </c>
      <c r="E1119" s="8">
        <v>2.9257200000000001</v>
      </c>
      <c r="F1119" s="8">
        <v>1.3572949999999999</v>
      </c>
      <c r="G1119" s="18">
        <v>9.1785709999999998</v>
      </c>
      <c r="H1119" s="240">
        <v>0</v>
      </c>
      <c r="I1119" s="240">
        <v>0</v>
      </c>
      <c r="J1119" s="240">
        <v>0</v>
      </c>
      <c r="K1119" s="240">
        <v>0</v>
      </c>
      <c r="L1119" s="240">
        <v>0</v>
      </c>
      <c r="M1119" s="240">
        <v>0</v>
      </c>
      <c r="N1119" s="240">
        <v>0</v>
      </c>
    </row>
    <row r="1120" spans="1:14" x14ac:dyDescent="0.3">
      <c r="A1120" s="135" t="s">
        <v>461</v>
      </c>
      <c r="B1120" s="137" t="s">
        <v>414</v>
      </c>
      <c r="C1120" s="137">
        <v>8</v>
      </c>
      <c r="D1120" s="9">
        <v>30.594374999999999</v>
      </c>
      <c r="E1120" s="8">
        <v>2.9257200000000001</v>
      </c>
      <c r="F1120" s="8">
        <v>1.545221</v>
      </c>
      <c r="G1120" s="18">
        <v>9.53125</v>
      </c>
      <c r="H1120" s="240">
        <v>0</v>
      </c>
      <c r="I1120" s="240">
        <v>0</v>
      </c>
      <c r="J1120" s="240">
        <v>0</v>
      </c>
      <c r="K1120" s="240">
        <v>0</v>
      </c>
      <c r="L1120" s="240">
        <v>0</v>
      </c>
      <c r="M1120" s="240">
        <v>0</v>
      </c>
      <c r="N1120" s="240">
        <v>0</v>
      </c>
    </row>
    <row r="1121" spans="1:14" x14ac:dyDescent="0.3">
      <c r="A1121" s="135" t="s">
        <v>461</v>
      </c>
      <c r="B1121" s="137" t="s">
        <v>414</v>
      </c>
      <c r="C1121" s="137">
        <v>9</v>
      </c>
      <c r="D1121" s="9">
        <v>30.625</v>
      </c>
      <c r="E1121" s="8">
        <v>2.9257200000000001</v>
      </c>
      <c r="F1121" s="8">
        <v>1.6913860000000001</v>
      </c>
      <c r="G1121" s="18">
        <v>9.8888890000000007</v>
      </c>
      <c r="H1121" s="240">
        <v>0</v>
      </c>
      <c r="I1121" s="240">
        <v>0</v>
      </c>
      <c r="J1121" s="240">
        <v>0</v>
      </c>
      <c r="K1121" s="240">
        <v>0</v>
      </c>
      <c r="L1121" s="240">
        <v>0</v>
      </c>
      <c r="M1121" s="240">
        <v>0</v>
      </c>
      <c r="N1121" s="240">
        <v>0</v>
      </c>
    </row>
    <row r="1122" spans="1:14" x14ac:dyDescent="0.3">
      <c r="A1122" s="135" t="s">
        <v>461</v>
      </c>
      <c r="B1122" s="137" t="s">
        <v>414</v>
      </c>
      <c r="C1122" s="137">
        <v>10</v>
      </c>
      <c r="D1122" s="9">
        <v>30.6495</v>
      </c>
      <c r="E1122" s="8">
        <v>2.9257200000000001</v>
      </c>
      <c r="F1122" s="8">
        <v>1.8232470000000001</v>
      </c>
      <c r="G1122" s="18">
        <v>10.225</v>
      </c>
      <c r="H1122" s="240">
        <v>0</v>
      </c>
      <c r="I1122" s="240">
        <v>0</v>
      </c>
      <c r="J1122" s="240">
        <v>0</v>
      </c>
      <c r="K1122" s="240">
        <v>0</v>
      </c>
      <c r="L1122" s="240">
        <v>0</v>
      </c>
      <c r="M1122" s="240">
        <v>0</v>
      </c>
      <c r="N1122" s="240">
        <v>0</v>
      </c>
    </row>
    <row r="1123" spans="1:14" x14ac:dyDescent="0.3">
      <c r="A1123" s="135" t="s">
        <v>461</v>
      </c>
      <c r="B1123" s="137" t="s">
        <v>414</v>
      </c>
      <c r="C1123" s="137">
        <v>11</v>
      </c>
      <c r="D1123" s="9">
        <v>30.669544999999999</v>
      </c>
      <c r="E1123" s="8">
        <v>2.9257200000000001</v>
      </c>
      <c r="F1123" s="8">
        <v>1.9311339999999999</v>
      </c>
      <c r="G1123" s="18">
        <v>10.568182</v>
      </c>
      <c r="H1123" s="240">
        <v>0</v>
      </c>
      <c r="I1123" s="240">
        <v>0</v>
      </c>
      <c r="J1123" s="240">
        <v>0</v>
      </c>
      <c r="K1123" s="240">
        <v>0</v>
      </c>
      <c r="L1123" s="240">
        <v>0</v>
      </c>
      <c r="M1123" s="240">
        <v>0</v>
      </c>
      <c r="N1123" s="240">
        <v>0</v>
      </c>
    </row>
    <row r="1124" spans="1:14" x14ac:dyDescent="0.3">
      <c r="A1124" s="135" t="s">
        <v>461</v>
      </c>
      <c r="B1124" s="137" t="s">
        <v>414</v>
      </c>
      <c r="C1124" s="137">
        <v>12</v>
      </c>
      <c r="D1124" s="9">
        <v>30.686250000000001</v>
      </c>
      <c r="E1124" s="8">
        <v>2.9257200000000001</v>
      </c>
      <c r="F1124" s="8">
        <v>2.0952860000000002</v>
      </c>
      <c r="G1124" s="18">
        <v>10.895833</v>
      </c>
      <c r="H1124" s="240">
        <v>0</v>
      </c>
      <c r="I1124" s="240">
        <v>0</v>
      </c>
      <c r="J1124" s="240">
        <v>0</v>
      </c>
      <c r="K1124" s="240">
        <v>0</v>
      </c>
      <c r="L1124" s="240">
        <v>0</v>
      </c>
      <c r="M1124" s="240">
        <v>0</v>
      </c>
      <c r="N1124" s="240">
        <v>0</v>
      </c>
    </row>
    <row r="1125" spans="1:14" x14ac:dyDescent="0.3">
      <c r="A1125" s="135" t="s">
        <v>461</v>
      </c>
      <c r="B1125" s="137" t="s">
        <v>414</v>
      </c>
      <c r="C1125" s="137">
        <v>13</v>
      </c>
      <c r="D1125" s="9">
        <v>30.700385000000001</v>
      </c>
      <c r="E1125" s="8">
        <v>2.9257200000000001</v>
      </c>
      <c r="F1125" s="8">
        <v>2.2341839999999999</v>
      </c>
      <c r="G1125" s="18">
        <v>11.230769</v>
      </c>
      <c r="H1125" s="240">
        <v>0</v>
      </c>
      <c r="I1125" s="240">
        <v>0</v>
      </c>
      <c r="J1125" s="240">
        <v>0</v>
      </c>
      <c r="K1125" s="240">
        <v>0</v>
      </c>
      <c r="L1125" s="240">
        <v>0</v>
      </c>
      <c r="M1125" s="240">
        <v>0</v>
      </c>
      <c r="N1125" s="240">
        <v>0</v>
      </c>
    </row>
    <row r="1126" spans="1:14" x14ac:dyDescent="0.3">
      <c r="A1126" s="135" t="s">
        <v>461</v>
      </c>
      <c r="B1126" s="137" t="s">
        <v>414</v>
      </c>
      <c r="C1126" s="137">
        <v>14</v>
      </c>
      <c r="D1126" s="9">
        <v>30.712499999999999</v>
      </c>
      <c r="E1126" s="8">
        <v>2.9257200000000001</v>
      </c>
      <c r="F1126" s="8">
        <v>2.3841999999999999</v>
      </c>
      <c r="G1126" s="18">
        <v>11.535714</v>
      </c>
      <c r="H1126" s="240">
        <v>0</v>
      </c>
      <c r="I1126" s="240">
        <v>0</v>
      </c>
      <c r="J1126" s="240">
        <v>0</v>
      </c>
      <c r="K1126" s="240">
        <v>0</v>
      </c>
      <c r="L1126" s="240">
        <v>0</v>
      </c>
      <c r="M1126" s="240">
        <v>0</v>
      </c>
      <c r="N1126" s="240">
        <v>0</v>
      </c>
    </row>
    <row r="1127" spans="1:14" x14ac:dyDescent="0.3">
      <c r="A1127" s="135" t="s">
        <v>461</v>
      </c>
      <c r="B1127" s="137" t="s">
        <v>414</v>
      </c>
      <c r="C1127" s="137">
        <v>15</v>
      </c>
      <c r="D1127" s="9">
        <v>30.722999999999999</v>
      </c>
      <c r="E1127" s="8">
        <v>2.9257200000000001</v>
      </c>
      <c r="F1127" s="8">
        <v>2.5142129999999998</v>
      </c>
      <c r="G1127" s="18">
        <v>11.866667</v>
      </c>
      <c r="H1127" s="240">
        <v>0</v>
      </c>
      <c r="I1127" s="240">
        <v>0</v>
      </c>
      <c r="J1127" s="240">
        <v>0</v>
      </c>
      <c r="K1127" s="240">
        <v>0</v>
      </c>
      <c r="L1127" s="240">
        <v>0</v>
      </c>
      <c r="M1127" s="240">
        <v>0</v>
      </c>
      <c r="N1127" s="240">
        <v>0</v>
      </c>
    </row>
    <row r="1128" spans="1:14" x14ac:dyDescent="0.3">
      <c r="A1128" s="135" t="s">
        <v>461</v>
      </c>
      <c r="B1128" s="137" t="s">
        <v>414</v>
      </c>
      <c r="C1128" s="137">
        <v>16</v>
      </c>
      <c r="D1128" s="9">
        <v>30.732187</v>
      </c>
      <c r="E1128" s="8">
        <v>2.9257200000000001</v>
      </c>
      <c r="F1128" s="8">
        <v>2.6279750000000002</v>
      </c>
      <c r="G1128" s="18">
        <v>12.171875</v>
      </c>
      <c r="H1128" s="240">
        <v>0</v>
      </c>
      <c r="I1128" s="240">
        <v>0</v>
      </c>
      <c r="J1128" s="240">
        <v>0</v>
      </c>
      <c r="K1128" s="240">
        <v>0</v>
      </c>
      <c r="L1128" s="240">
        <v>0</v>
      </c>
      <c r="M1128" s="240">
        <v>0</v>
      </c>
      <c r="N1128" s="240">
        <v>0</v>
      </c>
    </row>
    <row r="1129" spans="1:14" x14ac:dyDescent="0.3">
      <c r="A1129" s="135" t="s">
        <v>461</v>
      </c>
      <c r="B1129" s="137" t="s">
        <v>414</v>
      </c>
      <c r="C1129" s="137">
        <v>17</v>
      </c>
      <c r="D1129" s="9">
        <v>30.740293999999999</v>
      </c>
      <c r="E1129" s="8">
        <v>2.9257200000000001</v>
      </c>
      <c r="F1129" s="8">
        <v>2.7283529999999998</v>
      </c>
      <c r="G1129" s="18">
        <v>12.470587999999999</v>
      </c>
      <c r="H1129" s="240">
        <v>0</v>
      </c>
      <c r="I1129" s="240">
        <v>0</v>
      </c>
      <c r="J1129" s="240">
        <v>0</v>
      </c>
      <c r="K1129" s="240">
        <v>0</v>
      </c>
      <c r="L1129" s="240">
        <v>0</v>
      </c>
      <c r="M1129" s="240">
        <v>0</v>
      </c>
      <c r="N1129" s="240">
        <v>0</v>
      </c>
    </row>
    <row r="1130" spans="1:14" x14ac:dyDescent="0.3">
      <c r="A1130" s="135" t="s">
        <v>461</v>
      </c>
      <c r="B1130" s="137" t="s">
        <v>414</v>
      </c>
      <c r="C1130" s="137">
        <v>18</v>
      </c>
      <c r="D1130" s="9">
        <v>30.747499999999999</v>
      </c>
      <c r="E1130" s="8">
        <v>2.9257200000000001</v>
      </c>
      <c r="F1130" s="8">
        <v>2.8946329999999998</v>
      </c>
      <c r="G1130" s="18">
        <v>12.763889000000001</v>
      </c>
      <c r="H1130" s="240">
        <v>0</v>
      </c>
      <c r="I1130" s="240">
        <v>0</v>
      </c>
      <c r="J1130" s="240">
        <v>0</v>
      </c>
      <c r="K1130" s="240">
        <v>0</v>
      </c>
      <c r="L1130" s="240">
        <v>0</v>
      </c>
      <c r="M1130" s="240">
        <v>0</v>
      </c>
      <c r="N1130" s="240">
        <v>0</v>
      </c>
    </row>
    <row r="1131" spans="1:14" x14ac:dyDescent="0.3">
      <c r="A1131" s="135" t="s">
        <v>461</v>
      </c>
      <c r="B1131" s="137" t="s">
        <v>414</v>
      </c>
      <c r="C1131" s="137">
        <v>19</v>
      </c>
      <c r="D1131" s="9">
        <v>30.753947</v>
      </c>
      <c r="E1131" s="8">
        <v>2.9257200000000001</v>
      </c>
      <c r="F1131" s="8">
        <v>3.0434109999999999</v>
      </c>
      <c r="G1131" s="18">
        <v>13.065789000000001</v>
      </c>
      <c r="H1131" s="240">
        <v>0</v>
      </c>
      <c r="I1131" s="240">
        <v>0</v>
      </c>
      <c r="J1131" s="240">
        <v>0</v>
      </c>
      <c r="K1131" s="240">
        <v>0</v>
      </c>
      <c r="L1131" s="240">
        <v>0</v>
      </c>
      <c r="M1131" s="240">
        <v>0</v>
      </c>
      <c r="N1131" s="240">
        <v>0</v>
      </c>
    </row>
    <row r="1132" spans="1:14" x14ac:dyDescent="0.3">
      <c r="A1132" s="135" t="s">
        <v>461</v>
      </c>
      <c r="B1132" s="137" t="s">
        <v>414</v>
      </c>
      <c r="C1132" s="137">
        <v>20</v>
      </c>
      <c r="D1132" s="9">
        <v>30.993052656940602</v>
      </c>
      <c r="E1132" s="8">
        <v>2.9257200000000001</v>
      </c>
      <c r="F1132" s="8">
        <v>3.1135999999999999</v>
      </c>
      <c r="G1132" s="18">
        <v>13.808299999999999</v>
      </c>
      <c r="H1132" s="240">
        <v>0</v>
      </c>
      <c r="I1132" s="240">
        <v>0</v>
      </c>
      <c r="J1132" s="240">
        <v>0</v>
      </c>
      <c r="K1132" s="240">
        <v>0</v>
      </c>
      <c r="L1132" s="240">
        <v>0</v>
      </c>
      <c r="M1132" s="240">
        <v>0</v>
      </c>
      <c r="N1132" s="240">
        <v>0</v>
      </c>
    </row>
    <row r="1133" spans="1:14" x14ac:dyDescent="0.3">
      <c r="A1133" s="135" t="s">
        <v>461</v>
      </c>
      <c r="B1133" s="137" t="s">
        <v>414</v>
      </c>
      <c r="C1133" s="137">
        <v>21</v>
      </c>
      <c r="D1133" s="9">
        <v>31.021645588978252</v>
      </c>
      <c r="E1133" s="8">
        <v>2.9257200000000001</v>
      </c>
      <c r="F1133" s="8">
        <v>3.2307999999999999</v>
      </c>
      <c r="G1133" s="18">
        <v>14.284099999999999</v>
      </c>
      <c r="H1133" s="240">
        <v>0</v>
      </c>
      <c r="I1133" s="240">
        <v>0</v>
      </c>
      <c r="J1133" s="240">
        <v>0</v>
      </c>
      <c r="K1133" s="240">
        <v>0</v>
      </c>
      <c r="L1133" s="240">
        <v>0</v>
      </c>
      <c r="M1133" s="240">
        <v>0</v>
      </c>
      <c r="N1133" s="240">
        <v>0</v>
      </c>
    </row>
    <row r="1134" spans="1:14" x14ac:dyDescent="0.3">
      <c r="A1134" s="135" t="s">
        <v>461</v>
      </c>
      <c r="B1134" s="137" t="s">
        <v>414</v>
      </c>
      <c r="C1134" s="137">
        <v>22</v>
      </c>
      <c r="D1134" s="9">
        <v>31.048932691591556</v>
      </c>
      <c r="E1134" s="8">
        <v>2.9257200000000001</v>
      </c>
      <c r="F1134" s="8">
        <v>3.3457999999999997</v>
      </c>
      <c r="G1134" s="18">
        <v>14.7783</v>
      </c>
      <c r="H1134" s="240">
        <v>0</v>
      </c>
      <c r="I1134" s="240">
        <v>0</v>
      </c>
      <c r="J1134" s="240">
        <v>0</v>
      </c>
      <c r="K1134" s="240">
        <v>0</v>
      </c>
      <c r="L1134" s="240">
        <v>0</v>
      </c>
      <c r="M1134" s="240">
        <v>0</v>
      </c>
      <c r="N1134" s="240">
        <v>0</v>
      </c>
    </row>
    <row r="1135" spans="1:14" x14ac:dyDescent="0.3">
      <c r="A1135" s="135" t="s">
        <v>461</v>
      </c>
      <c r="B1135" s="137" t="s">
        <v>414</v>
      </c>
      <c r="C1135" s="137">
        <v>23</v>
      </c>
      <c r="D1135" s="9">
        <v>31.075029050251153</v>
      </c>
      <c r="E1135" s="8">
        <v>2.9257200000000001</v>
      </c>
      <c r="F1135" s="8">
        <v>3.4585999999999997</v>
      </c>
      <c r="G1135" s="18">
        <v>15.290899999999999</v>
      </c>
      <c r="H1135" s="240">
        <v>0</v>
      </c>
      <c r="I1135" s="240">
        <v>0</v>
      </c>
      <c r="J1135" s="240">
        <v>0</v>
      </c>
      <c r="K1135" s="240">
        <v>0</v>
      </c>
      <c r="L1135" s="240">
        <v>0</v>
      </c>
      <c r="M1135" s="240">
        <v>0</v>
      </c>
      <c r="N1135" s="240">
        <v>0</v>
      </c>
    </row>
    <row r="1136" spans="1:14" x14ac:dyDescent="0.3">
      <c r="A1136" s="135" t="s">
        <v>461</v>
      </c>
      <c r="B1136" s="137" t="s">
        <v>414</v>
      </c>
      <c r="C1136" s="137">
        <v>24</v>
      </c>
      <c r="D1136" s="9">
        <v>31.100035135768042</v>
      </c>
      <c r="E1136" s="8">
        <v>2.9257200000000001</v>
      </c>
      <c r="F1136" s="8">
        <v>3.5691999999999999</v>
      </c>
      <c r="G1136" s="18">
        <v>15.821899999999999</v>
      </c>
      <c r="H1136" s="240">
        <v>0</v>
      </c>
      <c r="I1136" s="240">
        <v>0</v>
      </c>
      <c r="J1136" s="240">
        <v>0</v>
      </c>
      <c r="K1136" s="240">
        <v>0</v>
      </c>
      <c r="L1136" s="240">
        <v>0</v>
      </c>
      <c r="M1136" s="240">
        <v>0</v>
      </c>
      <c r="N1136" s="240">
        <v>0</v>
      </c>
    </row>
    <row r="1137" spans="1:14" x14ac:dyDescent="0.3">
      <c r="A1137" s="135" t="s">
        <v>461</v>
      </c>
      <c r="B1137" s="137" t="s">
        <v>414</v>
      </c>
      <c r="C1137" s="137">
        <v>25</v>
      </c>
      <c r="D1137" s="9">
        <v>31.124039181834071</v>
      </c>
      <c r="E1137" s="8">
        <v>2.9257200000000001</v>
      </c>
      <c r="F1137" s="8">
        <v>3.6776</v>
      </c>
      <c r="G1137" s="18">
        <v>16.371299999999998</v>
      </c>
      <c r="H1137" s="240">
        <v>0</v>
      </c>
      <c r="I1137" s="240">
        <v>0</v>
      </c>
      <c r="J1137" s="240">
        <v>0</v>
      </c>
      <c r="K1137" s="240">
        <v>0</v>
      </c>
      <c r="L1137" s="240">
        <v>0</v>
      </c>
      <c r="M1137" s="240">
        <v>0</v>
      </c>
      <c r="N1137" s="240">
        <v>0</v>
      </c>
    </row>
    <row r="1138" spans="1:14" x14ac:dyDescent="0.3">
      <c r="A1138" s="135" t="s">
        <v>461</v>
      </c>
      <c r="B1138" s="137" t="s">
        <v>414</v>
      </c>
      <c r="C1138" s="137">
        <v>26</v>
      </c>
      <c r="D1138" s="9">
        <v>31.147119097563095</v>
      </c>
      <c r="E1138" s="8">
        <v>2.9257200000000001</v>
      </c>
      <c r="F1138" s="8">
        <v>3.7838000000000003</v>
      </c>
      <c r="G1138" s="18">
        <v>16.9391</v>
      </c>
      <c r="H1138" s="240">
        <v>0</v>
      </c>
      <c r="I1138" s="240">
        <v>0</v>
      </c>
      <c r="J1138" s="240">
        <v>0</v>
      </c>
      <c r="K1138" s="240">
        <v>0</v>
      </c>
      <c r="L1138" s="240">
        <v>0</v>
      </c>
      <c r="M1138" s="240">
        <v>0</v>
      </c>
      <c r="N1138" s="240">
        <v>0</v>
      </c>
    </row>
    <row r="1139" spans="1:14" x14ac:dyDescent="0.3">
      <c r="A1139" s="135" t="s">
        <v>461</v>
      </c>
      <c r="B1139" s="137" t="s">
        <v>414</v>
      </c>
      <c r="C1139" s="137">
        <v>27</v>
      </c>
      <c r="D1139" s="9">
        <v>31.169344020122473</v>
      </c>
      <c r="E1139" s="8">
        <v>2.9257200000000001</v>
      </c>
      <c r="F1139" s="8">
        <v>3.8878000000000004</v>
      </c>
      <c r="G1139" s="18">
        <v>17.525300000000001</v>
      </c>
      <c r="H1139" s="240">
        <v>0</v>
      </c>
      <c r="I1139" s="240">
        <v>0</v>
      </c>
      <c r="J1139" s="240">
        <v>0</v>
      </c>
      <c r="K1139" s="240">
        <v>0</v>
      </c>
      <c r="L1139" s="240">
        <v>0</v>
      </c>
      <c r="M1139" s="240">
        <v>0</v>
      </c>
      <c r="N1139" s="240">
        <v>0</v>
      </c>
    </row>
    <row r="1140" spans="1:14" x14ac:dyDescent="0.3">
      <c r="A1140" s="135" t="s">
        <v>461</v>
      </c>
      <c r="B1140" s="137" t="s">
        <v>414</v>
      </c>
      <c r="C1140" s="137">
        <v>28</v>
      </c>
      <c r="D1140" s="9">
        <v>31.190775585829368</v>
      </c>
      <c r="E1140" s="8">
        <v>2.9257200000000001</v>
      </c>
      <c r="F1140" s="8">
        <v>3.9895999999999994</v>
      </c>
      <c r="G1140" s="18">
        <v>18.129899999999999</v>
      </c>
      <c r="H1140" s="240">
        <v>0</v>
      </c>
      <c r="I1140" s="240">
        <v>0</v>
      </c>
      <c r="J1140" s="240">
        <v>0</v>
      </c>
      <c r="K1140" s="240">
        <v>0</v>
      </c>
      <c r="L1140" s="240">
        <v>0</v>
      </c>
      <c r="M1140" s="240">
        <v>0</v>
      </c>
      <c r="N1140" s="240">
        <v>0</v>
      </c>
    </row>
    <row r="1141" spans="1:14" x14ac:dyDescent="0.3">
      <c r="A1141" s="135" t="s">
        <v>461</v>
      </c>
      <c r="B1141" s="137" t="s">
        <v>414</v>
      </c>
      <c r="C1141" s="137">
        <v>29</v>
      </c>
      <c r="D1141" s="9">
        <v>31.211468978863913</v>
      </c>
      <c r="E1141" s="8">
        <v>2.9257200000000001</v>
      </c>
      <c r="F1141" s="8">
        <v>4.0891999999999999</v>
      </c>
      <c r="G1141" s="18">
        <v>18.752899999999997</v>
      </c>
      <c r="H1141" s="240">
        <v>0</v>
      </c>
      <c r="I1141" s="240">
        <v>0</v>
      </c>
      <c r="J1141" s="240">
        <v>0</v>
      </c>
      <c r="K1141" s="240">
        <v>0</v>
      </c>
      <c r="L1141" s="240">
        <v>0</v>
      </c>
      <c r="M1141" s="240">
        <v>0</v>
      </c>
      <c r="N1141" s="240">
        <v>0</v>
      </c>
    </row>
    <row r="1142" spans="1:14" x14ac:dyDescent="0.3">
      <c r="A1142" s="138" t="s">
        <v>461</v>
      </c>
      <c r="B1142" s="137" t="s">
        <v>414</v>
      </c>
      <c r="C1142" s="137">
        <v>30</v>
      </c>
      <c r="D1142" s="9">
        <v>31.231473802736101</v>
      </c>
      <c r="E1142" s="8">
        <v>2.9257200000000001</v>
      </c>
      <c r="F1142" s="8">
        <v>4.1865999999999994</v>
      </c>
      <c r="G1142" s="18">
        <v>19.394300000000001</v>
      </c>
      <c r="H1142" s="240">
        <v>0</v>
      </c>
      <c r="I1142" s="240">
        <v>0</v>
      </c>
      <c r="J1142" s="240">
        <v>0</v>
      </c>
      <c r="K1142" s="240">
        <v>0</v>
      </c>
      <c r="L1142" s="240">
        <v>0</v>
      </c>
      <c r="M1142" s="240">
        <v>0</v>
      </c>
      <c r="N1142" s="240">
        <v>0</v>
      </c>
    </row>
    <row r="1143" spans="1:14" x14ac:dyDescent="0.3">
      <c r="A1143" s="142" t="s">
        <v>461</v>
      </c>
      <c r="B1143" s="143" t="s">
        <v>415</v>
      </c>
      <c r="C1143" s="143">
        <v>1</v>
      </c>
      <c r="D1143" s="9">
        <v>28.664999999999999</v>
      </c>
      <c r="E1143" s="8">
        <v>0</v>
      </c>
      <c r="F1143" s="8">
        <v>3.7044000000000001</v>
      </c>
      <c r="G1143" s="18">
        <v>4.25</v>
      </c>
      <c r="H1143" s="240">
        <v>0</v>
      </c>
      <c r="I1143" s="240">
        <v>0</v>
      </c>
      <c r="J1143" s="240">
        <v>0</v>
      </c>
      <c r="K1143" s="240">
        <v>0</v>
      </c>
      <c r="L1143" s="240">
        <v>0</v>
      </c>
      <c r="M1143" s="240">
        <v>0</v>
      </c>
      <c r="N1143" s="240">
        <v>0</v>
      </c>
    </row>
    <row r="1144" spans="1:14" x14ac:dyDescent="0.3">
      <c r="A1144" s="135" t="s">
        <v>461</v>
      </c>
      <c r="B1144" s="136" t="s">
        <v>415</v>
      </c>
      <c r="C1144" s="137">
        <v>2</v>
      </c>
      <c r="D1144" s="9">
        <v>29.767499999999998</v>
      </c>
      <c r="E1144" s="8">
        <v>0</v>
      </c>
      <c r="F1144" s="8">
        <v>4.6304999999999996</v>
      </c>
      <c r="G1144" s="18">
        <v>3.5</v>
      </c>
      <c r="H1144" s="240">
        <v>0</v>
      </c>
      <c r="I1144" s="240">
        <v>0</v>
      </c>
      <c r="J1144" s="240">
        <v>0</v>
      </c>
      <c r="K1144" s="240">
        <v>0</v>
      </c>
      <c r="L1144" s="240">
        <v>0</v>
      </c>
      <c r="M1144" s="240">
        <v>0</v>
      </c>
      <c r="N1144" s="240">
        <v>0</v>
      </c>
    </row>
    <row r="1145" spans="1:14" x14ac:dyDescent="0.3">
      <c r="A1145" s="135" t="s">
        <v>461</v>
      </c>
      <c r="B1145" s="137" t="s">
        <v>415</v>
      </c>
      <c r="C1145" s="137">
        <v>3</v>
      </c>
      <c r="D1145" s="9">
        <v>30.135000000000002</v>
      </c>
      <c r="E1145" s="8">
        <v>0</v>
      </c>
      <c r="F1145" s="8">
        <v>5.1449999999999996</v>
      </c>
      <c r="G1145" s="18">
        <v>3.5</v>
      </c>
      <c r="H1145" s="240">
        <v>0</v>
      </c>
      <c r="I1145" s="240">
        <v>0</v>
      </c>
      <c r="J1145" s="240">
        <v>0</v>
      </c>
      <c r="K1145" s="240">
        <v>0</v>
      </c>
      <c r="L1145" s="240">
        <v>0</v>
      </c>
      <c r="M1145" s="240">
        <v>0</v>
      </c>
      <c r="N1145" s="240">
        <v>0</v>
      </c>
    </row>
    <row r="1146" spans="1:14" x14ac:dyDescent="0.3">
      <c r="A1146" s="135" t="s">
        <v>461</v>
      </c>
      <c r="B1146" s="137" t="s">
        <v>415</v>
      </c>
      <c r="C1146" s="137">
        <v>4</v>
      </c>
      <c r="D1146" s="9">
        <v>30.318750000000001</v>
      </c>
      <c r="E1146" s="8">
        <v>0</v>
      </c>
      <c r="F1146" s="8">
        <v>5.5566000000000004</v>
      </c>
      <c r="G1146" s="18">
        <v>3.625</v>
      </c>
      <c r="H1146" s="240">
        <v>0</v>
      </c>
      <c r="I1146" s="240">
        <v>0</v>
      </c>
      <c r="J1146" s="240">
        <v>0</v>
      </c>
      <c r="K1146" s="240">
        <v>0</v>
      </c>
      <c r="L1146" s="240">
        <v>0</v>
      </c>
      <c r="M1146" s="240">
        <v>0</v>
      </c>
      <c r="N1146" s="240">
        <v>0</v>
      </c>
    </row>
    <row r="1147" spans="1:14" x14ac:dyDescent="0.3">
      <c r="A1147" s="135" t="s">
        <v>461</v>
      </c>
      <c r="B1147" s="137" t="s">
        <v>415</v>
      </c>
      <c r="C1147" s="137">
        <v>5</v>
      </c>
      <c r="D1147" s="9">
        <v>30.428999999999998</v>
      </c>
      <c r="E1147" s="8">
        <v>0</v>
      </c>
      <c r="F1147" s="8">
        <v>5.9270399999999999</v>
      </c>
      <c r="G1147" s="18">
        <v>3.75</v>
      </c>
      <c r="H1147" s="240">
        <v>0</v>
      </c>
      <c r="I1147" s="240">
        <v>0</v>
      </c>
      <c r="J1147" s="240">
        <v>0</v>
      </c>
      <c r="K1147" s="240">
        <v>0</v>
      </c>
      <c r="L1147" s="240">
        <v>0</v>
      </c>
      <c r="M1147" s="240">
        <v>0</v>
      </c>
      <c r="N1147" s="240">
        <v>0</v>
      </c>
    </row>
    <row r="1148" spans="1:14" x14ac:dyDescent="0.3">
      <c r="A1148" s="135" t="s">
        <v>461</v>
      </c>
      <c r="B1148" s="137" t="s">
        <v>415</v>
      </c>
      <c r="C1148" s="137">
        <v>6</v>
      </c>
      <c r="D1148" s="9">
        <v>30.502500000000001</v>
      </c>
      <c r="E1148" s="8">
        <v>0</v>
      </c>
      <c r="F1148" s="8">
        <v>6.1740000000000004</v>
      </c>
      <c r="G1148" s="18">
        <v>3.9166669999999999</v>
      </c>
      <c r="H1148" s="240">
        <v>0</v>
      </c>
      <c r="I1148" s="240">
        <v>0</v>
      </c>
      <c r="J1148" s="240">
        <v>0</v>
      </c>
      <c r="K1148" s="240">
        <v>0</v>
      </c>
      <c r="L1148" s="240">
        <v>0</v>
      </c>
      <c r="M1148" s="240">
        <v>0</v>
      </c>
      <c r="N1148" s="240">
        <v>0</v>
      </c>
    </row>
    <row r="1149" spans="1:14" x14ac:dyDescent="0.3">
      <c r="A1149" s="135" t="s">
        <v>461</v>
      </c>
      <c r="B1149" s="137" t="s">
        <v>415</v>
      </c>
      <c r="C1149" s="137">
        <v>7</v>
      </c>
      <c r="D1149" s="9">
        <v>30.555</v>
      </c>
      <c r="E1149" s="8">
        <v>0</v>
      </c>
      <c r="F1149" s="8">
        <v>6.5267999999999997</v>
      </c>
      <c r="G1149" s="18">
        <v>4.0714290000000002</v>
      </c>
      <c r="H1149" s="240">
        <v>0</v>
      </c>
      <c r="I1149" s="240">
        <v>0</v>
      </c>
      <c r="J1149" s="240">
        <v>0</v>
      </c>
      <c r="K1149" s="240">
        <v>0</v>
      </c>
      <c r="L1149" s="240">
        <v>0</v>
      </c>
      <c r="M1149" s="240">
        <v>0</v>
      </c>
      <c r="N1149" s="240">
        <v>0</v>
      </c>
    </row>
    <row r="1150" spans="1:14" x14ac:dyDescent="0.3">
      <c r="A1150" s="135" t="s">
        <v>461</v>
      </c>
      <c r="B1150" s="137" t="s">
        <v>415</v>
      </c>
      <c r="C1150" s="137">
        <v>8</v>
      </c>
      <c r="D1150" s="9">
        <v>30.594374999999999</v>
      </c>
      <c r="E1150" s="8">
        <v>0</v>
      </c>
      <c r="F1150" s="8">
        <v>6.7914000000000003</v>
      </c>
      <c r="G1150" s="18">
        <v>4.25</v>
      </c>
      <c r="H1150" s="240">
        <v>0</v>
      </c>
      <c r="I1150" s="240">
        <v>0</v>
      </c>
      <c r="J1150" s="240">
        <v>0</v>
      </c>
      <c r="K1150" s="240">
        <v>0</v>
      </c>
      <c r="L1150" s="240">
        <v>0</v>
      </c>
      <c r="M1150" s="240">
        <v>0</v>
      </c>
      <c r="N1150" s="240">
        <v>0</v>
      </c>
    </row>
    <row r="1151" spans="1:14" x14ac:dyDescent="0.3">
      <c r="A1151" s="135" t="s">
        <v>461</v>
      </c>
      <c r="B1151" s="137" t="s">
        <v>415</v>
      </c>
      <c r="C1151" s="137">
        <v>9</v>
      </c>
      <c r="D1151" s="9">
        <v>30.625</v>
      </c>
      <c r="E1151" s="8">
        <v>0</v>
      </c>
      <c r="F1151" s="8">
        <v>6.9972000000000003</v>
      </c>
      <c r="G1151" s="18">
        <v>4.3888889999999998</v>
      </c>
      <c r="H1151" s="240">
        <v>0</v>
      </c>
      <c r="I1151" s="240">
        <v>0</v>
      </c>
      <c r="J1151" s="240">
        <v>0</v>
      </c>
      <c r="K1151" s="240">
        <v>0</v>
      </c>
      <c r="L1151" s="240">
        <v>0</v>
      </c>
      <c r="M1151" s="240">
        <v>0</v>
      </c>
      <c r="N1151" s="240">
        <v>0</v>
      </c>
    </row>
    <row r="1152" spans="1:14" x14ac:dyDescent="0.3">
      <c r="A1152" s="135" t="s">
        <v>461</v>
      </c>
      <c r="B1152" s="137" t="s">
        <v>415</v>
      </c>
      <c r="C1152" s="137">
        <v>10</v>
      </c>
      <c r="D1152" s="9">
        <v>30.6495</v>
      </c>
      <c r="E1152" s="8">
        <v>0</v>
      </c>
      <c r="F1152" s="8">
        <v>7.2853199999999996</v>
      </c>
      <c r="G1152" s="18">
        <v>4.55</v>
      </c>
      <c r="H1152" s="240">
        <v>0</v>
      </c>
      <c r="I1152" s="240">
        <v>0</v>
      </c>
      <c r="J1152" s="240">
        <v>0</v>
      </c>
      <c r="K1152" s="240">
        <v>0</v>
      </c>
      <c r="L1152" s="240">
        <v>0</v>
      </c>
      <c r="M1152" s="240">
        <v>0</v>
      </c>
      <c r="N1152" s="240">
        <v>0</v>
      </c>
    </row>
    <row r="1153" spans="1:14" x14ac:dyDescent="0.3">
      <c r="A1153" s="135" t="s">
        <v>461</v>
      </c>
      <c r="B1153" s="137" t="s">
        <v>415</v>
      </c>
      <c r="C1153" s="137">
        <v>11</v>
      </c>
      <c r="D1153" s="9">
        <v>30.669544999999999</v>
      </c>
      <c r="E1153" s="8">
        <v>0</v>
      </c>
      <c r="F1153" s="8">
        <v>7.5210549999999996</v>
      </c>
      <c r="G1153" s="18">
        <v>4.7045450000000004</v>
      </c>
      <c r="H1153" s="240">
        <v>0</v>
      </c>
      <c r="I1153" s="240">
        <v>0</v>
      </c>
      <c r="J1153" s="240">
        <v>0</v>
      </c>
      <c r="K1153" s="240">
        <v>0</v>
      </c>
      <c r="L1153" s="240">
        <v>0</v>
      </c>
      <c r="M1153" s="240">
        <v>0</v>
      </c>
      <c r="N1153" s="240">
        <v>0</v>
      </c>
    </row>
    <row r="1154" spans="1:14" x14ac:dyDescent="0.3">
      <c r="A1154" s="135" t="s">
        <v>461</v>
      </c>
      <c r="B1154" s="137" t="s">
        <v>415</v>
      </c>
      <c r="C1154" s="137">
        <v>12</v>
      </c>
      <c r="D1154" s="9">
        <v>30.686250000000001</v>
      </c>
      <c r="E1154" s="8">
        <v>0</v>
      </c>
      <c r="F1154" s="8">
        <v>7.7175000000000002</v>
      </c>
      <c r="G1154" s="18">
        <v>4.8541670000000003</v>
      </c>
      <c r="H1154" s="240">
        <v>0</v>
      </c>
      <c r="I1154" s="240">
        <v>0</v>
      </c>
      <c r="J1154" s="240">
        <v>0</v>
      </c>
      <c r="K1154" s="240">
        <v>0</v>
      </c>
      <c r="L1154" s="240">
        <v>0</v>
      </c>
      <c r="M1154" s="240">
        <v>0</v>
      </c>
      <c r="N1154" s="240">
        <v>0</v>
      </c>
    </row>
    <row r="1155" spans="1:14" x14ac:dyDescent="0.3">
      <c r="A1155" s="135" t="s">
        <v>461</v>
      </c>
      <c r="B1155" s="137" t="s">
        <v>415</v>
      </c>
      <c r="C1155" s="137">
        <v>13</v>
      </c>
      <c r="D1155" s="9">
        <v>30.700385000000001</v>
      </c>
      <c r="E1155" s="8">
        <v>0</v>
      </c>
      <c r="F1155" s="8">
        <v>7.8837229999999998</v>
      </c>
      <c r="G1155" s="18">
        <v>5.0192310000000004</v>
      </c>
      <c r="H1155" s="240">
        <v>0</v>
      </c>
      <c r="I1155" s="240">
        <v>0</v>
      </c>
      <c r="J1155" s="240">
        <v>0</v>
      </c>
      <c r="K1155" s="240">
        <v>0</v>
      </c>
      <c r="L1155" s="240">
        <v>0</v>
      </c>
      <c r="M1155" s="240">
        <v>0</v>
      </c>
      <c r="N1155" s="240">
        <v>0</v>
      </c>
    </row>
    <row r="1156" spans="1:14" x14ac:dyDescent="0.3">
      <c r="A1156" s="135" t="s">
        <v>461</v>
      </c>
      <c r="B1156" s="137" t="s">
        <v>415</v>
      </c>
      <c r="C1156" s="137">
        <v>14</v>
      </c>
      <c r="D1156" s="9">
        <v>30.712499999999999</v>
      </c>
      <c r="E1156" s="8">
        <v>0</v>
      </c>
      <c r="F1156" s="8">
        <v>8.2908000000000008</v>
      </c>
      <c r="G1156" s="18">
        <v>5.1607139999999996</v>
      </c>
      <c r="H1156" s="240">
        <v>0</v>
      </c>
      <c r="I1156" s="240">
        <v>0</v>
      </c>
      <c r="J1156" s="240">
        <v>0</v>
      </c>
      <c r="K1156" s="240">
        <v>0</v>
      </c>
      <c r="L1156" s="240">
        <v>0</v>
      </c>
      <c r="M1156" s="240">
        <v>0</v>
      </c>
      <c r="N1156" s="240">
        <v>0</v>
      </c>
    </row>
    <row r="1157" spans="1:14" x14ac:dyDescent="0.3">
      <c r="A1157" s="135" t="s">
        <v>461</v>
      </c>
      <c r="B1157" s="137" t="s">
        <v>415</v>
      </c>
      <c r="C1157" s="137">
        <v>15</v>
      </c>
      <c r="D1157" s="9">
        <v>30.722999999999999</v>
      </c>
      <c r="E1157" s="8">
        <v>0</v>
      </c>
      <c r="F1157" s="8">
        <v>8.6435999999999993</v>
      </c>
      <c r="G1157" s="18">
        <v>5.3166669999999998</v>
      </c>
      <c r="H1157" s="240">
        <v>0</v>
      </c>
      <c r="I1157" s="240">
        <v>0</v>
      </c>
      <c r="J1157" s="240">
        <v>0</v>
      </c>
      <c r="K1157" s="240">
        <v>0</v>
      </c>
      <c r="L1157" s="240">
        <v>0</v>
      </c>
      <c r="M1157" s="240">
        <v>0</v>
      </c>
      <c r="N1157" s="240">
        <v>0</v>
      </c>
    </row>
    <row r="1158" spans="1:14" x14ac:dyDescent="0.3">
      <c r="A1158" s="135" t="s">
        <v>461</v>
      </c>
      <c r="B1158" s="137" t="s">
        <v>415</v>
      </c>
      <c r="C1158" s="137">
        <v>16</v>
      </c>
      <c r="D1158" s="9">
        <v>30.732187</v>
      </c>
      <c r="E1158" s="8">
        <v>0</v>
      </c>
      <c r="F1158" s="8">
        <v>8.9522999999999993</v>
      </c>
      <c r="G1158" s="18">
        <v>5.46875</v>
      </c>
      <c r="H1158" s="240">
        <v>0</v>
      </c>
      <c r="I1158" s="240">
        <v>0</v>
      </c>
      <c r="J1158" s="240">
        <v>0</v>
      </c>
      <c r="K1158" s="240">
        <v>0</v>
      </c>
      <c r="L1158" s="240">
        <v>0</v>
      </c>
      <c r="M1158" s="240">
        <v>0</v>
      </c>
      <c r="N1158" s="240">
        <v>0</v>
      </c>
    </row>
    <row r="1159" spans="1:14" x14ac:dyDescent="0.3">
      <c r="A1159" s="135" t="s">
        <v>461</v>
      </c>
      <c r="B1159" s="137" t="s">
        <v>415</v>
      </c>
      <c r="C1159" s="137">
        <v>17</v>
      </c>
      <c r="D1159" s="9">
        <v>30.740293999999999</v>
      </c>
      <c r="E1159" s="8">
        <v>0</v>
      </c>
      <c r="F1159" s="8">
        <v>9.2246819999999996</v>
      </c>
      <c r="G1159" s="18">
        <v>5.6029410000000004</v>
      </c>
      <c r="H1159" s="240">
        <v>0</v>
      </c>
      <c r="I1159" s="240">
        <v>0</v>
      </c>
      <c r="J1159" s="240">
        <v>0</v>
      </c>
      <c r="K1159" s="240">
        <v>0</v>
      </c>
      <c r="L1159" s="240">
        <v>0</v>
      </c>
      <c r="M1159" s="240">
        <v>0</v>
      </c>
      <c r="N1159" s="240">
        <v>0</v>
      </c>
    </row>
    <row r="1160" spans="1:14" x14ac:dyDescent="0.3">
      <c r="A1160" s="135" t="s">
        <v>461</v>
      </c>
      <c r="B1160" s="137" t="s">
        <v>415</v>
      </c>
      <c r="C1160" s="137">
        <v>18</v>
      </c>
      <c r="D1160" s="9">
        <v>30.747499999999999</v>
      </c>
      <c r="E1160" s="8">
        <v>0</v>
      </c>
      <c r="F1160" s="8">
        <v>9.4667999999999992</v>
      </c>
      <c r="G1160" s="18">
        <v>5.75</v>
      </c>
      <c r="H1160" s="240">
        <v>0</v>
      </c>
      <c r="I1160" s="240">
        <v>0</v>
      </c>
      <c r="J1160" s="240">
        <v>0</v>
      </c>
      <c r="K1160" s="240">
        <v>0</v>
      </c>
      <c r="L1160" s="240">
        <v>0</v>
      </c>
      <c r="M1160" s="240">
        <v>0</v>
      </c>
      <c r="N1160" s="240">
        <v>0</v>
      </c>
    </row>
    <row r="1161" spans="1:14" x14ac:dyDescent="0.3">
      <c r="A1161" s="135" t="s">
        <v>461</v>
      </c>
      <c r="B1161" s="137" t="s">
        <v>415</v>
      </c>
      <c r="C1161" s="137">
        <v>19</v>
      </c>
      <c r="D1161" s="9">
        <v>30.753947</v>
      </c>
      <c r="E1161" s="8">
        <v>0</v>
      </c>
      <c r="F1161" s="8">
        <v>9.6834319999999998</v>
      </c>
      <c r="G1161" s="18">
        <v>5.8815790000000003</v>
      </c>
      <c r="H1161" s="240">
        <v>0</v>
      </c>
      <c r="I1161" s="240">
        <v>0</v>
      </c>
      <c r="J1161" s="240">
        <v>0</v>
      </c>
      <c r="K1161" s="240">
        <v>0</v>
      </c>
      <c r="L1161" s="240">
        <v>0</v>
      </c>
      <c r="M1161" s="240">
        <v>0</v>
      </c>
      <c r="N1161" s="240">
        <v>0</v>
      </c>
    </row>
    <row r="1162" spans="1:14" x14ac:dyDescent="0.3">
      <c r="A1162" s="135" t="s">
        <v>461</v>
      </c>
      <c r="B1162" s="137" t="s">
        <v>415</v>
      </c>
      <c r="C1162" s="137">
        <v>20</v>
      </c>
      <c r="D1162" s="9">
        <v>30.75975</v>
      </c>
      <c r="E1162" s="8">
        <v>0</v>
      </c>
      <c r="F1162" s="8">
        <v>9.8783999999999992</v>
      </c>
      <c r="G1162" s="18">
        <v>6.0250000000000004</v>
      </c>
      <c r="H1162" s="240">
        <v>0</v>
      </c>
      <c r="I1162" s="240">
        <v>0</v>
      </c>
      <c r="J1162" s="240">
        <v>0</v>
      </c>
      <c r="K1162" s="240">
        <v>0</v>
      </c>
      <c r="L1162" s="240">
        <v>0</v>
      </c>
      <c r="M1162" s="240">
        <v>0</v>
      </c>
      <c r="N1162" s="240">
        <v>0</v>
      </c>
    </row>
    <row r="1163" spans="1:14" x14ac:dyDescent="0.3">
      <c r="A1163" s="135" t="s">
        <v>461</v>
      </c>
      <c r="B1163" s="137" t="s">
        <v>415</v>
      </c>
      <c r="C1163" s="137">
        <v>21</v>
      </c>
      <c r="D1163" s="9">
        <v>30.765000000000001</v>
      </c>
      <c r="E1163" s="8">
        <v>0</v>
      </c>
      <c r="F1163" s="8">
        <v>10.0548</v>
      </c>
      <c r="G1163" s="18">
        <v>6.1547619999999998</v>
      </c>
      <c r="H1163" s="240">
        <v>0</v>
      </c>
      <c r="I1163" s="240">
        <v>0</v>
      </c>
      <c r="J1163" s="240">
        <v>0</v>
      </c>
      <c r="K1163" s="240">
        <v>0</v>
      </c>
      <c r="L1163" s="240">
        <v>0</v>
      </c>
      <c r="M1163" s="240">
        <v>0</v>
      </c>
      <c r="N1163" s="240">
        <v>0</v>
      </c>
    </row>
    <row r="1164" spans="1:14" x14ac:dyDescent="0.3">
      <c r="A1164" s="135" t="s">
        <v>461</v>
      </c>
      <c r="B1164" s="137" t="s">
        <v>415</v>
      </c>
      <c r="C1164" s="137">
        <v>22</v>
      </c>
      <c r="D1164" s="9">
        <v>30.769773000000001</v>
      </c>
      <c r="E1164" s="8">
        <v>0</v>
      </c>
      <c r="F1164" s="8">
        <v>10.215164</v>
      </c>
      <c r="G1164" s="18">
        <v>6.2840910000000001</v>
      </c>
      <c r="H1164" s="240">
        <v>0</v>
      </c>
      <c r="I1164" s="240">
        <v>0</v>
      </c>
      <c r="J1164" s="240">
        <v>0</v>
      </c>
      <c r="K1164" s="240">
        <v>0</v>
      </c>
      <c r="L1164" s="240">
        <v>0</v>
      </c>
      <c r="M1164" s="240">
        <v>0</v>
      </c>
      <c r="N1164" s="240">
        <v>0</v>
      </c>
    </row>
    <row r="1165" spans="1:14" x14ac:dyDescent="0.3">
      <c r="A1165" s="135" t="s">
        <v>461</v>
      </c>
      <c r="B1165" s="137" t="s">
        <v>415</v>
      </c>
      <c r="C1165" s="137">
        <v>23</v>
      </c>
      <c r="D1165" s="9">
        <v>30.77413</v>
      </c>
      <c r="E1165" s="8">
        <v>0</v>
      </c>
      <c r="F1165" s="8">
        <v>10.361583</v>
      </c>
      <c r="G1165" s="18">
        <v>6.4021739999999996</v>
      </c>
      <c r="H1165" s="240">
        <v>0</v>
      </c>
      <c r="I1165" s="240">
        <v>0</v>
      </c>
      <c r="J1165" s="240">
        <v>0</v>
      </c>
      <c r="K1165" s="240">
        <v>0</v>
      </c>
      <c r="L1165" s="240">
        <v>0</v>
      </c>
      <c r="M1165" s="240">
        <v>0</v>
      </c>
      <c r="N1165" s="240">
        <v>0</v>
      </c>
    </row>
    <row r="1166" spans="1:14" x14ac:dyDescent="0.3">
      <c r="A1166" s="135" t="s">
        <v>461</v>
      </c>
      <c r="B1166" s="137" t="s">
        <v>415</v>
      </c>
      <c r="C1166" s="137">
        <v>24</v>
      </c>
      <c r="D1166" s="9">
        <v>30.778124999999999</v>
      </c>
      <c r="E1166" s="8">
        <v>0</v>
      </c>
      <c r="F1166" s="8">
        <v>10.54725</v>
      </c>
      <c r="G1166" s="18">
        <v>6.53125</v>
      </c>
      <c r="H1166" s="240">
        <v>0</v>
      </c>
      <c r="I1166" s="240">
        <v>0</v>
      </c>
      <c r="J1166" s="240">
        <v>0</v>
      </c>
      <c r="K1166" s="240">
        <v>0</v>
      </c>
      <c r="L1166" s="240">
        <v>0</v>
      </c>
      <c r="M1166" s="240">
        <v>0</v>
      </c>
      <c r="N1166" s="240">
        <v>0</v>
      </c>
    </row>
    <row r="1167" spans="1:14" x14ac:dyDescent="0.3">
      <c r="A1167" s="135" t="s">
        <v>461</v>
      </c>
      <c r="B1167" s="137" t="s">
        <v>415</v>
      </c>
      <c r="C1167" s="137">
        <v>25</v>
      </c>
      <c r="D1167" s="9">
        <v>30.7818</v>
      </c>
      <c r="E1167" s="8">
        <v>0</v>
      </c>
      <c r="F1167" s="8">
        <v>10.718064</v>
      </c>
      <c r="G1167" s="18">
        <v>6.66</v>
      </c>
      <c r="H1167" s="240">
        <v>0</v>
      </c>
      <c r="I1167" s="240">
        <v>0</v>
      </c>
      <c r="J1167" s="240">
        <v>0</v>
      </c>
      <c r="K1167" s="240">
        <v>0</v>
      </c>
      <c r="L1167" s="240">
        <v>0</v>
      </c>
      <c r="M1167" s="240">
        <v>0</v>
      </c>
      <c r="N1167" s="240">
        <v>0</v>
      </c>
    </row>
    <row r="1168" spans="1:14" x14ac:dyDescent="0.3">
      <c r="A1168" s="135" t="s">
        <v>461</v>
      </c>
      <c r="B1168" s="137" t="s">
        <v>415</v>
      </c>
      <c r="C1168" s="137">
        <v>26</v>
      </c>
      <c r="D1168" s="9">
        <v>30.785191999999999</v>
      </c>
      <c r="E1168" s="8">
        <v>0</v>
      </c>
      <c r="F1168" s="8">
        <v>10.875738</v>
      </c>
      <c r="G1168" s="18">
        <v>6.7788459999999997</v>
      </c>
      <c r="H1168" s="240">
        <v>0</v>
      </c>
      <c r="I1168" s="240">
        <v>0</v>
      </c>
      <c r="J1168" s="240">
        <v>0</v>
      </c>
      <c r="K1168" s="240">
        <v>0</v>
      </c>
      <c r="L1168" s="240">
        <v>0</v>
      </c>
      <c r="M1168" s="240">
        <v>0</v>
      </c>
      <c r="N1168" s="240">
        <v>0</v>
      </c>
    </row>
    <row r="1169" spans="1:14" x14ac:dyDescent="0.3">
      <c r="A1169" s="135" t="s">
        <v>461</v>
      </c>
      <c r="B1169" s="137" t="s">
        <v>415</v>
      </c>
      <c r="C1169" s="137">
        <v>27</v>
      </c>
      <c r="D1169" s="9">
        <v>30.788333000000002</v>
      </c>
      <c r="E1169" s="8">
        <v>0</v>
      </c>
      <c r="F1169" s="8">
        <v>11.067467000000001</v>
      </c>
      <c r="G1169" s="18">
        <v>6.8981479999999999</v>
      </c>
      <c r="H1169" s="240">
        <v>0</v>
      </c>
      <c r="I1169" s="240">
        <v>0</v>
      </c>
      <c r="J1169" s="240">
        <v>0</v>
      </c>
      <c r="K1169" s="240">
        <v>0</v>
      </c>
      <c r="L1169" s="240">
        <v>0</v>
      </c>
      <c r="M1169" s="240">
        <v>0</v>
      </c>
      <c r="N1169" s="240">
        <v>0</v>
      </c>
    </row>
    <row r="1170" spans="1:14" x14ac:dyDescent="0.3">
      <c r="A1170" s="135" t="s">
        <v>461</v>
      </c>
      <c r="B1170" s="137" t="s">
        <v>415</v>
      </c>
      <c r="C1170" s="137">
        <v>28</v>
      </c>
      <c r="D1170" s="9">
        <v>30.791250000000002</v>
      </c>
      <c r="E1170" s="8">
        <v>0</v>
      </c>
      <c r="F1170" s="8">
        <v>11.2455</v>
      </c>
      <c r="G1170" s="18">
        <v>7.0178570000000002</v>
      </c>
      <c r="H1170" s="240">
        <v>0</v>
      </c>
      <c r="I1170" s="240">
        <v>0</v>
      </c>
      <c r="J1170" s="240">
        <v>0</v>
      </c>
      <c r="K1170" s="240">
        <v>0</v>
      </c>
      <c r="L1170" s="240">
        <v>0</v>
      </c>
      <c r="M1170" s="240">
        <v>0</v>
      </c>
      <c r="N1170" s="240">
        <v>0</v>
      </c>
    </row>
    <row r="1171" spans="1:14" x14ac:dyDescent="0.3">
      <c r="A1171" s="135" t="s">
        <v>461</v>
      </c>
      <c r="B1171" s="137" t="s">
        <v>415</v>
      </c>
      <c r="C1171" s="137">
        <v>29</v>
      </c>
      <c r="D1171" s="9">
        <v>30.793966000000001</v>
      </c>
      <c r="E1171" s="8">
        <v>0</v>
      </c>
      <c r="F1171" s="8">
        <v>11.453834000000001</v>
      </c>
      <c r="G1171" s="18">
        <v>7.137931</v>
      </c>
      <c r="H1171" s="240">
        <v>0</v>
      </c>
      <c r="I1171" s="240">
        <v>0</v>
      </c>
      <c r="J1171" s="240">
        <v>0</v>
      </c>
      <c r="K1171" s="240">
        <v>0</v>
      </c>
      <c r="L1171" s="240">
        <v>0</v>
      </c>
      <c r="M1171" s="240">
        <v>0</v>
      </c>
      <c r="N1171" s="240">
        <v>0</v>
      </c>
    </row>
    <row r="1172" spans="1:14" x14ac:dyDescent="0.3">
      <c r="A1172" s="138" t="s">
        <v>461</v>
      </c>
      <c r="B1172" s="137" t="s">
        <v>415</v>
      </c>
      <c r="C1172" s="137">
        <v>30</v>
      </c>
      <c r="D1172" s="9">
        <v>30.796500000000002</v>
      </c>
      <c r="E1172" s="8">
        <v>0</v>
      </c>
      <c r="F1172" s="8">
        <v>11.64828</v>
      </c>
      <c r="G1172" s="18">
        <v>7.2583330000000004</v>
      </c>
      <c r="H1172" s="240">
        <v>0</v>
      </c>
      <c r="I1172" s="240">
        <v>0</v>
      </c>
      <c r="J1172" s="240">
        <v>0</v>
      </c>
      <c r="K1172" s="240">
        <v>0</v>
      </c>
      <c r="L1172" s="240">
        <v>0</v>
      </c>
      <c r="M1172" s="240">
        <v>0</v>
      </c>
      <c r="N1172" s="240">
        <v>0</v>
      </c>
    </row>
    <row r="1173" spans="1:14" x14ac:dyDescent="0.3">
      <c r="A1173" s="142" t="s">
        <v>461</v>
      </c>
      <c r="B1173" s="143" t="s">
        <v>422</v>
      </c>
      <c r="C1173" s="143">
        <v>1</v>
      </c>
      <c r="D1173" s="9">
        <v>10.3302</v>
      </c>
      <c r="E1173" s="8">
        <v>2.9257200000000001</v>
      </c>
      <c r="F1173" s="8">
        <v>0.41176800000000002</v>
      </c>
      <c r="G1173" s="18">
        <v>9.5</v>
      </c>
      <c r="H1173" s="240">
        <v>0</v>
      </c>
      <c r="I1173" s="240">
        <v>0</v>
      </c>
      <c r="J1173" s="240">
        <v>0</v>
      </c>
      <c r="K1173" s="240">
        <v>0</v>
      </c>
      <c r="L1173" s="240">
        <v>0</v>
      </c>
      <c r="M1173" s="240">
        <v>0</v>
      </c>
      <c r="N1173" s="240">
        <v>0</v>
      </c>
    </row>
    <row r="1174" spans="1:14" x14ac:dyDescent="0.3">
      <c r="A1174" s="135" t="s">
        <v>461</v>
      </c>
      <c r="B1174" s="136" t="s">
        <v>422</v>
      </c>
      <c r="C1174" s="137">
        <v>2</v>
      </c>
      <c r="D1174" s="9">
        <v>10.605600000000001</v>
      </c>
      <c r="E1174" s="8">
        <v>2.9257200000000001</v>
      </c>
      <c r="F1174" s="8">
        <v>0.61358900000000005</v>
      </c>
      <c r="G1174" s="18">
        <v>7.625</v>
      </c>
      <c r="H1174" s="240">
        <v>0</v>
      </c>
      <c r="I1174" s="240">
        <v>0</v>
      </c>
      <c r="J1174" s="240">
        <v>0</v>
      </c>
      <c r="K1174" s="240">
        <v>0</v>
      </c>
      <c r="L1174" s="240">
        <v>0</v>
      </c>
      <c r="M1174" s="240">
        <v>0</v>
      </c>
      <c r="N1174" s="240">
        <v>0</v>
      </c>
    </row>
    <row r="1175" spans="1:14" x14ac:dyDescent="0.3">
      <c r="A1175" s="135" t="s">
        <v>461</v>
      </c>
      <c r="B1175" s="137" t="s">
        <v>422</v>
      </c>
      <c r="C1175" s="137">
        <v>3</v>
      </c>
      <c r="D1175" s="9">
        <v>10.6974</v>
      </c>
      <c r="E1175" s="8">
        <v>2.9257200000000001</v>
      </c>
      <c r="F1175" s="8">
        <v>0.75851999999999997</v>
      </c>
      <c r="G1175" s="18">
        <v>7.3333329999999997</v>
      </c>
      <c r="H1175" s="240">
        <v>0</v>
      </c>
      <c r="I1175" s="240">
        <v>0</v>
      </c>
      <c r="J1175" s="240">
        <v>0</v>
      </c>
      <c r="K1175" s="240">
        <v>0</v>
      </c>
      <c r="L1175" s="240">
        <v>0</v>
      </c>
      <c r="M1175" s="240">
        <v>0</v>
      </c>
      <c r="N1175" s="240">
        <v>0</v>
      </c>
    </row>
    <row r="1176" spans="1:14" x14ac:dyDescent="0.3">
      <c r="A1176" s="135" t="s">
        <v>461</v>
      </c>
      <c r="B1176" s="137" t="s">
        <v>422</v>
      </c>
      <c r="C1176" s="137">
        <v>4</v>
      </c>
      <c r="D1176" s="9">
        <v>10.7433</v>
      </c>
      <c r="E1176" s="8">
        <v>2.9257200000000001</v>
      </c>
      <c r="F1176" s="8">
        <v>0.89397000000000004</v>
      </c>
      <c r="G1176" s="18">
        <v>7.375</v>
      </c>
      <c r="H1176" s="240">
        <v>0</v>
      </c>
      <c r="I1176" s="240">
        <v>0</v>
      </c>
      <c r="J1176" s="240">
        <v>0</v>
      </c>
      <c r="K1176" s="240">
        <v>0</v>
      </c>
      <c r="L1176" s="240">
        <v>0</v>
      </c>
      <c r="M1176" s="240">
        <v>0</v>
      </c>
      <c r="N1176" s="240">
        <v>0</v>
      </c>
    </row>
    <row r="1177" spans="1:14" x14ac:dyDescent="0.3">
      <c r="A1177" s="135" t="s">
        <v>461</v>
      </c>
      <c r="B1177" s="137" t="s">
        <v>422</v>
      </c>
      <c r="C1177" s="137">
        <v>5</v>
      </c>
      <c r="D1177" s="9">
        <v>10.77084</v>
      </c>
      <c r="E1177" s="8">
        <v>2.9257200000000001</v>
      </c>
      <c r="F1177" s="8">
        <v>1.0792660000000001</v>
      </c>
      <c r="G1177" s="18">
        <v>7.5</v>
      </c>
      <c r="H1177" s="240">
        <v>0</v>
      </c>
      <c r="I1177" s="240">
        <v>0</v>
      </c>
      <c r="J1177" s="240">
        <v>0</v>
      </c>
      <c r="K1177" s="240">
        <v>0</v>
      </c>
      <c r="L1177" s="240">
        <v>0</v>
      </c>
      <c r="M1177" s="240">
        <v>0</v>
      </c>
      <c r="N1177" s="240">
        <v>0</v>
      </c>
    </row>
    <row r="1178" spans="1:14" x14ac:dyDescent="0.3">
      <c r="A1178" s="135" t="s">
        <v>461</v>
      </c>
      <c r="B1178" s="137" t="s">
        <v>422</v>
      </c>
      <c r="C1178" s="137">
        <v>6</v>
      </c>
      <c r="D1178" s="9">
        <v>10.789199999999999</v>
      </c>
      <c r="E1178" s="8">
        <v>2.9257200000000001</v>
      </c>
      <c r="F1178" s="8">
        <v>1.202796</v>
      </c>
      <c r="G1178" s="18">
        <v>7.75</v>
      </c>
      <c r="H1178" s="240">
        <v>0</v>
      </c>
      <c r="I1178" s="240">
        <v>0</v>
      </c>
      <c r="J1178" s="240">
        <v>0</v>
      </c>
      <c r="K1178" s="240">
        <v>0</v>
      </c>
      <c r="L1178" s="240">
        <v>0</v>
      </c>
      <c r="M1178" s="240">
        <v>0</v>
      </c>
      <c r="N1178" s="240">
        <v>0</v>
      </c>
    </row>
    <row r="1179" spans="1:14" x14ac:dyDescent="0.3">
      <c r="A1179" s="135" t="s">
        <v>461</v>
      </c>
      <c r="B1179" s="137" t="s">
        <v>422</v>
      </c>
      <c r="C1179" s="137">
        <v>7</v>
      </c>
      <c r="D1179" s="9">
        <v>10.802314000000001</v>
      </c>
      <c r="E1179" s="8">
        <v>2.9257200000000001</v>
      </c>
      <c r="F1179" s="8">
        <v>1.306168</v>
      </c>
      <c r="G1179" s="18">
        <v>7.9642860000000004</v>
      </c>
      <c r="H1179" s="240">
        <v>0</v>
      </c>
      <c r="I1179" s="240">
        <v>0</v>
      </c>
      <c r="J1179" s="240">
        <v>0</v>
      </c>
      <c r="K1179" s="240">
        <v>0</v>
      </c>
      <c r="L1179" s="240">
        <v>0</v>
      </c>
      <c r="M1179" s="240">
        <v>0</v>
      </c>
      <c r="N1179" s="240">
        <v>0</v>
      </c>
    </row>
    <row r="1180" spans="1:14" x14ac:dyDescent="0.3">
      <c r="A1180" s="135" t="s">
        <v>461</v>
      </c>
      <c r="B1180" s="137" t="s">
        <v>422</v>
      </c>
      <c r="C1180" s="137">
        <v>8</v>
      </c>
      <c r="D1180" s="9">
        <v>10.812150000000001</v>
      </c>
      <c r="E1180" s="8">
        <v>2.9257200000000001</v>
      </c>
      <c r="F1180" s="8">
        <v>1.383697</v>
      </c>
      <c r="G1180" s="18">
        <v>8.21875</v>
      </c>
      <c r="H1180" s="240">
        <v>0</v>
      </c>
      <c r="I1180" s="240">
        <v>0</v>
      </c>
      <c r="J1180" s="240">
        <v>0</v>
      </c>
      <c r="K1180" s="240">
        <v>0</v>
      </c>
      <c r="L1180" s="240">
        <v>0</v>
      </c>
      <c r="M1180" s="240">
        <v>0</v>
      </c>
      <c r="N1180" s="240">
        <v>0</v>
      </c>
    </row>
    <row r="1181" spans="1:14" x14ac:dyDescent="0.3">
      <c r="A1181" s="135" t="s">
        <v>461</v>
      </c>
      <c r="B1181" s="137" t="s">
        <v>422</v>
      </c>
      <c r="C1181" s="137">
        <v>9</v>
      </c>
      <c r="D1181" s="9">
        <v>10.819800000000001</v>
      </c>
      <c r="E1181" s="8">
        <v>2.9257200000000001</v>
      </c>
      <c r="F1181" s="8">
        <v>1.547809</v>
      </c>
      <c r="G1181" s="18">
        <v>8.5</v>
      </c>
      <c r="H1181" s="240">
        <v>0</v>
      </c>
      <c r="I1181" s="240">
        <v>0</v>
      </c>
      <c r="J1181" s="240">
        <v>0</v>
      </c>
      <c r="K1181" s="240">
        <v>0</v>
      </c>
      <c r="L1181" s="240">
        <v>0</v>
      </c>
      <c r="M1181" s="240">
        <v>0</v>
      </c>
      <c r="N1181" s="240">
        <v>0</v>
      </c>
    </row>
    <row r="1182" spans="1:14" x14ac:dyDescent="0.3">
      <c r="A1182" s="135" t="s">
        <v>461</v>
      </c>
      <c r="B1182" s="137" t="s">
        <v>422</v>
      </c>
      <c r="C1182" s="137">
        <v>10</v>
      </c>
      <c r="D1182" s="9">
        <v>10.82592</v>
      </c>
      <c r="E1182" s="8">
        <v>2.9257200000000001</v>
      </c>
      <c r="F1182" s="8">
        <v>1.679098</v>
      </c>
      <c r="G1182" s="18">
        <v>8.75</v>
      </c>
      <c r="H1182" s="240">
        <v>0</v>
      </c>
      <c r="I1182" s="240">
        <v>0</v>
      </c>
      <c r="J1182" s="240">
        <v>0</v>
      </c>
      <c r="K1182" s="240">
        <v>0</v>
      </c>
      <c r="L1182" s="240">
        <v>0</v>
      </c>
      <c r="M1182" s="240">
        <v>0</v>
      </c>
      <c r="N1182" s="240">
        <v>0</v>
      </c>
    </row>
    <row r="1183" spans="1:14" x14ac:dyDescent="0.3">
      <c r="A1183" s="135" t="s">
        <v>461</v>
      </c>
      <c r="B1183" s="137" t="s">
        <v>422</v>
      </c>
      <c r="C1183" s="137">
        <v>11</v>
      </c>
      <c r="D1183" s="9">
        <v>10.830927000000001</v>
      </c>
      <c r="E1183" s="8">
        <v>2.9257200000000001</v>
      </c>
      <c r="F1183" s="8">
        <v>1.7865169999999999</v>
      </c>
      <c r="G1183" s="18">
        <v>9</v>
      </c>
      <c r="H1183" s="240">
        <v>0</v>
      </c>
      <c r="I1183" s="240">
        <v>0</v>
      </c>
      <c r="J1183" s="240">
        <v>0</v>
      </c>
      <c r="K1183" s="240">
        <v>0</v>
      </c>
      <c r="L1183" s="240">
        <v>0</v>
      </c>
      <c r="M1183" s="240">
        <v>0</v>
      </c>
      <c r="N1183" s="240">
        <v>0</v>
      </c>
    </row>
    <row r="1184" spans="1:14" x14ac:dyDescent="0.3">
      <c r="A1184" s="135" t="s">
        <v>461</v>
      </c>
      <c r="B1184" s="137" t="s">
        <v>422</v>
      </c>
      <c r="C1184" s="137">
        <v>12</v>
      </c>
      <c r="D1184" s="9">
        <v>10.835100000000001</v>
      </c>
      <c r="E1184" s="8">
        <v>2.9257200000000001</v>
      </c>
      <c r="F1184" s="8">
        <v>1.888474</v>
      </c>
      <c r="G1184" s="18">
        <v>9.2708329999999997</v>
      </c>
      <c r="H1184" s="240">
        <v>0</v>
      </c>
      <c r="I1184" s="240">
        <v>0</v>
      </c>
      <c r="J1184" s="240">
        <v>0</v>
      </c>
      <c r="K1184" s="240">
        <v>0</v>
      </c>
      <c r="L1184" s="240">
        <v>0</v>
      </c>
      <c r="M1184" s="240">
        <v>0</v>
      </c>
      <c r="N1184" s="240">
        <v>0</v>
      </c>
    </row>
    <row r="1185" spans="1:14" x14ac:dyDescent="0.3">
      <c r="A1185" s="135" t="s">
        <v>461</v>
      </c>
      <c r="B1185" s="137" t="s">
        <v>422</v>
      </c>
      <c r="C1185" s="137">
        <v>13</v>
      </c>
      <c r="D1185" s="9">
        <v>10.838630999999999</v>
      </c>
      <c r="E1185" s="8">
        <v>2.9257200000000001</v>
      </c>
      <c r="F1185" s="8">
        <v>1.974745</v>
      </c>
      <c r="G1185" s="18">
        <v>9.5192309999999996</v>
      </c>
      <c r="H1185" s="240">
        <v>0</v>
      </c>
      <c r="I1185" s="240">
        <v>0</v>
      </c>
      <c r="J1185" s="240">
        <v>0</v>
      </c>
      <c r="K1185" s="240">
        <v>0</v>
      </c>
      <c r="L1185" s="240">
        <v>0</v>
      </c>
      <c r="M1185" s="240">
        <v>0</v>
      </c>
      <c r="N1185" s="240">
        <v>0</v>
      </c>
    </row>
    <row r="1186" spans="1:14" x14ac:dyDescent="0.3">
      <c r="A1186" s="135" t="s">
        <v>461</v>
      </c>
      <c r="B1186" s="137" t="s">
        <v>422</v>
      </c>
      <c r="C1186" s="137">
        <v>14</v>
      </c>
      <c r="D1186" s="9">
        <v>10.841657</v>
      </c>
      <c r="E1186" s="8">
        <v>2.9257200000000001</v>
      </c>
      <c r="F1186" s="8">
        <v>2.1123319999999999</v>
      </c>
      <c r="G1186" s="18">
        <v>9.7678569999999993</v>
      </c>
      <c r="H1186" s="240">
        <v>0</v>
      </c>
      <c r="I1186" s="240">
        <v>0</v>
      </c>
      <c r="J1186" s="240">
        <v>0</v>
      </c>
      <c r="K1186" s="240">
        <v>0</v>
      </c>
      <c r="L1186" s="240">
        <v>0</v>
      </c>
      <c r="M1186" s="240">
        <v>0</v>
      </c>
      <c r="N1186" s="240">
        <v>0</v>
      </c>
    </row>
    <row r="1187" spans="1:14" x14ac:dyDescent="0.3">
      <c r="A1187" s="135" t="s">
        <v>461</v>
      </c>
      <c r="B1187" s="137" t="s">
        <v>422</v>
      </c>
      <c r="C1187" s="137">
        <v>15</v>
      </c>
      <c r="D1187" s="9">
        <v>10.844279999999999</v>
      </c>
      <c r="E1187" s="8">
        <v>2.9257200000000001</v>
      </c>
      <c r="F1187" s="8">
        <v>2.2315740000000002</v>
      </c>
      <c r="G1187" s="18">
        <v>10.016667</v>
      </c>
      <c r="H1187" s="240">
        <v>0</v>
      </c>
      <c r="I1187" s="240">
        <v>0</v>
      </c>
      <c r="J1187" s="240">
        <v>0</v>
      </c>
      <c r="K1187" s="240">
        <v>0</v>
      </c>
      <c r="L1187" s="240">
        <v>0</v>
      </c>
      <c r="M1187" s="240">
        <v>0</v>
      </c>
      <c r="N1187" s="240">
        <v>0</v>
      </c>
    </row>
    <row r="1188" spans="1:14" x14ac:dyDescent="0.3">
      <c r="A1188" s="135" t="s">
        <v>461</v>
      </c>
      <c r="B1188" s="137" t="s">
        <v>422</v>
      </c>
      <c r="C1188" s="137">
        <v>16</v>
      </c>
      <c r="D1188" s="9">
        <v>10.846575</v>
      </c>
      <c r="E1188" s="8">
        <v>2.9257200000000001</v>
      </c>
      <c r="F1188" s="8">
        <v>2.363</v>
      </c>
      <c r="G1188" s="18">
        <v>10.25</v>
      </c>
      <c r="H1188" s="240">
        <v>0</v>
      </c>
      <c r="I1188" s="240">
        <v>0</v>
      </c>
      <c r="J1188" s="240">
        <v>0</v>
      </c>
      <c r="K1188" s="240">
        <v>0</v>
      </c>
      <c r="L1188" s="240">
        <v>0</v>
      </c>
      <c r="M1188" s="240">
        <v>0</v>
      </c>
      <c r="N1188" s="240">
        <v>0</v>
      </c>
    </row>
    <row r="1189" spans="1:14" x14ac:dyDescent="0.3">
      <c r="A1189" s="135" t="s">
        <v>461</v>
      </c>
      <c r="B1189" s="137" t="s">
        <v>422</v>
      </c>
      <c r="C1189" s="137">
        <v>17</v>
      </c>
      <c r="D1189" s="9">
        <v>10.848599999999999</v>
      </c>
      <c r="E1189" s="8">
        <v>2.9257200000000001</v>
      </c>
      <c r="F1189" s="8">
        <v>2.4789650000000001</v>
      </c>
      <c r="G1189" s="18">
        <v>10.5</v>
      </c>
      <c r="H1189" s="240">
        <v>0</v>
      </c>
      <c r="I1189" s="240">
        <v>0</v>
      </c>
      <c r="J1189" s="240">
        <v>0</v>
      </c>
      <c r="K1189" s="240">
        <v>0</v>
      </c>
      <c r="L1189" s="240">
        <v>0</v>
      </c>
      <c r="M1189" s="240">
        <v>0</v>
      </c>
      <c r="N1189" s="240">
        <v>0</v>
      </c>
    </row>
    <row r="1190" spans="1:14" x14ac:dyDescent="0.3">
      <c r="A1190" s="135" t="s">
        <v>461</v>
      </c>
      <c r="B1190" s="137" t="s">
        <v>422</v>
      </c>
      <c r="C1190" s="137">
        <v>18</v>
      </c>
      <c r="D1190" s="9">
        <v>10.8504</v>
      </c>
      <c r="E1190" s="8">
        <v>2.9257200000000001</v>
      </c>
      <c r="F1190" s="8">
        <v>2.5820449999999999</v>
      </c>
      <c r="G1190" s="18">
        <v>10.736110999999999</v>
      </c>
      <c r="H1190" s="240">
        <v>0</v>
      </c>
      <c r="I1190" s="240">
        <v>0</v>
      </c>
      <c r="J1190" s="240">
        <v>0</v>
      </c>
      <c r="K1190" s="240">
        <v>0</v>
      </c>
      <c r="L1190" s="240">
        <v>0</v>
      </c>
      <c r="M1190" s="240">
        <v>0</v>
      </c>
      <c r="N1190" s="240">
        <v>0</v>
      </c>
    </row>
    <row r="1191" spans="1:14" x14ac:dyDescent="0.3">
      <c r="A1191" s="135" t="s">
        <v>461</v>
      </c>
      <c r="B1191" s="137" t="s">
        <v>422</v>
      </c>
      <c r="C1191" s="137">
        <v>19</v>
      </c>
      <c r="D1191" s="9">
        <v>10.852010999999999</v>
      </c>
      <c r="E1191" s="8">
        <v>2.9257200000000001</v>
      </c>
      <c r="F1191" s="8">
        <v>2.674274</v>
      </c>
      <c r="G1191" s="18">
        <v>10.960526</v>
      </c>
      <c r="H1191" s="240">
        <v>0</v>
      </c>
      <c r="I1191" s="240">
        <v>0</v>
      </c>
      <c r="J1191" s="240">
        <v>0</v>
      </c>
      <c r="K1191" s="240">
        <v>0</v>
      </c>
      <c r="L1191" s="240">
        <v>0</v>
      </c>
      <c r="M1191" s="240">
        <v>0</v>
      </c>
      <c r="N1191" s="240">
        <v>0</v>
      </c>
    </row>
    <row r="1192" spans="1:14" x14ac:dyDescent="0.3">
      <c r="A1192" s="135" t="s">
        <v>461</v>
      </c>
      <c r="B1192" s="137" t="s">
        <v>422</v>
      </c>
      <c r="C1192" s="137">
        <v>20</v>
      </c>
      <c r="D1192" s="9">
        <v>10.85346</v>
      </c>
      <c r="E1192" s="8">
        <v>2.9257200000000001</v>
      </c>
      <c r="F1192" s="8">
        <v>2.8266309999999999</v>
      </c>
      <c r="G1192" s="18">
        <v>11.2</v>
      </c>
      <c r="H1192" s="240">
        <v>0</v>
      </c>
      <c r="I1192" s="240">
        <v>0</v>
      </c>
      <c r="J1192" s="240">
        <v>0</v>
      </c>
      <c r="K1192" s="240">
        <v>0</v>
      </c>
      <c r="L1192" s="240">
        <v>0</v>
      </c>
      <c r="M1192" s="240">
        <v>0</v>
      </c>
      <c r="N1192" s="240">
        <v>0</v>
      </c>
    </row>
    <row r="1193" spans="1:14" x14ac:dyDescent="0.3">
      <c r="A1193" s="135" t="s">
        <v>461</v>
      </c>
      <c r="B1193" s="137" t="s">
        <v>422</v>
      </c>
      <c r="C1193" s="137">
        <v>21</v>
      </c>
      <c r="D1193" s="9">
        <v>10.854771</v>
      </c>
      <c r="E1193" s="8">
        <v>2.9257200000000001</v>
      </c>
      <c r="F1193" s="8">
        <v>2.964477</v>
      </c>
      <c r="G1193" s="18">
        <v>11.428571</v>
      </c>
      <c r="H1193" s="240">
        <v>0</v>
      </c>
      <c r="I1193" s="240">
        <v>0</v>
      </c>
      <c r="J1193" s="240">
        <v>0</v>
      </c>
      <c r="K1193" s="240">
        <v>0</v>
      </c>
      <c r="L1193" s="240">
        <v>0</v>
      </c>
      <c r="M1193" s="240">
        <v>0</v>
      </c>
      <c r="N1193" s="240">
        <v>0</v>
      </c>
    </row>
    <row r="1194" spans="1:14" x14ac:dyDescent="0.3">
      <c r="A1194" s="135" t="s">
        <v>461</v>
      </c>
      <c r="B1194" s="137" t="s">
        <v>422</v>
      </c>
      <c r="C1194" s="137">
        <v>22</v>
      </c>
      <c r="D1194" s="9">
        <v>10.855964</v>
      </c>
      <c r="E1194" s="8">
        <v>2.9257200000000001</v>
      </c>
      <c r="F1194" s="8">
        <v>3.0897920000000001</v>
      </c>
      <c r="G1194" s="18">
        <v>11.647727</v>
      </c>
      <c r="H1194" s="240">
        <v>0</v>
      </c>
      <c r="I1194" s="240">
        <v>0</v>
      </c>
      <c r="J1194" s="240">
        <v>0</v>
      </c>
      <c r="K1194" s="240">
        <v>0</v>
      </c>
      <c r="L1194" s="240">
        <v>0</v>
      </c>
      <c r="M1194" s="240">
        <v>0</v>
      </c>
      <c r="N1194" s="240">
        <v>0</v>
      </c>
    </row>
    <row r="1195" spans="1:14" x14ac:dyDescent="0.3">
      <c r="A1195" s="135" t="s">
        <v>461</v>
      </c>
      <c r="B1195" s="137" t="s">
        <v>422</v>
      </c>
      <c r="C1195" s="137">
        <v>23</v>
      </c>
      <c r="D1195" s="9">
        <v>10.910554896335569</v>
      </c>
      <c r="E1195" s="8">
        <v>2.9257200000000001</v>
      </c>
      <c r="F1195" s="8">
        <v>3.1272000000000006</v>
      </c>
      <c r="G1195" s="18">
        <v>12.406700000000001</v>
      </c>
      <c r="H1195" s="240">
        <v>0</v>
      </c>
      <c r="I1195" s="240">
        <v>0</v>
      </c>
      <c r="J1195" s="240">
        <v>0</v>
      </c>
      <c r="K1195" s="240">
        <v>0</v>
      </c>
      <c r="L1195" s="240">
        <v>0</v>
      </c>
      <c r="M1195" s="240">
        <v>0</v>
      </c>
      <c r="N1195" s="240">
        <v>0</v>
      </c>
    </row>
    <row r="1196" spans="1:14" x14ac:dyDescent="0.3">
      <c r="A1196" s="135" t="s">
        <v>461</v>
      </c>
      <c r="B1196" s="137" t="s">
        <v>422</v>
      </c>
      <c r="C1196" s="137">
        <v>24</v>
      </c>
      <c r="D1196" s="9">
        <v>10.916100414094338</v>
      </c>
      <c r="E1196" s="8">
        <v>2.9257200000000001</v>
      </c>
      <c r="F1196" s="8">
        <v>3.2311000000000001</v>
      </c>
      <c r="G1196" s="18">
        <v>12.8185</v>
      </c>
      <c r="H1196" s="240">
        <v>0</v>
      </c>
      <c r="I1196" s="240">
        <v>0</v>
      </c>
      <c r="J1196" s="240">
        <v>0</v>
      </c>
      <c r="K1196" s="240">
        <v>0</v>
      </c>
      <c r="L1196" s="240">
        <v>0</v>
      </c>
      <c r="M1196" s="240">
        <v>0</v>
      </c>
      <c r="N1196" s="240">
        <v>0</v>
      </c>
    </row>
    <row r="1197" spans="1:14" x14ac:dyDescent="0.3">
      <c r="A1197" s="135" t="s">
        <v>461</v>
      </c>
      <c r="B1197" s="137" t="s">
        <v>422</v>
      </c>
      <c r="C1197" s="137">
        <v>25</v>
      </c>
      <c r="D1197" s="9">
        <v>10.921419519980327</v>
      </c>
      <c r="E1197" s="8">
        <v>2.9257200000000001</v>
      </c>
      <c r="F1197" s="8">
        <v>3.3336000000000001</v>
      </c>
      <c r="G1197" s="18">
        <v>13.248100000000001</v>
      </c>
      <c r="H1197" s="240">
        <v>0</v>
      </c>
      <c r="I1197" s="240">
        <v>0</v>
      </c>
      <c r="J1197" s="240">
        <v>0</v>
      </c>
      <c r="K1197" s="240">
        <v>0</v>
      </c>
      <c r="L1197" s="240">
        <v>0</v>
      </c>
      <c r="M1197" s="240">
        <v>0</v>
      </c>
      <c r="N1197" s="240">
        <v>0</v>
      </c>
    </row>
    <row r="1198" spans="1:14" x14ac:dyDescent="0.3">
      <c r="A1198" s="135" t="s">
        <v>461</v>
      </c>
      <c r="B1198" s="137" t="s">
        <v>422</v>
      </c>
      <c r="C1198" s="137">
        <v>26</v>
      </c>
      <c r="D1198" s="9">
        <v>10.926529978904199</v>
      </c>
      <c r="E1198" s="8">
        <v>2.9257200000000001</v>
      </c>
      <c r="F1198" s="8">
        <v>3.4347000000000003</v>
      </c>
      <c r="G1198" s="18">
        <v>13.695499999999999</v>
      </c>
      <c r="H1198" s="240">
        <v>0</v>
      </c>
      <c r="I1198" s="240">
        <v>0</v>
      </c>
      <c r="J1198" s="240">
        <v>0</v>
      </c>
      <c r="K1198" s="240">
        <v>0</v>
      </c>
      <c r="L1198" s="240">
        <v>0</v>
      </c>
      <c r="M1198" s="240">
        <v>0</v>
      </c>
      <c r="N1198" s="240">
        <v>0</v>
      </c>
    </row>
    <row r="1199" spans="1:14" x14ac:dyDescent="0.3">
      <c r="A1199" s="135" t="s">
        <v>461</v>
      </c>
      <c r="B1199" s="137" t="s">
        <v>422</v>
      </c>
      <c r="C1199" s="137">
        <v>27</v>
      </c>
      <c r="D1199" s="9">
        <v>10.931447543640365</v>
      </c>
      <c r="E1199" s="8">
        <v>2.9257200000000001</v>
      </c>
      <c r="F1199" s="8">
        <v>3.5344000000000002</v>
      </c>
      <c r="G1199" s="18">
        <v>14.160699999999999</v>
      </c>
      <c r="H1199" s="240">
        <v>0</v>
      </c>
      <c r="I1199" s="240">
        <v>0</v>
      </c>
      <c r="J1199" s="240">
        <v>0</v>
      </c>
      <c r="K1199" s="240">
        <v>0</v>
      </c>
      <c r="L1199" s="240">
        <v>0</v>
      </c>
      <c r="M1199" s="240">
        <v>0</v>
      </c>
      <c r="N1199" s="240">
        <v>0</v>
      </c>
    </row>
    <row r="1200" spans="1:14" x14ac:dyDescent="0.3">
      <c r="A1200" s="135" t="s">
        <v>461</v>
      </c>
      <c r="B1200" s="137" t="s">
        <v>422</v>
      </c>
      <c r="C1200" s="137">
        <v>28</v>
      </c>
      <c r="D1200" s="9">
        <v>10.936186247675829</v>
      </c>
      <c r="E1200" s="8">
        <v>2.9257200000000001</v>
      </c>
      <c r="F1200" s="8">
        <v>3.6327000000000003</v>
      </c>
      <c r="G1200" s="18">
        <v>14.643699999999999</v>
      </c>
      <c r="H1200" s="240">
        <v>0</v>
      </c>
      <c r="I1200" s="240">
        <v>0</v>
      </c>
      <c r="J1200" s="240">
        <v>0</v>
      </c>
      <c r="K1200" s="240">
        <v>0</v>
      </c>
      <c r="L1200" s="240">
        <v>0</v>
      </c>
      <c r="M1200" s="240">
        <v>0</v>
      </c>
      <c r="N1200" s="240">
        <v>0</v>
      </c>
    </row>
    <row r="1201" spans="1:14" x14ac:dyDescent="0.3">
      <c r="A1201" s="135" t="s">
        <v>461</v>
      </c>
      <c r="B1201" s="137" t="s">
        <v>422</v>
      </c>
      <c r="C1201" s="137">
        <v>29</v>
      </c>
      <c r="D1201" s="9">
        <v>10.940758646647238</v>
      </c>
      <c r="E1201" s="8">
        <v>2.9257200000000001</v>
      </c>
      <c r="F1201" s="8">
        <v>3.7296</v>
      </c>
      <c r="G1201" s="18">
        <v>15.144499999999999</v>
      </c>
      <c r="H1201" s="240">
        <v>0</v>
      </c>
      <c r="I1201" s="240">
        <v>0</v>
      </c>
      <c r="J1201" s="240">
        <v>0</v>
      </c>
      <c r="K1201" s="240">
        <v>0</v>
      </c>
      <c r="L1201" s="240">
        <v>0</v>
      </c>
      <c r="M1201" s="240">
        <v>0</v>
      </c>
      <c r="N1201" s="240">
        <v>0</v>
      </c>
    </row>
    <row r="1202" spans="1:14" x14ac:dyDescent="0.3">
      <c r="A1202" s="138" t="s">
        <v>461</v>
      </c>
      <c r="B1202" s="137" t="s">
        <v>422</v>
      </c>
      <c r="C1202" s="137">
        <v>30</v>
      </c>
      <c r="D1202" s="9">
        <v>10.94517601883058</v>
      </c>
      <c r="E1202" s="8">
        <v>2.9257200000000001</v>
      </c>
      <c r="F1202" s="8">
        <v>3.8251000000000004</v>
      </c>
      <c r="G1202" s="18">
        <v>15.6631</v>
      </c>
      <c r="H1202" s="240">
        <v>0</v>
      </c>
      <c r="I1202" s="240">
        <v>0</v>
      </c>
      <c r="J1202" s="240">
        <v>0</v>
      </c>
      <c r="K1202" s="240">
        <v>0</v>
      </c>
      <c r="L1202" s="240">
        <v>0</v>
      </c>
      <c r="M1202" s="240">
        <v>0</v>
      </c>
      <c r="N1202" s="240">
        <v>0</v>
      </c>
    </row>
    <row r="1203" spans="1:14" x14ac:dyDescent="0.3">
      <c r="A1203" s="142" t="s">
        <v>462</v>
      </c>
      <c r="B1203" s="143" t="s">
        <v>412</v>
      </c>
      <c r="C1203" s="143">
        <v>1</v>
      </c>
      <c r="D1203" s="9">
        <v>70.2</v>
      </c>
      <c r="E1203" s="8">
        <v>0</v>
      </c>
      <c r="F1203" s="8">
        <v>55.125</v>
      </c>
      <c r="G1203" s="18">
        <v>7.75</v>
      </c>
      <c r="H1203" s="240">
        <v>0</v>
      </c>
      <c r="I1203" s="240">
        <v>0</v>
      </c>
      <c r="J1203" s="240">
        <v>0</v>
      </c>
      <c r="K1203" s="240">
        <v>0</v>
      </c>
      <c r="L1203" s="240">
        <v>0</v>
      </c>
      <c r="M1203" s="240">
        <v>0</v>
      </c>
      <c r="N1203" s="240">
        <v>0</v>
      </c>
    </row>
    <row r="1204" spans="1:14" x14ac:dyDescent="0.3">
      <c r="A1204" s="135" t="s">
        <v>462</v>
      </c>
      <c r="B1204" s="136" t="s">
        <v>412</v>
      </c>
      <c r="C1204" s="137">
        <v>2</v>
      </c>
      <c r="D1204" s="9">
        <v>86.4</v>
      </c>
      <c r="E1204" s="8">
        <v>0</v>
      </c>
      <c r="F1204" s="8">
        <v>55.125</v>
      </c>
      <c r="G1204" s="18">
        <v>8.875</v>
      </c>
      <c r="H1204" s="240">
        <v>0</v>
      </c>
      <c r="I1204" s="240">
        <v>0</v>
      </c>
      <c r="J1204" s="240">
        <v>0</v>
      </c>
      <c r="K1204" s="240">
        <v>0</v>
      </c>
      <c r="L1204" s="240">
        <v>0</v>
      </c>
      <c r="M1204" s="240">
        <v>0</v>
      </c>
      <c r="N1204" s="240">
        <v>0</v>
      </c>
    </row>
    <row r="1205" spans="1:14" x14ac:dyDescent="0.3">
      <c r="A1205" s="135" t="s">
        <v>462</v>
      </c>
      <c r="B1205" s="137" t="s">
        <v>412</v>
      </c>
      <c r="C1205" s="137">
        <v>3</v>
      </c>
      <c r="D1205" s="9">
        <v>91.8</v>
      </c>
      <c r="E1205" s="8">
        <v>0</v>
      </c>
      <c r="F1205" s="8">
        <v>55.125</v>
      </c>
      <c r="G1205" s="18">
        <v>10</v>
      </c>
      <c r="H1205" s="240">
        <v>0</v>
      </c>
      <c r="I1205" s="240">
        <v>0</v>
      </c>
      <c r="J1205" s="240">
        <v>0</v>
      </c>
      <c r="K1205" s="240">
        <v>0</v>
      </c>
      <c r="L1205" s="240">
        <v>0</v>
      </c>
      <c r="M1205" s="240">
        <v>0</v>
      </c>
      <c r="N1205" s="240">
        <v>0</v>
      </c>
    </row>
    <row r="1206" spans="1:14" x14ac:dyDescent="0.3">
      <c r="A1206" s="135" t="s">
        <v>462</v>
      </c>
      <c r="B1206" s="137" t="s">
        <v>412</v>
      </c>
      <c r="C1206" s="137">
        <v>4</v>
      </c>
      <c r="D1206" s="9">
        <v>94.5</v>
      </c>
      <c r="E1206" s="8">
        <v>0</v>
      </c>
      <c r="F1206" s="8">
        <v>59.71875</v>
      </c>
      <c r="G1206" s="18">
        <v>11.25</v>
      </c>
      <c r="H1206" s="240">
        <v>0</v>
      </c>
      <c r="I1206" s="240">
        <v>0</v>
      </c>
      <c r="J1206" s="240">
        <v>0</v>
      </c>
      <c r="K1206" s="240">
        <v>0</v>
      </c>
      <c r="L1206" s="240">
        <v>0</v>
      </c>
      <c r="M1206" s="240">
        <v>0</v>
      </c>
      <c r="N1206" s="240">
        <v>0</v>
      </c>
    </row>
    <row r="1207" spans="1:14" x14ac:dyDescent="0.3">
      <c r="A1207" s="135" t="s">
        <v>462</v>
      </c>
      <c r="B1207" s="137" t="s">
        <v>412</v>
      </c>
      <c r="C1207" s="137">
        <v>5</v>
      </c>
      <c r="D1207" s="9">
        <v>96.12</v>
      </c>
      <c r="E1207" s="8">
        <v>0</v>
      </c>
      <c r="F1207" s="8">
        <v>62.475000000000001</v>
      </c>
      <c r="G1207" s="18">
        <v>12.4</v>
      </c>
      <c r="H1207" s="240">
        <v>0</v>
      </c>
      <c r="I1207" s="240">
        <v>0</v>
      </c>
      <c r="J1207" s="240">
        <v>0</v>
      </c>
      <c r="K1207" s="240">
        <v>0</v>
      </c>
      <c r="L1207" s="240">
        <v>0</v>
      </c>
      <c r="M1207" s="240">
        <v>0</v>
      </c>
      <c r="N1207" s="240">
        <v>0</v>
      </c>
    </row>
    <row r="1208" spans="1:14" x14ac:dyDescent="0.3">
      <c r="A1208" s="135" t="s">
        <v>462</v>
      </c>
      <c r="B1208" s="137" t="s">
        <v>412</v>
      </c>
      <c r="C1208" s="137">
        <v>6</v>
      </c>
      <c r="D1208" s="9">
        <v>97.2</v>
      </c>
      <c r="E1208" s="8">
        <v>0</v>
      </c>
      <c r="F1208" s="8">
        <v>64.3125</v>
      </c>
      <c r="G1208" s="18">
        <v>13.416667</v>
      </c>
      <c r="H1208" s="240">
        <v>0</v>
      </c>
      <c r="I1208" s="240">
        <v>0</v>
      </c>
      <c r="J1208" s="240">
        <v>0</v>
      </c>
      <c r="K1208" s="240">
        <v>0</v>
      </c>
      <c r="L1208" s="240">
        <v>0</v>
      </c>
      <c r="M1208" s="240">
        <v>0</v>
      </c>
      <c r="N1208" s="240">
        <v>0</v>
      </c>
    </row>
    <row r="1209" spans="1:14" x14ac:dyDescent="0.3">
      <c r="A1209" s="135" t="s">
        <v>462</v>
      </c>
      <c r="B1209" s="137" t="s">
        <v>412</v>
      </c>
      <c r="C1209" s="137">
        <v>7</v>
      </c>
      <c r="D1209" s="9">
        <v>97.971429000000001</v>
      </c>
      <c r="E1209" s="8">
        <v>0</v>
      </c>
      <c r="F1209" s="8">
        <v>65.625</v>
      </c>
      <c r="G1209" s="18">
        <v>14.392856999999999</v>
      </c>
      <c r="H1209" s="240">
        <v>0</v>
      </c>
      <c r="I1209" s="240">
        <v>0</v>
      </c>
      <c r="J1209" s="240">
        <v>0</v>
      </c>
      <c r="K1209" s="240">
        <v>0</v>
      </c>
      <c r="L1209" s="240">
        <v>0</v>
      </c>
      <c r="M1209" s="240">
        <v>0</v>
      </c>
      <c r="N1209" s="240">
        <v>0</v>
      </c>
    </row>
    <row r="1210" spans="1:14" x14ac:dyDescent="0.3">
      <c r="A1210" s="135" t="s">
        <v>462</v>
      </c>
      <c r="B1210" s="137" t="s">
        <v>412</v>
      </c>
      <c r="C1210" s="137">
        <v>8</v>
      </c>
      <c r="D1210" s="9">
        <v>98.55</v>
      </c>
      <c r="E1210" s="8">
        <v>0</v>
      </c>
      <c r="F1210" s="8">
        <v>66.609375</v>
      </c>
      <c r="G1210" s="18">
        <v>15.3125</v>
      </c>
      <c r="H1210" s="240">
        <v>0</v>
      </c>
      <c r="I1210" s="240">
        <v>0</v>
      </c>
      <c r="J1210" s="240">
        <v>0</v>
      </c>
      <c r="K1210" s="240">
        <v>0</v>
      </c>
      <c r="L1210" s="240">
        <v>0</v>
      </c>
      <c r="M1210" s="240">
        <v>0</v>
      </c>
      <c r="N1210" s="240">
        <v>0</v>
      </c>
    </row>
    <row r="1211" spans="1:14" x14ac:dyDescent="0.3">
      <c r="A1211" s="135" t="s">
        <v>462</v>
      </c>
      <c r="B1211" s="137" t="s">
        <v>412</v>
      </c>
      <c r="C1211" s="137">
        <v>9</v>
      </c>
      <c r="D1211" s="9">
        <v>99</v>
      </c>
      <c r="E1211" s="8">
        <v>0</v>
      </c>
      <c r="F1211" s="8">
        <v>67.375</v>
      </c>
      <c r="G1211" s="18">
        <v>16.166667</v>
      </c>
      <c r="H1211" s="240">
        <v>0</v>
      </c>
      <c r="I1211" s="240">
        <v>0</v>
      </c>
      <c r="J1211" s="240">
        <v>0</v>
      </c>
      <c r="K1211" s="240">
        <v>0</v>
      </c>
      <c r="L1211" s="240">
        <v>0</v>
      </c>
      <c r="M1211" s="240">
        <v>0</v>
      </c>
      <c r="N1211" s="240">
        <v>0</v>
      </c>
    </row>
    <row r="1212" spans="1:14" x14ac:dyDescent="0.3">
      <c r="A1212" s="135" t="s">
        <v>462</v>
      </c>
      <c r="B1212" s="137" t="s">
        <v>412</v>
      </c>
      <c r="C1212" s="137">
        <v>10</v>
      </c>
      <c r="D1212" s="9">
        <v>99.36</v>
      </c>
      <c r="E1212" s="8">
        <v>0</v>
      </c>
      <c r="F1212" s="8">
        <v>69.825000000000003</v>
      </c>
      <c r="G1212" s="18">
        <v>17.100000000000001</v>
      </c>
      <c r="H1212" s="240">
        <v>0</v>
      </c>
      <c r="I1212" s="240">
        <v>0</v>
      </c>
      <c r="J1212" s="240">
        <v>0</v>
      </c>
      <c r="K1212" s="240">
        <v>0</v>
      </c>
      <c r="L1212" s="240">
        <v>0</v>
      </c>
      <c r="M1212" s="240">
        <v>0</v>
      </c>
      <c r="N1212" s="240">
        <v>0</v>
      </c>
    </row>
    <row r="1213" spans="1:14" x14ac:dyDescent="0.3">
      <c r="A1213" s="135" t="s">
        <v>462</v>
      </c>
      <c r="B1213" s="137" t="s">
        <v>412</v>
      </c>
      <c r="C1213" s="137">
        <v>11</v>
      </c>
      <c r="D1213" s="9">
        <v>99.654544999999999</v>
      </c>
      <c r="E1213" s="8">
        <v>0</v>
      </c>
      <c r="F1213" s="8">
        <v>71.829544999999996</v>
      </c>
      <c r="G1213" s="18">
        <v>17.954545</v>
      </c>
      <c r="H1213" s="240">
        <v>0</v>
      </c>
      <c r="I1213" s="240">
        <v>0</v>
      </c>
      <c r="J1213" s="240">
        <v>0</v>
      </c>
      <c r="K1213" s="240">
        <v>0</v>
      </c>
      <c r="L1213" s="240">
        <v>0</v>
      </c>
      <c r="M1213" s="240">
        <v>0</v>
      </c>
      <c r="N1213" s="240">
        <v>0</v>
      </c>
    </row>
    <row r="1214" spans="1:14" x14ac:dyDescent="0.3">
      <c r="A1214" s="135" t="s">
        <v>462</v>
      </c>
      <c r="B1214" s="137" t="s">
        <v>412</v>
      </c>
      <c r="C1214" s="137">
        <v>12</v>
      </c>
      <c r="D1214" s="9">
        <v>99.9</v>
      </c>
      <c r="E1214" s="8">
        <v>0</v>
      </c>
      <c r="F1214" s="8">
        <v>73.5</v>
      </c>
      <c r="G1214" s="18">
        <v>18.791667</v>
      </c>
      <c r="H1214" s="240">
        <v>0</v>
      </c>
      <c r="I1214" s="240">
        <v>0</v>
      </c>
      <c r="J1214" s="240">
        <v>0</v>
      </c>
      <c r="K1214" s="240">
        <v>0</v>
      </c>
      <c r="L1214" s="240">
        <v>0</v>
      </c>
      <c r="M1214" s="240">
        <v>0</v>
      </c>
      <c r="N1214" s="240">
        <v>0</v>
      </c>
    </row>
    <row r="1215" spans="1:14" x14ac:dyDescent="0.3">
      <c r="A1215" s="135" t="s">
        <v>462</v>
      </c>
      <c r="B1215" s="137" t="s">
        <v>412</v>
      </c>
      <c r="C1215" s="137">
        <v>13</v>
      </c>
      <c r="D1215" s="9">
        <v>100.107692</v>
      </c>
      <c r="E1215" s="8">
        <v>0</v>
      </c>
      <c r="F1215" s="8">
        <v>74.913461999999996</v>
      </c>
      <c r="G1215" s="18">
        <v>19.596153999999999</v>
      </c>
      <c r="H1215" s="240">
        <v>0</v>
      </c>
      <c r="I1215" s="240">
        <v>0</v>
      </c>
      <c r="J1215" s="240">
        <v>0</v>
      </c>
      <c r="K1215" s="240">
        <v>0</v>
      </c>
      <c r="L1215" s="240">
        <v>0</v>
      </c>
      <c r="M1215" s="240">
        <v>0</v>
      </c>
      <c r="N1215" s="240">
        <v>0</v>
      </c>
    </row>
    <row r="1216" spans="1:14" x14ac:dyDescent="0.3">
      <c r="A1216" s="135" t="s">
        <v>462</v>
      </c>
      <c r="B1216" s="137" t="s">
        <v>412</v>
      </c>
      <c r="C1216" s="137">
        <v>14</v>
      </c>
      <c r="D1216" s="9">
        <v>100.285714</v>
      </c>
      <c r="E1216" s="8">
        <v>0</v>
      </c>
      <c r="F1216" s="8">
        <v>76.125</v>
      </c>
      <c r="G1216" s="18">
        <v>20.357143000000001</v>
      </c>
      <c r="H1216" s="240">
        <v>0</v>
      </c>
      <c r="I1216" s="240">
        <v>0</v>
      </c>
      <c r="J1216" s="240">
        <v>0</v>
      </c>
      <c r="K1216" s="240">
        <v>0</v>
      </c>
      <c r="L1216" s="240">
        <v>0</v>
      </c>
      <c r="M1216" s="240">
        <v>0</v>
      </c>
      <c r="N1216" s="240">
        <v>0</v>
      </c>
    </row>
    <row r="1217" spans="1:14" x14ac:dyDescent="0.3">
      <c r="A1217" s="135" t="s">
        <v>462</v>
      </c>
      <c r="B1217" s="137" t="s">
        <v>412</v>
      </c>
      <c r="C1217" s="137">
        <v>15</v>
      </c>
      <c r="D1217" s="9">
        <v>100.44</v>
      </c>
      <c r="E1217" s="8">
        <v>0</v>
      </c>
      <c r="F1217" s="8">
        <v>77.174999999999997</v>
      </c>
      <c r="G1217" s="18">
        <v>21.1</v>
      </c>
      <c r="H1217" s="240">
        <v>0</v>
      </c>
      <c r="I1217" s="240">
        <v>0</v>
      </c>
      <c r="J1217" s="240">
        <v>0</v>
      </c>
      <c r="K1217" s="240">
        <v>0</v>
      </c>
      <c r="L1217" s="240">
        <v>0</v>
      </c>
      <c r="M1217" s="240">
        <v>0</v>
      </c>
      <c r="N1217" s="240">
        <v>0</v>
      </c>
    </row>
    <row r="1218" spans="1:14" x14ac:dyDescent="0.3">
      <c r="A1218" s="135" t="s">
        <v>462</v>
      </c>
      <c r="B1218" s="137" t="s">
        <v>412</v>
      </c>
      <c r="C1218" s="137">
        <v>16</v>
      </c>
      <c r="D1218" s="9">
        <v>100.575</v>
      </c>
      <c r="E1218" s="8">
        <v>0</v>
      </c>
      <c r="F1218" s="8">
        <v>78.09375</v>
      </c>
      <c r="G1218" s="18">
        <v>21.8125</v>
      </c>
      <c r="H1218" s="240">
        <v>0</v>
      </c>
      <c r="I1218" s="240">
        <v>0</v>
      </c>
      <c r="J1218" s="240">
        <v>0</v>
      </c>
      <c r="K1218" s="240">
        <v>0</v>
      </c>
      <c r="L1218" s="240">
        <v>0</v>
      </c>
      <c r="M1218" s="240">
        <v>0</v>
      </c>
      <c r="N1218" s="240">
        <v>0</v>
      </c>
    </row>
    <row r="1219" spans="1:14" x14ac:dyDescent="0.3">
      <c r="A1219" s="135" t="s">
        <v>462</v>
      </c>
      <c r="B1219" s="137" t="s">
        <v>412</v>
      </c>
      <c r="C1219" s="137">
        <v>17</v>
      </c>
      <c r="D1219" s="9">
        <v>100.694118</v>
      </c>
      <c r="E1219" s="8">
        <v>0</v>
      </c>
      <c r="F1219" s="8">
        <v>78.904411999999994</v>
      </c>
      <c r="G1219" s="18">
        <v>22.5</v>
      </c>
      <c r="H1219" s="240">
        <v>0</v>
      </c>
      <c r="I1219" s="240">
        <v>0</v>
      </c>
      <c r="J1219" s="240">
        <v>0</v>
      </c>
      <c r="K1219" s="240">
        <v>0</v>
      </c>
      <c r="L1219" s="240">
        <v>0</v>
      </c>
      <c r="M1219" s="240">
        <v>0</v>
      </c>
      <c r="N1219" s="240">
        <v>0</v>
      </c>
    </row>
    <row r="1220" spans="1:14" x14ac:dyDescent="0.3">
      <c r="A1220" s="135" t="s">
        <v>462</v>
      </c>
      <c r="B1220" s="137" t="s">
        <v>412</v>
      </c>
      <c r="C1220" s="137">
        <v>18</v>
      </c>
      <c r="D1220" s="9">
        <v>100.8</v>
      </c>
      <c r="E1220" s="8">
        <v>0</v>
      </c>
      <c r="F1220" s="8">
        <v>80.645832999999996</v>
      </c>
      <c r="G1220" s="18">
        <v>23.25</v>
      </c>
      <c r="H1220" s="240">
        <v>0</v>
      </c>
      <c r="I1220" s="240">
        <v>0</v>
      </c>
      <c r="J1220" s="240">
        <v>0</v>
      </c>
      <c r="K1220" s="240">
        <v>0</v>
      </c>
      <c r="L1220" s="240">
        <v>0</v>
      </c>
      <c r="M1220" s="240">
        <v>0</v>
      </c>
      <c r="N1220" s="240">
        <v>0</v>
      </c>
    </row>
    <row r="1221" spans="1:14" x14ac:dyDescent="0.3">
      <c r="A1221" s="135" t="s">
        <v>462</v>
      </c>
      <c r="B1221" s="137" t="s">
        <v>412</v>
      </c>
      <c r="C1221" s="137">
        <v>19</v>
      </c>
      <c r="D1221" s="9">
        <v>100.89473700000001</v>
      </c>
      <c r="E1221" s="8">
        <v>0</v>
      </c>
      <c r="F1221" s="8">
        <v>82.203946999999999</v>
      </c>
      <c r="G1221" s="18">
        <v>23.986841999999999</v>
      </c>
      <c r="H1221" s="240">
        <v>0</v>
      </c>
      <c r="I1221" s="240">
        <v>0</v>
      </c>
      <c r="J1221" s="240">
        <v>0</v>
      </c>
      <c r="K1221" s="240">
        <v>0</v>
      </c>
      <c r="L1221" s="240">
        <v>0</v>
      </c>
      <c r="M1221" s="240">
        <v>0</v>
      </c>
      <c r="N1221" s="240">
        <v>0</v>
      </c>
    </row>
    <row r="1222" spans="1:14" x14ac:dyDescent="0.3">
      <c r="A1222" s="135" t="s">
        <v>462</v>
      </c>
      <c r="B1222" s="137" t="s">
        <v>412</v>
      </c>
      <c r="C1222" s="137">
        <v>20</v>
      </c>
      <c r="D1222" s="9">
        <v>100.98</v>
      </c>
      <c r="E1222" s="8">
        <v>0</v>
      </c>
      <c r="F1222" s="8">
        <v>83.606250000000003</v>
      </c>
      <c r="G1222" s="18">
        <v>24.6875</v>
      </c>
      <c r="H1222" s="240">
        <v>0</v>
      </c>
      <c r="I1222" s="240">
        <v>0</v>
      </c>
      <c r="J1222" s="240">
        <v>0</v>
      </c>
      <c r="K1222" s="240">
        <v>0</v>
      </c>
      <c r="L1222" s="240">
        <v>0</v>
      </c>
      <c r="M1222" s="240">
        <v>0</v>
      </c>
      <c r="N1222" s="240">
        <v>0</v>
      </c>
    </row>
    <row r="1223" spans="1:14" x14ac:dyDescent="0.3">
      <c r="A1223" s="135" t="s">
        <v>462</v>
      </c>
      <c r="B1223" s="137" t="s">
        <v>412</v>
      </c>
      <c r="C1223" s="137">
        <v>21</v>
      </c>
      <c r="D1223" s="9">
        <v>101.057143</v>
      </c>
      <c r="E1223" s="8">
        <v>0</v>
      </c>
      <c r="F1223" s="8">
        <v>84.875</v>
      </c>
      <c r="G1223" s="18">
        <v>25.369047999999999</v>
      </c>
      <c r="H1223" s="240">
        <v>0</v>
      </c>
      <c r="I1223" s="240">
        <v>0</v>
      </c>
      <c r="J1223" s="240">
        <v>0</v>
      </c>
      <c r="K1223" s="240">
        <v>0</v>
      </c>
      <c r="L1223" s="240">
        <v>0</v>
      </c>
      <c r="M1223" s="240">
        <v>0</v>
      </c>
      <c r="N1223" s="240">
        <v>0</v>
      </c>
    </row>
    <row r="1224" spans="1:14" x14ac:dyDescent="0.3">
      <c r="A1224" s="135" t="s">
        <v>462</v>
      </c>
      <c r="B1224" s="137" t="s">
        <v>412</v>
      </c>
      <c r="C1224" s="137">
        <v>22</v>
      </c>
      <c r="D1224" s="9">
        <v>101.127273</v>
      </c>
      <c r="E1224" s="8">
        <v>0</v>
      </c>
      <c r="F1224" s="8">
        <v>86.028408999999996</v>
      </c>
      <c r="G1224" s="18">
        <v>26.045455</v>
      </c>
      <c r="H1224" s="240">
        <v>0</v>
      </c>
      <c r="I1224" s="240">
        <v>0</v>
      </c>
      <c r="J1224" s="240">
        <v>0</v>
      </c>
      <c r="K1224" s="240">
        <v>0</v>
      </c>
      <c r="L1224" s="240">
        <v>0</v>
      </c>
      <c r="M1224" s="240">
        <v>0</v>
      </c>
      <c r="N1224" s="240">
        <v>0</v>
      </c>
    </row>
    <row r="1225" spans="1:14" x14ac:dyDescent="0.3">
      <c r="A1225" s="135" t="s">
        <v>462</v>
      </c>
      <c r="B1225" s="137" t="s">
        <v>412</v>
      </c>
      <c r="C1225" s="137">
        <v>23</v>
      </c>
      <c r="D1225" s="9">
        <v>101.191304</v>
      </c>
      <c r="E1225" s="8">
        <v>0</v>
      </c>
      <c r="F1225" s="8">
        <v>87.081522000000007</v>
      </c>
      <c r="G1225" s="18">
        <v>26.695651999999999</v>
      </c>
      <c r="H1225" s="240">
        <v>0</v>
      </c>
      <c r="I1225" s="240">
        <v>0</v>
      </c>
      <c r="J1225" s="240">
        <v>0</v>
      </c>
      <c r="K1225" s="240">
        <v>0</v>
      </c>
      <c r="L1225" s="240">
        <v>0</v>
      </c>
      <c r="M1225" s="240">
        <v>0</v>
      </c>
      <c r="N1225" s="240">
        <v>0</v>
      </c>
    </row>
    <row r="1226" spans="1:14" x14ac:dyDescent="0.3">
      <c r="A1226" s="135" t="s">
        <v>462</v>
      </c>
      <c r="B1226" s="137" t="s">
        <v>412</v>
      </c>
      <c r="C1226" s="137">
        <v>24</v>
      </c>
      <c r="D1226" s="9">
        <v>101.25</v>
      </c>
      <c r="E1226" s="8">
        <v>0</v>
      </c>
      <c r="F1226" s="8">
        <v>88.046875</v>
      </c>
      <c r="G1226" s="18">
        <v>27.333333</v>
      </c>
      <c r="H1226" s="240">
        <v>0</v>
      </c>
      <c r="I1226" s="240">
        <v>0</v>
      </c>
      <c r="J1226" s="240">
        <v>0</v>
      </c>
      <c r="K1226" s="240">
        <v>0</v>
      </c>
      <c r="L1226" s="240">
        <v>0</v>
      </c>
      <c r="M1226" s="240">
        <v>0</v>
      </c>
      <c r="N1226" s="240">
        <v>0</v>
      </c>
    </row>
    <row r="1227" spans="1:14" x14ac:dyDescent="0.3">
      <c r="A1227" s="135" t="s">
        <v>462</v>
      </c>
      <c r="B1227" s="137" t="s">
        <v>412</v>
      </c>
      <c r="C1227" s="137">
        <v>25</v>
      </c>
      <c r="D1227" s="9">
        <v>101.304</v>
      </c>
      <c r="E1227" s="8">
        <v>0</v>
      </c>
      <c r="F1227" s="8">
        <v>88.935000000000002</v>
      </c>
      <c r="G1227" s="18">
        <v>27.95</v>
      </c>
      <c r="H1227" s="240">
        <v>0</v>
      </c>
      <c r="I1227" s="240">
        <v>0</v>
      </c>
      <c r="J1227" s="240">
        <v>0</v>
      </c>
      <c r="K1227" s="240">
        <v>0</v>
      </c>
      <c r="L1227" s="240">
        <v>0</v>
      </c>
      <c r="M1227" s="240">
        <v>0</v>
      </c>
      <c r="N1227" s="240">
        <v>0</v>
      </c>
    </row>
    <row r="1228" spans="1:14" x14ac:dyDescent="0.3">
      <c r="A1228" s="135" t="s">
        <v>462</v>
      </c>
      <c r="B1228" s="137" t="s">
        <v>412</v>
      </c>
      <c r="C1228" s="137">
        <v>26</v>
      </c>
      <c r="D1228" s="9">
        <v>101.353846</v>
      </c>
      <c r="E1228" s="8">
        <v>0</v>
      </c>
      <c r="F1228" s="8">
        <v>90.461538000000004</v>
      </c>
      <c r="G1228" s="18">
        <v>28.625</v>
      </c>
      <c r="H1228" s="240">
        <v>0</v>
      </c>
      <c r="I1228" s="240">
        <v>0</v>
      </c>
      <c r="J1228" s="240">
        <v>0</v>
      </c>
      <c r="K1228" s="240">
        <v>0</v>
      </c>
      <c r="L1228" s="240">
        <v>0</v>
      </c>
      <c r="M1228" s="240">
        <v>0</v>
      </c>
      <c r="N1228" s="240">
        <v>0</v>
      </c>
    </row>
    <row r="1229" spans="1:14" x14ac:dyDescent="0.3">
      <c r="A1229" s="135" t="s">
        <v>462</v>
      </c>
      <c r="B1229" s="137" t="s">
        <v>412</v>
      </c>
      <c r="C1229" s="137">
        <v>27</v>
      </c>
      <c r="D1229" s="9">
        <v>101.4</v>
      </c>
      <c r="E1229" s="8">
        <v>0</v>
      </c>
      <c r="F1229" s="8">
        <v>91.875</v>
      </c>
      <c r="G1229" s="18">
        <v>29.287037000000002</v>
      </c>
      <c r="H1229" s="240">
        <v>0</v>
      </c>
      <c r="I1229" s="240">
        <v>0</v>
      </c>
      <c r="J1229" s="240">
        <v>0</v>
      </c>
      <c r="K1229" s="240">
        <v>0</v>
      </c>
      <c r="L1229" s="240">
        <v>0</v>
      </c>
      <c r="M1229" s="240">
        <v>0</v>
      </c>
      <c r="N1229" s="240">
        <v>0</v>
      </c>
    </row>
    <row r="1230" spans="1:14" x14ac:dyDescent="0.3">
      <c r="A1230" s="135" t="s">
        <v>462</v>
      </c>
      <c r="B1230" s="137" t="s">
        <v>412</v>
      </c>
      <c r="C1230" s="137">
        <v>28</v>
      </c>
      <c r="D1230" s="9">
        <v>101.442857</v>
      </c>
      <c r="E1230" s="8">
        <v>0</v>
      </c>
      <c r="F1230" s="8">
        <v>93.1875</v>
      </c>
      <c r="G1230" s="18">
        <v>29.9375</v>
      </c>
      <c r="H1230" s="240">
        <v>0</v>
      </c>
      <c r="I1230" s="240">
        <v>0</v>
      </c>
      <c r="J1230" s="240">
        <v>0</v>
      </c>
      <c r="K1230" s="240">
        <v>0</v>
      </c>
      <c r="L1230" s="240">
        <v>0</v>
      </c>
      <c r="M1230" s="240">
        <v>0</v>
      </c>
      <c r="N1230" s="240">
        <v>0</v>
      </c>
    </row>
    <row r="1231" spans="1:14" x14ac:dyDescent="0.3">
      <c r="A1231" s="135" t="s">
        <v>462</v>
      </c>
      <c r="B1231" s="137" t="s">
        <v>412</v>
      </c>
      <c r="C1231" s="137">
        <v>29</v>
      </c>
      <c r="D1231" s="9">
        <v>101.482759</v>
      </c>
      <c r="E1231" s="8">
        <v>0</v>
      </c>
      <c r="F1231" s="8">
        <v>94.409482999999994</v>
      </c>
      <c r="G1231" s="18">
        <v>30.568966</v>
      </c>
      <c r="H1231" s="240">
        <v>0</v>
      </c>
      <c r="I1231" s="240">
        <v>0</v>
      </c>
      <c r="J1231" s="240">
        <v>0</v>
      </c>
      <c r="K1231" s="240">
        <v>0</v>
      </c>
      <c r="L1231" s="240">
        <v>0</v>
      </c>
      <c r="M1231" s="240">
        <v>0</v>
      </c>
      <c r="N1231" s="240">
        <v>0</v>
      </c>
    </row>
    <row r="1232" spans="1:14" x14ac:dyDescent="0.3">
      <c r="A1232" s="138" t="s">
        <v>462</v>
      </c>
      <c r="B1232" s="137" t="s">
        <v>412</v>
      </c>
      <c r="C1232" s="137">
        <v>30</v>
      </c>
      <c r="D1232" s="9">
        <v>101.52</v>
      </c>
      <c r="E1232" s="8">
        <v>0</v>
      </c>
      <c r="F1232" s="8">
        <v>95.55</v>
      </c>
      <c r="G1232" s="18">
        <v>31.191666999999999</v>
      </c>
      <c r="H1232" s="240">
        <v>0</v>
      </c>
      <c r="I1232" s="240">
        <v>0</v>
      </c>
      <c r="J1232" s="240">
        <v>0</v>
      </c>
      <c r="K1232" s="240">
        <v>0</v>
      </c>
      <c r="L1232" s="240">
        <v>0</v>
      </c>
      <c r="M1232" s="240">
        <v>0</v>
      </c>
      <c r="N1232" s="240">
        <v>0</v>
      </c>
    </row>
    <row r="1233" spans="1:14" x14ac:dyDescent="0.3">
      <c r="A1233" s="142" t="s">
        <v>462</v>
      </c>
      <c r="B1233" s="143" t="s">
        <v>413</v>
      </c>
      <c r="C1233" s="143">
        <v>1</v>
      </c>
      <c r="D1233" s="9">
        <v>70.2</v>
      </c>
      <c r="E1233" s="8">
        <v>19.285</v>
      </c>
      <c r="F1233" s="8">
        <v>5.4880000000000004</v>
      </c>
      <c r="G1233" s="18">
        <v>16.25</v>
      </c>
      <c r="H1233" s="240">
        <v>0</v>
      </c>
      <c r="I1233" s="240">
        <v>0</v>
      </c>
      <c r="J1233" s="240">
        <v>0</v>
      </c>
      <c r="K1233" s="240">
        <v>0</v>
      </c>
      <c r="L1233" s="240">
        <v>0</v>
      </c>
      <c r="M1233" s="240">
        <v>0</v>
      </c>
      <c r="N1233" s="240">
        <v>0</v>
      </c>
    </row>
    <row r="1234" spans="1:14" x14ac:dyDescent="0.3">
      <c r="A1234" s="135" t="s">
        <v>462</v>
      </c>
      <c r="B1234" s="136" t="s">
        <v>413</v>
      </c>
      <c r="C1234" s="137">
        <v>2</v>
      </c>
      <c r="D1234" s="9">
        <v>86.4</v>
      </c>
      <c r="E1234" s="8">
        <v>26.022500000000001</v>
      </c>
      <c r="F1234" s="8">
        <v>7.798</v>
      </c>
      <c r="G1234" s="18">
        <v>18.875</v>
      </c>
      <c r="H1234" s="240">
        <v>0</v>
      </c>
      <c r="I1234" s="240">
        <v>0</v>
      </c>
      <c r="J1234" s="240">
        <v>0</v>
      </c>
      <c r="K1234" s="240">
        <v>0</v>
      </c>
      <c r="L1234" s="240">
        <v>0</v>
      </c>
      <c r="M1234" s="240">
        <v>0</v>
      </c>
      <c r="N1234" s="240">
        <v>0</v>
      </c>
    </row>
    <row r="1235" spans="1:14" x14ac:dyDescent="0.3">
      <c r="A1235" s="135" t="s">
        <v>462</v>
      </c>
      <c r="B1235" s="137" t="s">
        <v>413</v>
      </c>
      <c r="C1235" s="137">
        <v>3</v>
      </c>
      <c r="D1235" s="9">
        <v>91.8</v>
      </c>
      <c r="E1235" s="8">
        <v>28.268332999999998</v>
      </c>
      <c r="F1235" s="8">
        <v>8.5679999999999996</v>
      </c>
      <c r="G1235" s="18">
        <v>21.583333</v>
      </c>
      <c r="H1235" s="240">
        <v>0</v>
      </c>
      <c r="I1235" s="240">
        <v>0</v>
      </c>
      <c r="J1235" s="240">
        <v>0</v>
      </c>
      <c r="K1235" s="240">
        <v>0</v>
      </c>
      <c r="L1235" s="240">
        <v>0</v>
      </c>
      <c r="M1235" s="240">
        <v>0</v>
      </c>
      <c r="N1235" s="240">
        <v>0</v>
      </c>
    </row>
    <row r="1236" spans="1:14" x14ac:dyDescent="0.3">
      <c r="A1236" s="135" t="s">
        <v>462</v>
      </c>
      <c r="B1236" s="137" t="s">
        <v>413</v>
      </c>
      <c r="C1236" s="137">
        <v>4</v>
      </c>
      <c r="D1236" s="9">
        <v>94.5</v>
      </c>
      <c r="E1236" s="8">
        <v>29.391249999999999</v>
      </c>
      <c r="F1236" s="8">
        <v>10.458</v>
      </c>
      <c r="G1236" s="18">
        <v>24.125</v>
      </c>
      <c r="H1236" s="240">
        <v>0</v>
      </c>
      <c r="I1236" s="240">
        <v>0</v>
      </c>
      <c r="J1236" s="240">
        <v>0</v>
      </c>
      <c r="K1236" s="240">
        <v>0</v>
      </c>
      <c r="L1236" s="240">
        <v>0</v>
      </c>
      <c r="M1236" s="240">
        <v>0</v>
      </c>
      <c r="N1236" s="240">
        <v>0</v>
      </c>
    </row>
    <row r="1237" spans="1:14" x14ac:dyDescent="0.3">
      <c r="A1237" s="135" t="s">
        <v>462</v>
      </c>
      <c r="B1237" s="137" t="s">
        <v>413</v>
      </c>
      <c r="C1237" s="137">
        <v>5</v>
      </c>
      <c r="D1237" s="9">
        <v>96.12</v>
      </c>
      <c r="E1237" s="8">
        <v>30.065000000000001</v>
      </c>
      <c r="F1237" s="8">
        <v>11.592000000000001</v>
      </c>
      <c r="G1237" s="18">
        <v>26.45</v>
      </c>
      <c r="H1237" s="240">
        <v>0</v>
      </c>
      <c r="I1237" s="240">
        <v>0</v>
      </c>
      <c r="J1237" s="240">
        <v>0</v>
      </c>
      <c r="K1237" s="240">
        <v>0</v>
      </c>
      <c r="L1237" s="240">
        <v>0</v>
      </c>
      <c r="M1237" s="240">
        <v>0</v>
      </c>
      <c r="N1237" s="240">
        <v>0</v>
      </c>
    </row>
    <row r="1238" spans="1:14" x14ac:dyDescent="0.3">
      <c r="A1238" s="135" t="s">
        <v>462</v>
      </c>
      <c r="B1238" s="137" t="s">
        <v>413</v>
      </c>
      <c r="C1238" s="137">
        <v>6</v>
      </c>
      <c r="D1238" s="9">
        <v>97.2</v>
      </c>
      <c r="E1238" s="8">
        <v>30.514167</v>
      </c>
      <c r="F1238" s="8">
        <v>12.348000000000001</v>
      </c>
      <c r="G1238" s="18">
        <v>28.583333</v>
      </c>
      <c r="H1238" s="240">
        <v>0</v>
      </c>
      <c r="I1238" s="240">
        <v>0</v>
      </c>
      <c r="J1238" s="240">
        <v>0</v>
      </c>
      <c r="K1238" s="240">
        <v>0</v>
      </c>
      <c r="L1238" s="240">
        <v>0</v>
      </c>
      <c r="M1238" s="240">
        <v>0</v>
      </c>
      <c r="N1238" s="240">
        <v>0</v>
      </c>
    </row>
    <row r="1239" spans="1:14" x14ac:dyDescent="0.3">
      <c r="A1239" s="135" t="s">
        <v>462</v>
      </c>
      <c r="B1239" s="137" t="s">
        <v>413</v>
      </c>
      <c r="C1239" s="137">
        <v>7</v>
      </c>
      <c r="D1239" s="9">
        <v>97.971429000000001</v>
      </c>
      <c r="E1239" s="8">
        <v>30.835000000000001</v>
      </c>
      <c r="F1239" s="8">
        <v>13.948</v>
      </c>
      <c r="G1239" s="18">
        <v>30.714286000000001</v>
      </c>
      <c r="H1239" s="240">
        <v>0</v>
      </c>
      <c r="I1239" s="240">
        <v>0</v>
      </c>
      <c r="J1239" s="240">
        <v>0</v>
      </c>
      <c r="K1239" s="240">
        <v>0</v>
      </c>
      <c r="L1239" s="240">
        <v>0</v>
      </c>
      <c r="M1239" s="240">
        <v>0</v>
      </c>
      <c r="N1239" s="240">
        <v>0</v>
      </c>
    </row>
    <row r="1240" spans="1:14" x14ac:dyDescent="0.3">
      <c r="A1240" s="135" t="s">
        <v>462</v>
      </c>
      <c r="B1240" s="137" t="s">
        <v>413</v>
      </c>
      <c r="C1240" s="137">
        <v>8</v>
      </c>
      <c r="D1240" s="9">
        <v>98.55</v>
      </c>
      <c r="E1240" s="8">
        <v>31.075624999999999</v>
      </c>
      <c r="F1240" s="8">
        <v>15.148</v>
      </c>
      <c r="G1240" s="18">
        <v>32.6875</v>
      </c>
      <c r="H1240" s="240">
        <v>0</v>
      </c>
      <c r="I1240" s="240">
        <v>0</v>
      </c>
      <c r="J1240" s="240">
        <v>0</v>
      </c>
      <c r="K1240" s="240">
        <v>0</v>
      </c>
      <c r="L1240" s="240">
        <v>0</v>
      </c>
      <c r="M1240" s="240">
        <v>0</v>
      </c>
      <c r="N1240" s="240">
        <v>0</v>
      </c>
    </row>
    <row r="1241" spans="1:14" x14ac:dyDescent="0.3">
      <c r="A1241" s="135" t="s">
        <v>462</v>
      </c>
      <c r="B1241" s="137" t="s">
        <v>413</v>
      </c>
      <c r="C1241" s="137">
        <v>9</v>
      </c>
      <c r="D1241" s="9">
        <v>99</v>
      </c>
      <c r="E1241" s="8">
        <v>31.262778000000001</v>
      </c>
      <c r="F1241" s="8">
        <v>16.081333000000001</v>
      </c>
      <c r="G1241" s="18">
        <v>34.555556000000003</v>
      </c>
      <c r="H1241" s="240">
        <v>0</v>
      </c>
      <c r="I1241" s="240">
        <v>0</v>
      </c>
      <c r="J1241" s="240">
        <v>0</v>
      </c>
      <c r="K1241" s="240">
        <v>0</v>
      </c>
      <c r="L1241" s="240">
        <v>0</v>
      </c>
      <c r="M1241" s="240">
        <v>0</v>
      </c>
      <c r="N1241" s="240">
        <v>0</v>
      </c>
    </row>
    <row r="1242" spans="1:14" x14ac:dyDescent="0.3">
      <c r="A1242" s="135" t="s">
        <v>462</v>
      </c>
      <c r="B1242" s="137" t="s">
        <v>413</v>
      </c>
      <c r="C1242" s="137">
        <v>10</v>
      </c>
      <c r="D1242" s="9">
        <v>99.36</v>
      </c>
      <c r="E1242" s="8">
        <v>31.412500000000001</v>
      </c>
      <c r="F1242" s="8">
        <v>17.71</v>
      </c>
      <c r="G1242" s="18">
        <v>36.450000000000003</v>
      </c>
      <c r="H1242" s="240">
        <v>0</v>
      </c>
      <c r="I1242" s="240">
        <v>0</v>
      </c>
      <c r="J1242" s="240">
        <v>0</v>
      </c>
      <c r="K1242" s="240">
        <v>0</v>
      </c>
      <c r="L1242" s="240">
        <v>0</v>
      </c>
      <c r="M1242" s="240">
        <v>0</v>
      </c>
      <c r="N1242" s="240">
        <v>0</v>
      </c>
    </row>
    <row r="1243" spans="1:14" x14ac:dyDescent="0.3">
      <c r="A1243" s="135" t="s">
        <v>462</v>
      </c>
      <c r="B1243" s="137" t="s">
        <v>413</v>
      </c>
      <c r="C1243" s="137">
        <v>11</v>
      </c>
      <c r="D1243" s="9">
        <v>99.654544999999999</v>
      </c>
      <c r="E1243" s="8">
        <v>31.535</v>
      </c>
      <c r="F1243" s="8">
        <v>19.042545</v>
      </c>
      <c r="G1243" s="18">
        <v>38.25</v>
      </c>
      <c r="H1243" s="240">
        <v>0</v>
      </c>
      <c r="I1243" s="240">
        <v>0</v>
      </c>
      <c r="J1243" s="240">
        <v>0</v>
      </c>
      <c r="K1243" s="240">
        <v>0</v>
      </c>
      <c r="L1243" s="240">
        <v>0</v>
      </c>
      <c r="M1243" s="240">
        <v>0</v>
      </c>
      <c r="N1243" s="240">
        <v>0</v>
      </c>
    </row>
    <row r="1244" spans="1:14" x14ac:dyDescent="0.3">
      <c r="A1244" s="135" t="s">
        <v>462</v>
      </c>
      <c r="B1244" s="137" t="s">
        <v>413</v>
      </c>
      <c r="C1244" s="137">
        <v>12</v>
      </c>
      <c r="D1244" s="9">
        <v>99.9</v>
      </c>
      <c r="E1244" s="8">
        <v>31.637083000000001</v>
      </c>
      <c r="F1244" s="8">
        <v>20.152999999999999</v>
      </c>
      <c r="G1244" s="18">
        <v>39.958333000000003</v>
      </c>
      <c r="H1244" s="240">
        <v>0</v>
      </c>
      <c r="I1244" s="240">
        <v>0</v>
      </c>
      <c r="J1244" s="240">
        <v>0</v>
      </c>
      <c r="K1244" s="240">
        <v>0</v>
      </c>
      <c r="L1244" s="240">
        <v>0</v>
      </c>
      <c r="M1244" s="240">
        <v>0</v>
      </c>
      <c r="N1244" s="240">
        <v>0</v>
      </c>
    </row>
    <row r="1245" spans="1:14" x14ac:dyDescent="0.3">
      <c r="A1245" s="135" t="s">
        <v>462</v>
      </c>
      <c r="B1245" s="137" t="s">
        <v>413</v>
      </c>
      <c r="C1245" s="137">
        <v>13</v>
      </c>
      <c r="D1245" s="9">
        <v>100.107692</v>
      </c>
      <c r="E1245" s="8">
        <v>31.723462000000001</v>
      </c>
      <c r="F1245" s="8">
        <v>21.092614999999999</v>
      </c>
      <c r="G1245" s="18">
        <v>41.596153999999999</v>
      </c>
      <c r="H1245" s="240">
        <v>0</v>
      </c>
      <c r="I1245" s="240">
        <v>0</v>
      </c>
      <c r="J1245" s="240">
        <v>0</v>
      </c>
      <c r="K1245" s="240">
        <v>0</v>
      </c>
      <c r="L1245" s="240">
        <v>0</v>
      </c>
      <c r="M1245" s="240">
        <v>0</v>
      </c>
      <c r="N1245" s="240">
        <v>0</v>
      </c>
    </row>
    <row r="1246" spans="1:14" x14ac:dyDescent="0.3">
      <c r="A1246" s="135" t="s">
        <v>462</v>
      </c>
      <c r="B1246" s="137" t="s">
        <v>413</v>
      </c>
      <c r="C1246" s="137">
        <v>14</v>
      </c>
      <c r="D1246" s="9">
        <v>100.285714</v>
      </c>
      <c r="E1246" s="8">
        <v>31.797499999999999</v>
      </c>
      <c r="F1246" s="8">
        <v>22.628</v>
      </c>
      <c r="G1246" s="18">
        <v>43.285713999999999</v>
      </c>
      <c r="H1246" s="240">
        <v>0</v>
      </c>
      <c r="I1246" s="240">
        <v>0</v>
      </c>
      <c r="J1246" s="240">
        <v>0</v>
      </c>
      <c r="K1246" s="240">
        <v>0</v>
      </c>
      <c r="L1246" s="240">
        <v>0</v>
      </c>
      <c r="M1246" s="240">
        <v>0</v>
      </c>
      <c r="N1246" s="240">
        <v>0</v>
      </c>
    </row>
    <row r="1247" spans="1:14" x14ac:dyDescent="0.3">
      <c r="A1247" s="135" t="s">
        <v>462</v>
      </c>
      <c r="B1247" s="137" t="s">
        <v>413</v>
      </c>
      <c r="C1247" s="137">
        <v>15</v>
      </c>
      <c r="D1247" s="9">
        <v>100.44</v>
      </c>
      <c r="E1247" s="8">
        <v>31.861667000000001</v>
      </c>
      <c r="F1247" s="8">
        <v>23.958666999999998</v>
      </c>
      <c r="G1247" s="18">
        <v>44.916666999999997</v>
      </c>
      <c r="H1247" s="240">
        <v>0</v>
      </c>
      <c r="I1247" s="240">
        <v>0</v>
      </c>
      <c r="J1247" s="240">
        <v>0</v>
      </c>
      <c r="K1247" s="240">
        <v>0</v>
      </c>
      <c r="L1247" s="240">
        <v>0</v>
      </c>
      <c r="M1247" s="240">
        <v>0</v>
      </c>
      <c r="N1247" s="240">
        <v>0</v>
      </c>
    </row>
    <row r="1248" spans="1:14" x14ac:dyDescent="0.3">
      <c r="A1248" s="135" t="s">
        <v>462</v>
      </c>
      <c r="B1248" s="137" t="s">
        <v>413</v>
      </c>
      <c r="C1248" s="137">
        <v>16</v>
      </c>
      <c r="D1248" s="9">
        <v>100.575</v>
      </c>
      <c r="E1248" s="8">
        <v>31.917812000000001</v>
      </c>
      <c r="F1248" s="8">
        <v>25.123000000000001</v>
      </c>
      <c r="G1248" s="18">
        <v>46.5</v>
      </c>
      <c r="H1248" s="240">
        <v>0</v>
      </c>
      <c r="I1248" s="240">
        <v>0</v>
      </c>
      <c r="J1248" s="240">
        <v>0</v>
      </c>
      <c r="K1248" s="240">
        <v>0</v>
      </c>
      <c r="L1248" s="240">
        <v>0</v>
      </c>
      <c r="M1248" s="240">
        <v>0</v>
      </c>
      <c r="N1248" s="240">
        <v>0</v>
      </c>
    </row>
    <row r="1249" spans="1:14" x14ac:dyDescent="0.3">
      <c r="A1249" s="135" t="s">
        <v>462</v>
      </c>
      <c r="B1249" s="137" t="s">
        <v>413</v>
      </c>
      <c r="C1249" s="137">
        <v>17</v>
      </c>
      <c r="D1249" s="9">
        <v>100.694118</v>
      </c>
      <c r="E1249" s="8">
        <v>31.967352999999999</v>
      </c>
      <c r="F1249" s="8">
        <v>26.150352999999999</v>
      </c>
      <c r="G1249" s="18">
        <v>48.014705999999997</v>
      </c>
      <c r="H1249" s="240">
        <v>0</v>
      </c>
      <c r="I1249" s="240">
        <v>0</v>
      </c>
      <c r="J1249" s="240">
        <v>0</v>
      </c>
      <c r="K1249" s="240">
        <v>0</v>
      </c>
      <c r="L1249" s="240">
        <v>0</v>
      </c>
      <c r="M1249" s="240">
        <v>0</v>
      </c>
      <c r="N1249" s="240">
        <v>0</v>
      </c>
    </row>
    <row r="1250" spans="1:14" x14ac:dyDescent="0.3">
      <c r="A1250" s="135" t="s">
        <v>462</v>
      </c>
      <c r="B1250" s="137" t="s">
        <v>413</v>
      </c>
      <c r="C1250" s="137">
        <v>18</v>
      </c>
      <c r="D1250" s="9">
        <v>100.8</v>
      </c>
      <c r="E1250" s="8">
        <v>32.011389000000001</v>
      </c>
      <c r="F1250" s="8">
        <v>27.063555999999998</v>
      </c>
      <c r="G1250" s="18">
        <v>49.486111000000001</v>
      </c>
      <c r="H1250" s="240">
        <v>0</v>
      </c>
      <c r="I1250" s="240">
        <v>0</v>
      </c>
      <c r="J1250" s="240">
        <v>0</v>
      </c>
      <c r="K1250" s="240">
        <v>0</v>
      </c>
      <c r="L1250" s="240">
        <v>0</v>
      </c>
      <c r="M1250" s="240">
        <v>0</v>
      </c>
      <c r="N1250" s="240">
        <v>0</v>
      </c>
    </row>
    <row r="1251" spans="1:14" x14ac:dyDescent="0.3">
      <c r="A1251" s="135" t="s">
        <v>462</v>
      </c>
      <c r="B1251" s="137" t="s">
        <v>413</v>
      </c>
      <c r="C1251" s="137">
        <v>19</v>
      </c>
      <c r="D1251" s="9">
        <v>100.89473700000001</v>
      </c>
      <c r="E1251" s="8">
        <v>32.050789000000002</v>
      </c>
      <c r="F1251" s="8">
        <v>28.492211000000001</v>
      </c>
      <c r="G1251" s="18">
        <v>51.026316000000001</v>
      </c>
      <c r="H1251" s="240">
        <v>0</v>
      </c>
      <c r="I1251" s="240">
        <v>0</v>
      </c>
      <c r="J1251" s="240">
        <v>0</v>
      </c>
      <c r="K1251" s="240">
        <v>0</v>
      </c>
      <c r="L1251" s="240">
        <v>0</v>
      </c>
      <c r="M1251" s="240">
        <v>0</v>
      </c>
      <c r="N1251" s="240">
        <v>0</v>
      </c>
    </row>
    <row r="1252" spans="1:14" x14ac:dyDescent="0.3">
      <c r="A1252" s="135" t="s">
        <v>462</v>
      </c>
      <c r="B1252" s="137" t="s">
        <v>413</v>
      </c>
      <c r="C1252" s="137">
        <v>20</v>
      </c>
      <c r="D1252" s="9">
        <v>100.98</v>
      </c>
      <c r="E1252" s="8">
        <v>32.08625</v>
      </c>
      <c r="F1252" s="8">
        <v>29.777999999999999</v>
      </c>
      <c r="G1252" s="18">
        <v>52.524999999999999</v>
      </c>
      <c r="H1252" s="240">
        <v>0</v>
      </c>
      <c r="I1252" s="240">
        <v>0</v>
      </c>
      <c r="J1252" s="240">
        <v>0</v>
      </c>
      <c r="K1252" s="240">
        <v>0</v>
      </c>
      <c r="L1252" s="240">
        <v>0</v>
      </c>
      <c r="M1252" s="240">
        <v>0</v>
      </c>
      <c r="N1252" s="240">
        <v>0</v>
      </c>
    </row>
    <row r="1253" spans="1:14" x14ac:dyDescent="0.3">
      <c r="A1253" s="135" t="s">
        <v>462</v>
      </c>
      <c r="B1253" s="137" t="s">
        <v>413</v>
      </c>
      <c r="C1253" s="137">
        <v>21</v>
      </c>
      <c r="D1253" s="9">
        <v>101.057143</v>
      </c>
      <c r="E1253" s="8">
        <v>32.118333</v>
      </c>
      <c r="F1253" s="8">
        <v>30.941333</v>
      </c>
      <c r="G1253" s="18">
        <v>53.976190000000003</v>
      </c>
      <c r="H1253" s="240">
        <v>0</v>
      </c>
      <c r="I1253" s="240">
        <v>0</v>
      </c>
      <c r="J1253" s="240">
        <v>0</v>
      </c>
      <c r="K1253" s="240">
        <v>0</v>
      </c>
      <c r="L1253" s="240">
        <v>0</v>
      </c>
      <c r="M1253" s="240">
        <v>0</v>
      </c>
      <c r="N1253" s="240">
        <v>0</v>
      </c>
    </row>
    <row r="1254" spans="1:14" x14ac:dyDescent="0.3">
      <c r="A1254" s="135" t="s">
        <v>462</v>
      </c>
      <c r="B1254" s="137" t="s">
        <v>413</v>
      </c>
      <c r="C1254" s="137">
        <v>22</v>
      </c>
      <c r="D1254" s="9">
        <v>101.127273</v>
      </c>
      <c r="E1254" s="8">
        <v>32.147500000000001</v>
      </c>
      <c r="F1254" s="8">
        <v>31.998909000000001</v>
      </c>
      <c r="G1254" s="18">
        <v>55.397727000000003</v>
      </c>
      <c r="H1254" s="240">
        <v>0</v>
      </c>
      <c r="I1254" s="240">
        <v>0</v>
      </c>
      <c r="J1254" s="240">
        <v>0</v>
      </c>
      <c r="K1254" s="240">
        <v>0</v>
      </c>
      <c r="L1254" s="240">
        <v>0</v>
      </c>
      <c r="M1254" s="240">
        <v>0</v>
      </c>
      <c r="N1254" s="240">
        <v>0</v>
      </c>
    </row>
    <row r="1255" spans="1:14" x14ac:dyDescent="0.3">
      <c r="A1255" s="135" t="s">
        <v>462</v>
      </c>
      <c r="B1255" s="137" t="s">
        <v>413</v>
      </c>
      <c r="C1255" s="137">
        <v>23</v>
      </c>
      <c r="D1255" s="9">
        <v>101.191304</v>
      </c>
      <c r="E1255" s="8">
        <v>32.174129999999998</v>
      </c>
      <c r="F1255" s="8">
        <v>32.964522000000002</v>
      </c>
      <c r="G1255" s="18">
        <v>56.782609000000001</v>
      </c>
      <c r="H1255" s="240">
        <v>0</v>
      </c>
      <c r="I1255" s="240">
        <v>0</v>
      </c>
      <c r="J1255" s="240">
        <v>0</v>
      </c>
      <c r="K1255" s="240">
        <v>0</v>
      </c>
      <c r="L1255" s="240">
        <v>0</v>
      </c>
      <c r="M1255" s="240">
        <v>0</v>
      </c>
      <c r="N1255" s="240">
        <v>0</v>
      </c>
    </row>
    <row r="1256" spans="1:14" x14ac:dyDescent="0.3">
      <c r="A1256" s="135" t="s">
        <v>462</v>
      </c>
      <c r="B1256" s="137" t="s">
        <v>413</v>
      </c>
      <c r="C1256" s="137">
        <v>24</v>
      </c>
      <c r="D1256" s="9">
        <v>101.25</v>
      </c>
      <c r="E1256" s="8">
        <v>32.198542000000003</v>
      </c>
      <c r="F1256" s="8">
        <v>34.392167000000001</v>
      </c>
      <c r="G1256" s="18">
        <v>58.239583000000003</v>
      </c>
      <c r="H1256" s="240">
        <v>0</v>
      </c>
      <c r="I1256" s="240">
        <v>0</v>
      </c>
      <c r="J1256" s="240">
        <v>0</v>
      </c>
      <c r="K1256" s="240">
        <v>0</v>
      </c>
      <c r="L1256" s="240">
        <v>0</v>
      </c>
      <c r="M1256" s="240">
        <v>0</v>
      </c>
      <c r="N1256" s="240">
        <v>0</v>
      </c>
    </row>
    <row r="1257" spans="1:14" x14ac:dyDescent="0.3">
      <c r="A1257" s="135" t="s">
        <v>462</v>
      </c>
      <c r="B1257" s="137" t="s">
        <v>413</v>
      </c>
      <c r="C1257" s="137">
        <v>25</v>
      </c>
      <c r="D1257" s="9">
        <v>101.304</v>
      </c>
      <c r="E1257" s="8">
        <v>32.220999999999997</v>
      </c>
      <c r="F1257" s="8">
        <v>35.705599999999997</v>
      </c>
      <c r="G1257" s="18">
        <v>59.66</v>
      </c>
      <c r="H1257" s="240">
        <v>0</v>
      </c>
      <c r="I1257" s="240">
        <v>0</v>
      </c>
      <c r="J1257" s="240">
        <v>0</v>
      </c>
      <c r="K1257" s="240">
        <v>0</v>
      </c>
      <c r="L1257" s="240">
        <v>0</v>
      </c>
      <c r="M1257" s="240">
        <v>0</v>
      </c>
      <c r="N1257" s="240">
        <v>0</v>
      </c>
    </row>
    <row r="1258" spans="1:14" x14ac:dyDescent="0.3">
      <c r="A1258" s="135" t="s">
        <v>462</v>
      </c>
      <c r="B1258" s="137" t="s">
        <v>413</v>
      </c>
      <c r="C1258" s="137">
        <v>26</v>
      </c>
      <c r="D1258" s="9">
        <v>101.353846</v>
      </c>
      <c r="E1258" s="8">
        <v>32.241731000000001</v>
      </c>
      <c r="F1258" s="8">
        <v>36.917999999999999</v>
      </c>
      <c r="G1258" s="18">
        <v>61.057692000000003</v>
      </c>
      <c r="H1258" s="240">
        <v>0</v>
      </c>
      <c r="I1258" s="240">
        <v>0</v>
      </c>
      <c r="J1258" s="240">
        <v>0</v>
      </c>
      <c r="K1258" s="240">
        <v>0</v>
      </c>
      <c r="L1258" s="240">
        <v>0</v>
      </c>
      <c r="M1258" s="240">
        <v>0</v>
      </c>
      <c r="N1258" s="240">
        <v>0</v>
      </c>
    </row>
    <row r="1259" spans="1:14" x14ac:dyDescent="0.3">
      <c r="A1259" s="135" t="s">
        <v>462</v>
      </c>
      <c r="B1259" s="137" t="s">
        <v>413</v>
      </c>
      <c r="C1259" s="137">
        <v>27</v>
      </c>
      <c r="D1259" s="9">
        <v>101.4</v>
      </c>
      <c r="E1259" s="8">
        <v>32.260925999999998</v>
      </c>
      <c r="F1259" s="8">
        <v>38.040593000000001</v>
      </c>
      <c r="G1259" s="18">
        <v>62.416666999999997</v>
      </c>
      <c r="H1259" s="240">
        <v>0</v>
      </c>
      <c r="I1259" s="240">
        <v>0</v>
      </c>
      <c r="J1259" s="240">
        <v>0</v>
      </c>
      <c r="K1259" s="240">
        <v>0</v>
      </c>
      <c r="L1259" s="240">
        <v>0</v>
      </c>
      <c r="M1259" s="240">
        <v>0</v>
      </c>
      <c r="N1259" s="240">
        <v>0</v>
      </c>
    </row>
    <row r="1260" spans="1:14" x14ac:dyDescent="0.3">
      <c r="A1260" s="135" t="s">
        <v>462</v>
      </c>
      <c r="B1260" s="137" t="s">
        <v>413</v>
      </c>
      <c r="C1260" s="137">
        <v>28</v>
      </c>
      <c r="D1260" s="9">
        <v>101.442857</v>
      </c>
      <c r="E1260" s="8">
        <v>32.278750000000002</v>
      </c>
      <c r="F1260" s="8">
        <v>39.082999999999998</v>
      </c>
      <c r="G1260" s="18">
        <v>63.75</v>
      </c>
      <c r="H1260" s="240">
        <v>0</v>
      </c>
      <c r="I1260" s="240">
        <v>0</v>
      </c>
      <c r="J1260" s="240">
        <v>0</v>
      </c>
      <c r="K1260" s="240">
        <v>0</v>
      </c>
      <c r="L1260" s="240">
        <v>0</v>
      </c>
      <c r="M1260" s="240">
        <v>0</v>
      </c>
      <c r="N1260" s="240">
        <v>0</v>
      </c>
    </row>
    <row r="1261" spans="1:14" x14ac:dyDescent="0.3">
      <c r="A1261" s="135" t="s">
        <v>462</v>
      </c>
      <c r="B1261" s="137" t="s">
        <v>413</v>
      </c>
      <c r="C1261" s="137">
        <v>29</v>
      </c>
      <c r="D1261" s="9">
        <v>101.482759</v>
      </c>
      <c r="E1261" s="8">
        <v>32.295344999999998</v>
      </c>
      <c r="F1261" s="8">
        <v>40.053516999999999</v>
      </c>
      <c r="G1261" s="18">
        <v>65.060344999999998</v>
      </c>
      <c r="H1261" s="240">
        <v>0</v>
      </c>
      <c r="I1261" s="240">
        <v>0</v>
      </c>
      <c r="J1261" s="240">
        <v>0</v>
      </c>
      <c r="K1261" s="240">
        <v>0</v>
      </c>
      <c r="L1261" s="240">
        <v>0</v>
      </c>
      <c r="M1261" s="240">
        <v>0</v>
      </c>
      <c r="N1261" s="240">
        <v>0</v>
      </c>
    </row>
    <row r="1262" spans="1:14" x14ac:dyDescent="0.3">
      <c r="A1262" s="138" t="s">
        <v>462</v>
      </c>
      <c r="B1262" s="137" t="s">
        <v>413</v>
      </c>
      <c r="C1262" s="137">
        <v>30</v>
      </c>
      <c r="D1262" s="9">
        <v>101.52</v>
      </c>
      <c r="E1262" s="8">
        <v>32.310833000000002</v>
      </c>
      <c r="F1262" s="8">
        <v>41.44</v>
      </c>
      <c r="G1262" s="18">
        <v>66.45</v>
      </c>
      <c r="H1262" s="240">
        <v>0</v>
      </c>
      <c r="I1262" s="240">
        <v>0</v>
      </c>
      <c r="J1262" s="240">
        <v>0</v>
      </c>
      <c r="K1262" s="240">
        <v>0</v>
      </c>
      <c r="L1262" s="240">
        <v>0</v>
      </c>
      <c r="M1262" s="240">
        <v>0</v>
      </c>
      <c r="N1262" s="240">
        <v>0</v>
      </c>
    </row>
    <row r="1263" spans="1:14" x14ac:dyDescent="0.3">
      <c r="A1263" s="142" t="s">
        <v>462</v>
      </c>
      <c r="B1263" s="143" t="s">
        <v>414</v>
      </c>
      <c r="C1263" s="143">
        <v>1</v>
      </c>
      <c r="D1263" s="9">
        <v>0</v>
      </c>
      <c r="E1263" s="8">
        <v>0</v>
      </c>
      <c r="F1263" s="8">
        <v>0</v>
      </c>
      <c r="G1263" s="18">
        <v>0</v>
      </c>
      <c r="H1263" s="240">
        <v>0</v>
      </c>
      <c r="I1263" s="240">
        <v>0</v>
      </c>
      <c r="J1263" s="240">
        <v>0</v>
      </c>
      <c r="K1263" s="240">
        <v>0</v>
      </c>
      <c r="L1263" s="240">
        <v>0</v>
      </c>
      <c r="M1263" s="240">
        <v>0</v>
      </c>
      <c r="N1263" s="240">
        <v>0</v>
      </c>
    </row>
    <row r="1264" spans="1:14" x14ac:dyDescent="0.3">
      <c r="A1264" s="135" t="s">
        <v>462</v>
      </c>
      <c r="B1264" s="136" t="s">
        <v>414</v>
      </c>
      <c r="C1264" s="137">
        <v>2</v>
      </c>
      <c r="D1264" s="9">
        <v>0</v>
      </c>
      <c r="E1264" s="8">
        <v>0</v>
      </c>
      <c r="F1264" s="8">
        <v>0</v>
      </c>
      <c r="G1264" s="18">
        <v>0</v>
      </c>
      <c r="H1264" s="240">
        <v>0</v>
      </c>
      <c r="I1264" s="240">
        <v>0</v>
      </c>
      <c r="J1264" s="240">
        <v>0</v>
      </c>
      <c r="K1264" s="240">
        <v>0</v>
      </c>
      <c r="L1264" s="240">
        <v>0</v>
      </c>
      <c r="M1264" s="240">
        <v>0</v>
      </c>
      <c r="N1264" s="240">
        <v>0</v>
      </c>
    </row>
    <row r="1265" spans="1:14" x14ac:dyDescent="0.3">
      <c r="A1265" s="135" t="s">
        <v>462</v>
      </c>
      <c r="B1265" s="137" t="s">
        <v>414</v>
      </c>
      <c r="C1265" s="137">
        <v>3</v>
      </c>
      <c r="D1265" s="9">
        <v>0</v>
      </c>
      <c r="E1265" s="8">
        <v>0</v>
      </c>
      <c r="F1265" s="8">
        <v>0</v>
      </c>
      <c r="G1265" s="18">
        <v>0</v>
      </c>
      <c r="H1265" s="240">
        <v>0</v>
      </c>
      <c r="I1265" s="240">
        <v>0</v>
      </c>
      <c r="J1265" s="240">
        <v>0</v>
      </c>
      <c r="K1265" s="240">
        <v>0</v>
      </c>
      <c r="L1265" s="240">
        <v>0</v>
      </c>
      <c r="M1265" s="240">
        <v>0</v>
      </c>
      <c r="N1265" s="240">
        <v>0</v>
      </c>
    </row>
    <row r="1266" spans="1:14" x14ac:dyDescent="0.3">
      <c r="A1266" s="135" t="s">
        <v>462</v>
      </c>
      <c r="B1266" s="137" t="s">
        <v>414</v>
      </c>
      <c r="C1266" s="137">
        <v>4</v>
      </c>
      <c r="D1266" s="9">
        <v>0</v>
      </c>
      <c r="E1266" s="8">
        <v>0</v>
      </c>
      <c r="F1266" s="8">
        <v>0</v>
      </c>
      <c r="G1266" s="18">
        <v>0</v>
      </c>
      <c r="H1266" s="240">
        <v>0</v>
      </c>
      <c r="I1266" s="240">
        <v>0</v>
      </c>
      <c r="J1266" s="240">
        <v>0</v>
      </c>
      <c r="K1266" s="240">
        <v>0</v>
      </c>
      <c r="L1266" s="240">
        <v>0</v>
      </c>
      <c r="M1266" s="240">
        <v>0</v>
      </c>
      <c r="N1266" s="240">
        <v>0</v>
      </c>
    </row>
    <row r="1267" spans="1:14" x14ac:dyDescent="0.3">
      <c r="A1267" s="135" t="s">
        <v>462</v>
      </c>
      <c r="B1267" s="137" t="s">
        <v>414</v>
      </c>
      <c r="C1267" s="137">
        <v>5</v>
      </c>
      <c r="D1267" s="9">
        <v>0</v>
      </c>
      <c r="E1267" s="8">
        <v>0</v>
      </c>
      <c r="F1267" s="8">
        <v>0</v>
      </c>
      <c r="G1267" s="18">
        <v>0</v>
      </c>
      <c r="H1267" s="240">
        <v>0</v>
      </c>
      <c r="I1267" s="240">
        <v>0</v>
      </c>
      <c r="J1267" s="240">
        <v>0</v>
      </c>
      <c r="K1267" s="240">
        <v>0</v>
      </c>
      <c r="L1267" s="240">
        <v>0</v>
      </c>
      <c r="M1267" s="240">
        <v>0</v>
      </c>
      <c r="N1267" s="240">
        <v>0</v>
      </c>
    </row>
    <row r="1268" spans="1:14" x14ac:dyDescent="0.3">
      <c r="A1268" s="135" t="s">
        <v>462</v>
      </c>
      <c r="B1268" s="137" t="s">
        <v>414</v>
      </c>
      <c r="C1268" s="137">
        <v>6</v>
      </c>
      <c r="D1268" s="9">
        <v>0</v>
      </c>
      <c r="E1268" s="8">
        <v>0</v>
      </c>
      <c r="F1268" s="8">
        <v>0</v>
      </c>
      <c r="G1268" s="18">
        <v>0</v>
      </c>
      <c r="H1268" s="240">
        <v>0</v>
      </c>
      <c r="I1268" s="240">
        <v>0</v>
      </c>
      <c r="J1268" s="240">
        <v>0</v>
      </c>
      <c r="K1268" s="240">
        <v>0</v>
      </c>
      <c r="L1268" s="240">
        <v>0</v>
      </c>
      <c r="M1268" s="240">
        <v>0</v>
      </c>
      <c r="N1268" s="240">
        <v>0</v>
      </c>
    </row>
    <row r="1269" spans="1:14" x14ac:dyDescent="0.3">
      <c r="A1269" s="135" t="s">
        <v>462</v>
      </c>
      <c r="B1269" s="137" t="s">
        <v>414</v>
      </c>
      <c r="C1269" s="137">
        <v>7</v>
      </c>
      <c r="D1269" s="9">
        <v>0</v>
      </c>
      <c r="E1269" s="8">
        <v>0</v>
      </c>
      <c r="F1269" s="8">
        <v>0</v>
      </c>
      <c r="G1269" s="18">
        <v>0</v>
      </c>
      <c r="H1269" s="240">
        <v>0</v>
      </c>
      <c r="I1269" s="240">
        <v>0</v>
      </c>
      <c r="J1269" s="240">
        <v>0</v>
      </c>
      <c r="K1269" s="240">
        <v>0</v>
      </c>
      <c r="L1269" s="240">
        <v>0</v>
      </c>
      <c r="M1269" s="240">
        <v>0</v>
      </c>
      <c r="N1269" s="240">
        <v>0</v>
      </c>
    </row>
    <row r="1270" spans="1:14" x14ac:dyDescent="0.3">
      <c r="A1270" s="135" t="s">
        <v>462</v>
      </c>
      <c r="B1270" s="137" t="s">
        <v>414</v>
      </c>
      <c r="C1270" s="137">
        <v>8</v>
      </c>
      <c r="D1270" s="9">
        <v>0</v>
      </c>
      <c r="E1270" s="8">
        <v>0</v>
      </c>
      <c r="F1270" s="8">
        <v>0</v>
      </c>
      <c r="G1270" s="18">
        <v>0</v>
      </c>
      <c r="H1270" s="240">
        <v>0</v>
      </c>
      <c r="I1270" s="240">
        <v>0</v>
      </c>
      <c r="J1270" s="240">
        <v>0</v>
      </c>
      <c r="K1270" s="240">
        <v>0</v>
      </c>
      <c r="L1270" s="240">
        <v>0</v>
      </c>
      <c r="M1270" s="240">
        <v>0</v>
      </c>
      <c r="N1270" s="240">
        <v>0</v>
      </c>
    </row>
    <row r="1271" spans="1:14" x14ac:dyDescent="0.3">
      <c r="A1271" s="135" t="s">
        <v>462</v>
      </c>
      <c r="B1271" s="137" t="s">
        <v>414</v>
      </c>
      <c r="C1271" s="137">
        <v>9</v>
      </c>
      <c r="D1271" s="9">
        <v>0</v>
      </c>
      <c r="E1271" s="8">
        <v>0</v>
      </c>
      <c r="F1271" s="8">
        <v>0</v>
      </c>
      <c r="G1271" s="18">
        <v>0</v>
      </c>
      <c r="H1271" s="240">
        <v>0</v>
      </c>
      <c r="I1271" s="240">
        <v>0</v>
      </c>
      <c r="J1271" s="240">
        <v>0</v>
      </c>
      <c r="K1271" s="240">
        <v>0</v>
      </c>
      <c r="L1271" s="240">
        <v>0</v>
      </c>
      <c r="M1271" s="240">
        <v>0</v>
      </c>
      <c r="N1271" s="240">
        <v>0</v>
      </c>
    </row>
    <row r="1272" spans="1:14" x14ac:dyDescent="0.3">
      <c r="A1272" s="135" t="s">
        <v>462</v>
      </c>
      <c r="B1272" s="137" t="s">
        <v>414</v>
      </c>
      <c r="C1272" s="137">
        <v>10</v>
      </c>
      <c r="D1272" s="9">
        <v>0</v>
      </c>
      <c r="E1272" s="8">
        <v>0</v>
      </c>
      <c r="F1272" s="8">
        <v>0</v>
      </c>
      <c r="G1272" s="18">
        <v>0</v>
      </c>
      <c r="H1272" s="240">
        <v>0</v>
      </c>
      <c r="I1272" s="240">
        <v>0</v>
      </c>
      <c r="J1272" s="240">
        <v>0</v>
      </c>
      <c r="K1272" s="240">
        <v>0</v>
      </c>
      <c r="L1272" s="240">
        <v>0</v>
      </c>
      <c r="M1272" s="240">
        <v>0</v>
      </c>
      <c r="N1272" s="240">
        <v>0</v>
      </c>
    </row>
    <row r="1273" spans="1:14" x14ac:dyDescent="0.3">
      <c r="A1273" s="135" t="s">
        <v>462</v>
      </c>
      <c r="B1273" s="137" t="s">
        <v>414</v>
      </c>
      <c r="C1273" s="137">
        <v>11</v>
      </c>
      <c r="D1273" s="9">
        <v>0</v>
      </c>
      <c r="E1273" s="8">
        <v>0</v>
      </c>
      <c r="F1273" s="8">
        <v>0</v>
      </c>
      <c r="G1273" s="18">
        <v>0</v>
      </c>
      <c r="H1273" s="240">
        <v>0</v>
      </c>
      <c r="I1273" s="240">
        <v>0</v>
      </c>
      <c r="J1273" s="240">
        <v>0</v>
      </c>
      <c r="K1273" s="240">
        <v>0</v>
      </c>
      <c r="L1273" s="240">
        <v>0</v>
      </c>
      <c r="M1273" s="240">
        <v>0</v>
      </c>
      <c r="N1273" s="240">
        <v>0</v>
      </c>
    </row>
    <row r="1274" spans="1:14" x14ac:dyDescent="0.3">
      <c r="A1274" s="135" t="s">
        <v>462</v>
      </c>
      <c r="B1274" s="137" t="s">
        <v>414</v>
      </c>
      <c r="C1274" s="137">
        <v>12</v>
      </c>
      <c r="D1274" s="9">
        <v>0</v>
      </c>
      <c r="E1274" s="8">
        <v>0</v>
      </c>
      <c r="F1274" s="8">
        <v>0</v>
      </c>
      <c r="G1274" s="18">
        <v>0</v>
      </c>
      <c r="H1274" s="240">
        <v>0</v>
      </c>
      <c r="I1274" s="240">
        <v>0</v>
      </c>
      <c r="J1274" s="240">
        <v>0</v>
      </c>
      <c r="K1274" s="240">
        <v>0</v>
      </c>
      <c r="L1274" s="240">
        <v>0</v>
      </c>
      <c r="M1274" s="240">
        <v>0</v>
      </c>
      <c r="N1274" s="240">
        <v>0</v>
      </c>
    </row>
    <row r="1275" spans="1:14" x14ac:dyDescent="0.3">
      <c r="A1275" s="135" t="s">
        <v>462</v>
      </c>
      <c r="B1275" s="137" t="s">
        <v>414</v>
      </c>
      <c r="C1275" s="137">
        <v>13</v>
      </c>
      <c r="D1275" s="9">
        <v>0</v>
      </c>
      <c r="E1275" s="8">
        <v>0</v>
      </c>
      <c r="F1275" s="8">
        <v>0</v>
      </c>
      <c r="G1275" s="18">
        <v>0</v>
      </c>
      <c r="H1275" s="240">
        <v>0</v>
      </c>
      <c r="I1275" s="240">
        <v>0</v>
      </c>
      <c r="J1275" s="240">
        <v>0</v>
      </c>
      <c r="K1275" s="240">
        <v>0</v>
      </c>
      <c r="L1275" s="240">
        <v>0</v>
      </c>
      <c r="M1275" s="240">
        <v>0</v>
      </c>
      <c r="N1275" s="240">
        <v>0</v>
      </c>
    </row>
    <row r="1276" spans="1:14" x14ac:dyDescent="0.3">
      <c r="A1276" s="135" t="s">
        <v>462</v>
      </c>
      <c r="B1276" s="137" t="s">
        <v>414</v>
      </c>
      <c r="C1276" s="137">
        <v>14</v>
      </c>
      <c r="D1276" s="9">
        <v>0</v>
      </c>
      <c r="E1276" s="8">
        <v>0</v>
      </c>
      <c r="F1276" s="8">
        <v>0</v>
      </c>
      <c r="G1276" s="18">
        <v>0</v>
      </c>
      <c r="H1276" s="240">
        <v>0</v>
      </c>
      <c r="I1276" s="240">
        <v>0</v>
      </c>
      <c r="J1276" s="240">
        <v>0</v>
      </c>
      <c r="K1276" s="240">
        <v>0</v>
      </c>
      <c r="L1276" s="240">
        <v>0</v>
      </c>
      <c r="M1276" s="240">
        <v>0</v>
      </c>
      <c r="N1276" s="240">
        <v>0</v>
      </c>
    </row>
    <row r="1277" spans="1:14" x14ac:dyDescent="0.3">
      <c r="A1277" s="135" t="s">
        <v>462</v>
      </c>
      <c r="B1277" s="137" t="s">
        <v>414</v>
      </c>
      <c r="C1277" s="137">
        <v>15</v>
      </c>
      <c r="D1277" s="9">
        <v>0</v>
      </c>
      <c r="E1277" s="8">
        <v>0</v>
      </c>
      <c r="F1277" s="8">
        <v>0</v>
      </c>
      <c r="G1277" s="18">
        <v>0</v>
      </c>
      <c r="H1277" s="240">
        <v>0</v>
      </c>
      <c r="I1277" s="240">
        <v>0</v>
      </c>
      <c r="J1277" s="240">
        <v>0</v>
      </c>
      <c r="K1277" s="240">
        <v>0</v>
      </c>
      <c r="L1277" s="240">
        <v>0</v>
      </c>
      <c r="M1277" s="240">
        <v>0</v>
      </c>
      <c r="N1277" s="240">
        <v>0</v>
      </c>
    </row>
    <row r="1278" spans="1:14" x14ac:dyDescent="0.3">
      <c r="A1278" s="135" t="s">
        <v>462</v>
      </c>
      <c r="B1278" s="137" t="s">
        <v>414</v>
      </c>
      <c r="C1278" s="137">
        <v>16</v>
      </c>
      <c r="D1278" s="9">
        <v>0</v>
      </c>
      <c r="E1278" s="8">
        <v>0</v>
      </c>
      <c r="F1278" s="8">
        <v>0</v>
      </c>
      <c r="G1278" s="18">
        <v>0</v>
      </c>
      <c r="H1278" s="240">
        <v>0</v>
      </c>
      <c r="I1278" s="240">
        <v>0</v>
      </c>
      <c r="J1278" s="240">
        <v>0</v>
      </c>
      <c r="K1278" s="240">
        <v>0</v>
      </c>
      <c r="L1278" s="240">
        <v>0</v>
      </c>
      <c r="M1278" s="240">
        <v>0</v>
      </c>
      <c r="N1278" s="240">
        <v>0</v>
      </c>
    </row>
    <row r="1279" spans="1:14" x14ac:dyDescent="0.3">
      <c r="A1279" s="135" t="s">
        <v>462</v>
      </c>
      <c r="B1279" s="137" t="s">
        <v>414</v>
      </c>
      <c r="C1279" s="137">
        <v>17</v>
      </c>
      <c r="D1279" s="9">
        <v>0</v>
      </c>
      <c r="E1279" s="8">
        <v>0</v>
      </c>
      <c r="F1279" s="8">
        <v>0</v>
      </c>
      <c r="G1279" s="18">
        <v>0</v>
      </c>
      <c r="H1279" s="240">
        <v>0</v>
      </c>
      <c r="I1279" s="240">
        <v>0</v>
      </c>
      <c r="J1279" s="240">
        <v>0</v>
      </c>
      <c r="K1279" s="240">
        <v>0</v>
      </c>
      <c r="L1279" s="240">
        <v>0</v>
      </c>
      <c r="M1279" s="240">
        <v>0</v>
      </c>
      <c r="N1279" s="240">
        <v>0</v>
      </c>
    </row>
    <row r="1280" spans="1:14" x14ac:dyDescent="0.3">
      <c r="A1280" s="135" t="s">
        <v>462</v>
      </c>
      <c r="B1280" s="137" t="s">
        <v>414</v>
      </c>
      <c r="C1280" s="137">
        <v>18</v>
      </c>
      <c r="D1280" s="9">
        <v>0</v>
      </c>
      <c r="E1280" s="8">
        <v>0</v>
      </c>
      <c r="F1280" s="8">
        <v>0</v>
      </c>
      <c r="G1280" s="18">
        <v>0</v>
      </c>
      <c r="H1280" s="240">
        <v>0</v>
      </c>
      <c r="I1280" s="240">
        <v>0</v>
      </c>
      <c r="J1280" s="240">
        <v>0</v>
      </c>
      <c r="K1280" s="240">
        <v>0</v>
      </c>
      <c r="L1280" s="240">
        <v>0</v>
      </c>
      <c r="M1280" s="240">
        <v>0</v>
      </c>
      <c r="N1280" s="240">
        <v>0</v>
      </c>
    </row>
    <row r="1281" spans="1:14" x14ac:dyDescent="0.3">
      <c r="A1281" s="135" t="s">
        <v>462</v>
      </c>
      <c r="B1281" s="137" t="s">
        <v>414</v>
      </c>
      <c r="C1281" s="137">
        <v>19</v>
      </c>
      <c r="D1281" s="9">
        <v>0</v>
      </c>
      <c r="E1281" s="8">
        <v>0</v>
      </c>
      <c r="F1281" s="8">
        <v>0</v>
      </c>
      <c r="G1281" s="18">
        <v>0</v>
      </c>
      <c r="H1281" s="240">
        <v>0</v>
      </c>
      <c r="I1281" s="240">
        <v>0</v>
      </c>
      <c r="J1281" s="240">
        <v>0</v>
      </c>
      <c r="K1281" s="240">
        <v>0</v>
      </c>
      <c r="L1281" s="240">
        <v>0</v>
      </c>
      <c r="M1281" s="240">
        <v>0</v>
      </c>
      <c r="N1281" s="240">
        <v>0</v>
      </c>
    </row>
    <row r="1282" spans="1:14" x14ac:dyDescent="0.3">
      <c r="A1282" s="135" t="s">
        <v>462</v>
      </c>
      <c r="B1282" s="137" t="s">
        <v>414</v>
      </c>
      <c r="C1282" s="137">
        <v>20</v>
      </c>
      <c r="D1282" s="9">
        <v>0</v>
      </c>
      <c r="E1282" s="8">
        <v>0</v>
      </c>
      <c r="F1282" s="8">
        <v>0</v>
      </c>
      <c r="G1282" s="18">
        <v>0</v>
      </c>
      <c r="H1282" s="240">
        <v>0</v>
      </c>
      <c r="I1282" s="240">
        <v>0</v>
      </c>
      <c r="J1282" s="240">
        <v>0</v>
      </c>
      <c r="K1282" s="240">
        <v>0</v>
      </c>
      <c r="L1282" s="240">
        <v>0</v>
      </c>
      <c r="M1282" s="240">
        <v>0</v>
      </c>
      <c r="N1282" s="240">
        <v>0</v>
      </c>
    </row>
    <row r="1283" spans="1:14" x14ac:dyDescent="0.3">
      <c r="A1283" s="135" t="s">
        <v>462</v>
      </c>
      <c r="B1283" s="137" t="s">
        <v>414</v>
      </c>
      <c r="C1283" s="137">
        <v>21</v>
      </c>
      <c r="D1283" s="9">
        <v>0</v>
      </c>
      <c r="E1283" s="8">
        <v>0</v>
      </c>
      <c r="F1283" s="8">
        <v>0</v>
      </c>
      <c r="G1283" s="18">
        <v>0</v>
      </c>
      <c r="H1283" s="240">
        <v>0</v>
      </c>
      <c r="I1283" s="240">
        <v>0</v>
      </c>
      <c r="J1283" s="240">
        <v>0</v>
      </c>
      <c r="K1283" s="240">
        <v>0</v>
      </c>
      <c r="L1283" s="240">
        <v>0</v>
      </c>
      <c r="M1283" s="240">
        <v>0</v>
      </c>
      <c r="N1283" s="240">
        <v>0</v>
      </c>
    </row>
    <row r="1284" spans="1:14" x14ac:dyDescent="0.3">
      <c r="A1284" s="135" t="s">
        <v>462</v>
      </c>
      <c r="B1284" s="137" t="s">
        <v>414</v>
      </c>
      <c r="C1284" s="137">
        <v>22</v>
      </c>
      <c r="D1284" s="9">
        <v>0</v>
      </c>
      <c r="E1284" s="8">
        <v>0</v>
      </c>
      <c r="F1284" s="8">
        <v>0</v>
      </c>
      <c r="G1284" s="18">
        <v>0</v>
      </c>
      <c r="H1284" s="240">
        <v>0</v>
      </c>
      <c r="I1284" s="240">
        <v>0</v>
      </c>
      <c r="J1284" s="240">
        <v>0</v>
      </c>
      <c r="K1284" s="240">
        <v>0</v>
      </c>
      <c r="L1284" s="240">
        <v>0</v>
      </c>
      <c r="M1284" s="240">
        <v>0</v>
      </c>
      <c r="N1284" s="240">
        <v>0</v>
      </c>
    </row>
    <row r="1285" spans="1:14" x14ac:dyDescent="0.3">
      <c r="A1285" s="135" t="s">
        <v>462</v>
      </c>
      <c r="B1285" s="137" t="s">
        <v>414</v>
      </c>
      <c r="C1285" s="137">
        <v>23</v>
      </c>
      <c r="D1285" s="9">
        <v>0</v>
      </c>
      <c r="E1285" s="8">
        <v>0</v>
      </c>
      <c r="F1285" s="8">
        <v>0</v>
      </c>
      <c r="G1285" s="18">
        <v>0</v>
      </c>
      <c r="H1285" s="240">
        <v>0</v>
      </c>
      <c r="I1285" s="240">
        <v>0</v>
      </c>
      <c r="J1285" s="240">
        <v>0</v>
      </c>
      <c r="K1285" s="240">
        <v>0</v>
      </c>
      <c r="L1285" s="240">
        <v>0</v>
      </c>
      <c r="M1285" s="240">
        <v>0</v>
      </c>
      <c r="N1285" s="240">
        <v>0</v>
      </c>
    </row>
    <row r="1286" spans="1:14" x14ac:dyDescent="0.3">
      <c r="A1286" s="135" t="s">
        <v>462</v>
      </c>
      <c r="B1286" s="137" t="s">
        <v>414</v>
      </c>
      <c r="C1286" s="137">
        <v>24</v>
      </c>
      <c r="D1286" s="9">
        <v>0</v>
      </c>
      <c r="E1286" s="8">
        <v>0</v>
      </c>
      <c r="F1286" s="8">
        <v>0</v>
      </c>
      <c r="G1286" s="18">
        <v>0</v>
      </c>
      <c r="H1286" s="240">
        <v>0</v>
      </c>
      <c r="I1286" s="240">
        <v>0</v>
      </c>
      <c r="J1286" s="240">
        <v>0</v>
      </c>
      <c r="K1286" s="240">
        <v>0</v>
      </c>
      <c r="L1286" s="240">
        <v>0</v>
      </c>
      <c r="M1286" s="240">
        <v>0</v>
      </c>
      <c r="N1286" s="240">
        <v>0</v>
      </c>
    </row>
    <row r="1287" spans="1:14" x14ac:dyDescent="0.3">
      <c r="A1287" s="135" t="s">
        <v>462</v>
      </c>
      <c r="B1287" s="137" t="s">
        <v>414</v>
      </c>
      <c r="C1287" s="137">
        <v>25</v>
      </c>
      <c r="D1287" s="9">
        <v>0</v>
      </c>
      <c r="E1287" s="8">
        <v>0</v>
      </c>
      <c r="F1287" s="8">
        <v>0</v>
      </c>
      <c r="G1287" s="18">
        <v>0</v>
      </c>
      <c r="H1287" s="240">
        <v>0</v>
      </c>
      <c r="I1287" s="240">
        <v>0</v>
      </c>
      <c r="J1287" s="240">
        <v>0</v>
      </c>
      <c r="K1287" s="240">
        <v>0</v>
      </c>
      <c r="L1287" s="240">
        <v>0</v>
      </c>
      <c r="M1287" s="240">
        <v>0</v>
      </c>
      <c r="N1287" s="240">
        <v>0</v>
      </c>
    </row>
    <row r="1288" spans="1:14" x14ac:dyDescent="0.3">
      <c r="A1288" s="135" t="s">
        <v>462</v>
      </c>
      <c r="B1288" s="137" t="s">
        <v>414</v>
      </c>
      <c r="C1288" s="137">
        <v>26</v>
      </c>
      <c r="D1288" s="9">
        <v>0</v>
      </c>
      <c r="E1288" s="8">
        <v>0</v>
      </c>
      <c r="F1288" s="8">
        <v>0</v>
      </c>
      <c r="G1288" s="18">
        <v>0</v>
      </c>
      <c r="H1288" s="240">
        <v>0</v>
      </c>
      <c r="I1288" s="240">
        <v>0</v>
      </c>
      <c r="J1288" s="240">
        <v>0</v>
      </c>
      <c r="K1288" s="240">
        <v>0</v>
      </c>
      <c r="L1288" s="240">
        <v>0</v>
      </c>
      <c r="M1288" s="240">
        <v>0</v>
      </c>
      <c r="N1288" s="240">
        <v>0</v>
      </c>
    </row>
    <row r="1289" spans="1:14" x14ac:dyDescent="0.3">
      <c r="A1289" s="135" t="s">
        <v>462</v>
      </c>
      <c r="B1289" s="137" t="s">
        <v>414</v>
      </c>
      <c r="C1289" s="137">
        <v>27</v>
      </c>
      <c r="D1289" s="9">
        <v>0</v>
      </c>
      <c r="E1289" s="8">
        <v>0</v>
      </c>
      <c r="F1289" s="8">
        <v>0</v>
      </c>
      <c r="G1289" s="18">
        <v>0</v>
      </c>
      <c r="H1289" s="240">
        <v>0</v>
      </c>
      <c r="I1289" s="240">
        <v>0</v>
      </c>
      <c r="J1289" s="240">
        <v>0</v>
      </c>
      <c r="K1289" s="240">
        <v>0</v>
      </c>
      <c r="L1289" s="240">
        <v>0</v>
      </c>
      <c r="M1289" s="240">
        <v>0</v>
      </c>
      <c r="N1289" s="240">
        <v>0</v>
      </c>
    </row>
    <row r="1290" spans="1:14" x14ac:dyDescent="0.3">
      <c r="A1290" s="135" t="s">
        <v>462</v>
      </c>
      <c r="B1290" s="137" t="s">
        <v>414</v>
      </c>
      <c r="C1290" s="137">
        <v>28</v>
      </c>
      <c r="D1290" s="9">
        <v>0</v>
      </c>
      <c r="E1290" s="8">
        <v>0</v>
      </c>
      <c r="F1290" s="8">
        <v>0</v>
      </c>
      <c r="G1290" s="18">
        <v>0</v>
      </c>
      <c r="H1290" s="240">
        <v>0</v>
      </c>
      <c r="I1290" s="240">
        <v>0</v>
      </c>
      <c r="J1290" s="240">
        <v>0</v>
      </c>
      <c r="K1290" s="240">
        <v>0</v>
      </c>
      <c r="L1290" s="240">
        <v>0</v>
      </c>
      <c r="M1290" s="240">
        <v>0</v>
      </c>
      <c r="N1290" s="240">
        <v>0</v>
      </c>
    </row>
    <row r="1291" spans="1:14" x14ac:dyDescent="0.3">
      <c r="A1291" s="135" t="s">
        <v>462</v>
      </c>
      <c r="B1291" s="137" t="s">
        <v>414</v>
      </c>
      <c r="C1291" s="137">
        <v>29</v>
      </c>
      <c r="D1291" s="9">
        <v>0</v>
      </c>
      <c r="E1291" s="8">
        <v>0</v>
      </c>
      <c r="F1291" s="8">
        <v>0</v>
      </c>
      <c r="G1291" s="18">
        <v>0</v>
      </c>
      <c r="H1291" s="240">
        <v>0</v>
      </c>
      <c r="I1291" s="240">
        <v>0</v>
      </c>
      <c r="J1291" s="240">
        <v>0</v>
      </c>
      <c r="K1291" s="240">
        <v>0</v>
      </c>
      <c r="L1291" s="240">
        <v>0</v>
      </c>
      <c r="M1291" s="240">
        <v>0</v>
      </c>
      <c r="N1291" s="240">
        <v>0</v>
      </c>
    </row>
    <row r="1292" spans="1:14" x14ac:dyDescent="0.3">
      <c r="A1292" s="138" t="s">
        <v>462</v>
      </c>
      <c r="B1292" s="137" t="s">
        <v>414</v>
      </c>
      <c r="C1292" s="137">
        <v>30</v>
      </c>
      <c r="D1292" s="9">
        <v>0</v>
      </c>
      <c r="E1292" s="8">
        <v>0</v>
      </c>
      <c r="F1292" s="8">
        <v>0</v>
      </c>
      <c r="G1292" s="18">
        <v>0</v>
      </c>
      <c r="H1292" s="240">
        <v>0</v>
      </c>
      <c r="I1292" s="240">
        <v>0</v>
      </c>
      <c r="J1292" s="240">
        <v>0</v>
      </c>
      <c r="K1292" s="240">
        <v>0</v>
      </c>
      <c r="L1292" s="240">
        <v>0</v>
      </c>
      <c r="M1292" s="240">
        <v>0</v>
      </c>
      <c r="N1292" s="240">
        <v>0</v>
      </c>
    </row>
    <row r="1293" spans="1:14" x14ac:dyDescent="0.3">
      <c r="A1293" s="142" t="s">
        <v>462</v>
      </c>
      <c r="B1293" s="143" t="s">
        <v>415</v>
      </c>
      <c r="C1293" s="143">
        <v>1</v>
      </c>
      <c r="D1293" s="9">
        <v>0</v>
      </c>
      <c r="E1293" s="8">
        <v>0</v>
      </c>
      <c r="F1293" s="8">
        <v>0</v>
      </c>
      <c r="G1293" s="18">
        <v>0</v>
      </c>
      <c r="H1293" s="240">
        <v>0</v>
      </c>
      <c r="I1293" s="240">
        <v>0</v>
      </c>
      <c r="J1293" s="240">
        <v>0</v>
      </c>
      <c r="K1293" s="240">
        <v>0</v>
      </c>
      <c r="L1293" s="240">
        <v>0</v>
      </c>
      <c r="M1293" s="240">
        <v>0</v>
      </c>
      <c r="N1293" s="240">
        <v>0</v>
      </c>
    </row>
    <row r="1294" spans="1:14" x14ac:dyDescent="0.3">
      <c r="A1294" s="135" t="s">
        <v>462</v>
      </c>
      <c r="B1294" s="136" t="s">
        <v>415</v>
      </c>
      <c r="C1294" s="137">
        <v>2</v>
      </c>
      <c r="D1294" s="9">
        <v>0</v>
      </c>
      <c r="E1294" s="8">
        <v>0</v>
      </c>
      <c r="F1294" s="8">
        <v>0</v>
      </c>
      <c r="G1294" s="18">
        <v>0</v>
      </c>
      <c r="H1294" s="240">
        <v>0</v>
      </c>
      <c r="I1294" s="240">
        <v>0</v>
      </c>
      <c r="J1294" s="240">
        <v>0</v>
      </c>
      <c r="K1294" s="240">
        <v>0</v>
      </c>
      <c r="L1294" s="240">
        <v>0</v>
      </c>
      <c r="M1294" s="240">
        <v>0</v>
      </c>
      <c r="N1294" s="240">
        <v>0</v>
      </c>
    </row>
    <row r="1295" spans="1:14" x14ac:dyDescent="0.3">
      <c r="A1295" s="135" t="s">
        <v>462</v>
      </c>
      <c r="B1295" s="137" t="s">
        <v>415</v>
      </c>
      <c r="C1295" s="137">
        <v>3</v>
      </c>
      <c r="D1295" s="9">
        <v>0</v>
      </c>
      <c r="E1295" s="8">
        <v>0</v>
      </c>
      <c r="F1295" s="8">
        <v>0</v>
      </c>
      <c r="G1295" s="18">
        <v>0</v>
      </c>
      <c r="H1295" s="240">
        <v>0</v>
      </c>
      <c r="I1295" s="240">
        <v>0</v>
      </c>
      <c r="J1295" s="240">
        <v>0</v>
      </c>
      <c r="K1295" s="240">
        <v>0</v>
      </c>
      <c r="L1295" s="240">
        <v>0</v>
      </c>
      <c r="M1295" s="240">
        <v>0</v>
      </c>
      <c r="N1295" s="240">
        <v>0</v>
      </c>
    </row>
    <row r="1296" spans="1:14" x14ac:dyDescent="0.3">
      <c r="A1296" s="135" t="s">
        <v>462</v>
      </c>
      <c r="B1296" s="137" t="s">
        <v>415</v>
      </c>
      <c r="C1296" s="137">
        <v>4</v>
      </c>
      <c r="D1296" s="9">
        <v>0</v>
      </c>
      <c r="E1296" s="8">
        <v>0</v>
      </c>
      <c r="F1296" s="8">
        <v>0</v>
      </c>
      <c r="G1296" s="18">
        <v>0</v>
      </c>
      <c r="H1296" s="240">
        <v>0</v>
      </c>
      <c r="I1296" s="240">
        <v>0</v>
      </c>
      <c r="J1296" s="240">
        <v>0</v>
      </c>
      <c r="K1296" s="240">
        <v>0</v>
      </c>
      <c r="L1296" s="240">
        <v>0</v>
      </c>
      <c r="M1296" s="240">
        <v>0</v>
      </c>
      <c r="N1296" s="240">
        <v>0</v>
      </c>
    </row>
    <row r="1297" spans="1:14" x14ac:dyDescent="0.3">
      <c r="A1297" s="135" t="s">
        <v>462</v>
      </c>
      <c r="B1297" s="137" t="s">
        <v>415</v>
      </c>
      <c r="C1297" s="137">
        <v>5</v>
      </c>
      <c r="D1297" s="9">
        <v>0</v>
      </c>
      <c r="E1297" s="8">
        <v>0</v>
      </c>
      <c r="F1297" s="8">
        <v>0</v>
      </c>
      <c r="G1297" s="18">
        <v>0</v>
      </c>
      <c r="H1297" s="240">
        <v>0</v>
      </c>
      <c r="I1297" s="240">
        <v>0</v>
      </c>
      <c r="J1297" s="240">
        <v>0</v>
      </c>
      <c r="K1297" s="240">
        <v>0</v>
      </c>
      <c r="L1297" s="240">
        <v>0</v>
      </c>
      <c r="M1297" s="240">
        <v>0</v>
      </c>
      <c r="N1297" s="240">
        <v>0</v>
      </c>
    </row>
    <row r="1298" spans="1:14" x14ac:dyDescent="0.3">
      <c r="A1298" s="135" t="s">
        <v>462</v>
      </c>
      <c r="B1298" s="137" t="s">
        <v>415</v>
      </c>
      <c r="C1298" s="137">
        <v>6</v>
      </c>
      <c r="D1298" s="9">
        <v>0</v>
      </c>
      <c r="E1298" s="8">
        <v>0</v>
      </c>
      <c r="F1298" s="8">
        <v>0</v>
      </c>
      <c r="G1298" s="18">
        <v>0</v>
      </c>
      <c r="H1298" s="240">
        <v>0</v>
      </c>
      <c r="I1298" s="240">
        <v>0</v>
      </c>
      <c r="J1298" s="240">
        <v>0</v>
      </c>
      <c r="K1298" s="240">
        <v>0</v>
      </c>
      <c r="L1298" s="240">
        <v>0</v>
      </c>
      <c r="M1298" s="240">
        <v>0</v>
      </c>
      <c r="N1298" s="240">
        <v>0</v>
      </c>
    </row>
    <row r="1299" spans="1:14" x14ac:dyDescent="0.3">
      <c r="A1299" s="135" t="s">
        <v>462</v>
      </c>
      <c r="B1299" s="137" t="s">
        <v>415</v>
      </c>
      <c r="C1299" s="137">
        <v>7</v>
      </c>
      <c r="D1299" s="9">
        <v>0</v>
      </c>
      <c r="E1299" s="8">
        <v>0</v>
      </c>
      <c r="F1299" s="8">
        <v>0</v>
      </c>
      <c r="G1299" s="18">
        <v>0</v>
      </c>
      <c r="H1299" s="240">
        <v>0</v>
      </c>
      <c r="I1299" s="240">
        <v>0</v>
      </c>
      <c r="J1299" s="240">
        <v>0</v>
      </c>
      <c r="K1299" s="240">
        <v>0</v>
      </c>
      <c r="L1299" s="240">
        <v>0</v>
      </c>
      <c r="M1299" s="240">
        <v>0</v>
      </c>
      <c r="N1299" s="240">
        <v>0</v>
      </c>
    </row>
    <row r="1300" spans="1:14" x14ac:dyDescent="0.3">
      <c r="A1300" s="135" t="s">
        <v>462</v>
      </c>
      <c r="B1300" s="137" t="s">
        <v>415</v>
      </c>
      <c r="C1300" s="137">
        <v>8</v>
      </c>
      <c r="D1300" s="9">
        <v>0</v>
      </c>
      <c r="E1300" s="8">
        <v>0</v>
      </c>
      <c r="F1300" s="8">
        <v>0</v>
      </c>
      <c r="G1300" s="18">
        <v>0</v>
      </c>
      <c r="H1300" s="240">
        <v>0</v>
      </c>
      <c r="I1300" s="240">
        <v>0</v>
      </c>
      <c r="J1300" s="240">
        <v>0</v>
      </c>
      <c r="K1300" s="240">
        <v>0</v>
      </c>
      <c r="L1300" s="240">
        <v>0</v>
      </c>
      <c r="M1300" s="240">
        <v>0</v>
      </c>
      <c r="N1300" s="240">
        <v>0</v>
      </c>
    </row>
    <row r="1301" spans="1:14" x14ac:dyDescent="0.3">
      <c r="A1301" s="135" t="s">
        <v>462</v>
      </c>
      <c r="B1301" s="137" t="s">
        <v>415</v>
      </c>
      <c r="C1301" s="137">
        <v>9</v>
      </c>
      <c r="D1301" s="9">
        <v>0</v>
      </c>
      <c r="E1301" s="8">
        <v>0</v>
      </c>
      <c r="F1301" s="8">
        <v>0</v>
      </c>
      <c r="G1301" s="18">
        <v>0</v>
      </c>
      <c r="H1301" s="240">
        <v>0</v>
      </c>
      <c r="I1301" s="240">
        <v>0</v>
      </c>
      <c r="J1301" s="240">
        <v>0</v>
      </c>
      <c r="K1301" s="240">
        <v>0</v>
      </c>
      <c r="L1301" s="240">
        <v>0</v>
      </c>
      <c r="M1301" s="240">
        <v>0</v>
      </c>
      <c r="N1301" s="240">
        <v>0</v>
      </c>
    </row>
    <row r="1302" spans="1:14" x14ac:dyDescent="0.3">
      <c r="A1302" s="135" t="s">
        <v>462</v>
      </c>
      <c r="B1302" s="137" t="s">
        <v>415</v>
      </c>
      <c r="C1302" s="137">
        <v>10</v>
      </c>
      <c r="D1302" s="9">
        <v>0</v>
      </c>
      <c r="E1302" s="8">
        <v>0</v>
      </c>
      <c r="F1302" s="8">
        <v>0</v>
      </c>
      <c r="G1302" s="18">
        <v>0</v>
      </c>
      <c r="H1302" s="240">
        <v>0</v>
      </c>
      <c r="I1302" s="240">
        <v>0</v>
      </c>
      <c r="J1302" s="240">
        <v>0</v>
      </c>
      <c r="K1302" s="240">
        <v>0</v>
      </c>
      <c r="L1302" s="240">
        <v>0</v>
      </c>
      <c r="M1302" s="240">
        <v>0</v>
      </c>
      <c r="N1302" s="240">
        <v>0</v>
      </c>
    </row>
    <row r="1303" spans="1:14" x14ac:dyDescent="0.3">
      <c r="A1303" s="135" t="s">
        <v>462</v>
      </c>
      <c r="B1303" s="137" t="s">
        <v>415</v>
      </c>
      <c r="C1303" s="137">
        <v>11</v>
      </c>
      <c r="D1303" s="9">
        <v>0</v>
      </c>
      <c r="E1303" s="8">
        <v>0</v>
      </c>
      <c r="F1303" s="8">
        <v>0</v>
      </c>
      <c r="G1303" s="18">
        <v>0</v>
      </c>
      <c r="H1303" s="240">
        <v>0</v>
      </c>
      <c r="I1303" s="240">
        <v>0</v>
      </c>
      <c r="J1303" s="240">
        <v>0</v>
      </c>
      <c r="K1303" s="240">
        <v>0</v>
      </c>
      <c r="L1303" s="240">
        <v>0</v>
      </c>
      <c r="M1303" s="240">
        <v>0</v>
      </c>
      <c r="N1303" s="240">
        <v>0</v>
      </c>
    </row>
    <row r="1304" spans="1:14" x14ac:dyDescent="0.3">
      <c r="A1304" s="135" t="s">
        <v>462</v>
      </c>
      <c r="B1304" s="137" t="s">
        <v>415</v>
      </c>
      <c r="C1304" s="137">
        <v>12</v>
      </c>
      <c r="D1304" s="9">
        <v>0</v>
      </c>
      <c r="E1304" s="8">
        <v>0</v>
      </c>
      <c r="F1304" s="8">
        <v>0</v>
      </c>
      <c r="G1304" s="18">
        <v>0</v>
      </c>
      <c r="H1304" s="240">
        <v>0</v>
      </c>
      <c r="I1304" s="240">
        <v>0</v>
      </c>
      <c r="J1304" s="240">
        <v>0</v>
      </c>
      <c r="K1304" s="240">
        <v>0</v>
      </c>
      <c r="L1304" s="240">
        <v>0</v>
      </c>
      <c r="M1304" s="240">
        <v>0</v>
      </c>
      <c r="N1304" s="240">
        <v>0</v>
      </c>
    </row>
    <row r="1305" spans="1:14" x14ac:dyDescent="0.3">
      <c r="A1305" s="135" t="s">
        <v>462</v>
      </c>
      <c r="B1305" s="137" t="s">
        <v>415</v>
      </c>
      <c r="C1305" s="137">
        <v>13</v>
      </c>
      <c r="D1305" s="9">
        <v>0</v>
      </c>
      <c r="E1305" s="8">
        <v>0</v>
      </c>
      <c r="F1305" s="8">
        <v>0</v>
      </c>
      <c r="G1305" s="18">
        <v>0</v>
      </c>
      <c r="H1305" s="240">
        <v>0</v>
      </c>
      <c r="I1305" s="240">
        <v>0</v>
      </c>
      <c r="J1305" s="240">
        <v>0</v>
      </c>
      <c r="K1305" s="240">
        <v>0</v>
      </c>
      <c r="L1305" s="240">
        <v>0</v>
      </c>
      <c r="M1305" s="240">
        <v>0</v>
      </c>
      <c r="N1305" s="240">
        <v>0</v>
      </c>
    </row>
    <row r="1306" spans="1:14" x14ac:dyDescent="0.3">
      <c r="A1306" s="135" t="s">
        <v>462</v>
      </c>
      <c r="B1306" s="137" t="s">
        <v>415</v>
      </c>
      <c r="C1306" s="137">
        <v>14</v>
      </c>
      <c r="D1306" s="9">
        <v>0</v>
      </c>
      <c r="E1306" s="8">
        <v>0</v>
      </c>
      <c r="F1306" s="8">
        <v>0</v>
      </c>
      <c r="G1306" s="18">
        <v>0</v>
      </c>
      <c r="H1306" s="240">
        <v>0</v>
      </c>
      <c r="I1306" s="240">
        <v>0</v>
      </c>
      <c r="J1306" s="240">
        <v>0</v>
      </c>
      <c r="K1306" s="240">
        <v>0</v>
      </c>
      <c r="L1306" s="240">
        <v>0</v>
      </c>
      <c r="M1306" s="240">
        <v>0</v>
      </c>
      <c r="N1306" s="240">
        <v>0</v>
      </c>
    </row>
    <row r="1307" spans="1:14" x14ac:dyDescent="0.3">
      <c r="A1307" s="135" t="s">
        <v>462</v>
      </c>
      <c r="B1307" s="137" t="s">
        <v>415</v>
      </c>
      <c r="C1307" s="137">
        <v>15</v>
      </c>
      <c r="D1307" s="9">
        <v>0</v>
      </c>
      <c r="E1307" s="8">
        <v>0</v>
      </c>
      <c r="F1307" s="8">
        <v>0</v>
      </c>
      <c r="G1307" s="18">
        <v>0</v>
      </c>
      <c r="H1307" s="240">
        <v>0</v>
      </c>
      <c r="I1307" s="240">
        <v>0</v>
      </c>
      <c r="J1307" s="240">
        <v>0</v>
      </c>
      <c r="K1307" s="240">
        <v>0</v>
      </c>
      <c r="L1307" s="240">
        <v>0</v>
      </c>
      <c r="M1307" s="240">
        <v>0</v>
      </c>
      <c r="N1307" s="240">
        <v>0</v>
      </c>
    </row>
    <row r="1308" spans="1:14" x14ac:dyDescent="0.3">
      <c r="A1308" s="135" t="s">
        <v>462</v>
      </c>
      <c r="B1308" s="137" t="s">
        <v>415</v>
      </c>
      <c r="C1308" s="137">
        <v>16</v>
      </c>
      <c r="D1308" s="9">
        <v>0</v>
      </c>
      <c r="E1308" s="8">
        <v>0</v>
      </c>
      <c r="F1308" s="8">
        <v>0</v>
      </c>
      <c r="G1308" s="18">
        <v>0</v>
      </c>
      <c r="H1308" s="240">
        <v>0</v>
      </c>
      <c r="I1308" s="240">
        <v>0</v>
      </c>
      <c r="J1308" s="240">
        <v>0</v>
      </c>
      <c r="K1308" s="240">
        <v>0</v>
      </c>
      <c r="L1308" s="240">
        <v>0</v>
      </c>
      <c r="M1308" s="240">
        <v>0</v>
      </c>
      <c r="N1308" s="240">
        <v>0</v>
      </c>
    </row>
    <row r="1309" spans="1:14" x14ac:dyDescent="0.3">
      <c r="A1309" s="135" t="s">
        <v>462</v>
      </c>
      <c r="B1309" s="137" t="s">
        <v>415</v>
      </c>
      <c r="C1309" s="137">
        <v>17</v>
      </c>
      <c r="D1309" s="9">
        <v>0</v>
      </c>
      <c r="E1309" s="8">
        <v>0</v>
      </c>
      <c r="F1309" s="8">
        <v>0</v>
      </c>
      <c r="G1309" s="18">
        <v>0</v>
      </c>
      <c r="H1309" s="240">
        <v>0</v>
      </c>
      <c r="I1309" s="240">
        <v>0</v>
      </c>
      <c r="J1309" s="240">
        <v>0</v>
      </c>
      <c r="K1309" s="240">
        <v>0</v>
      </c>
      <c r="L1309" s="240">
        <v>0</v>
      </c>
      <c r="M1309" s="240">
        <v>0</v>
      </c>
      <c r="N1309" s="240">
        <v>0</v>
      </c>
    </row>
    <row r="1310" spans="1:14" x14ac:dyDescent="0.3">
      <c r="A1310" s="135" t="s">
        <v>462</v>
      </c>
      <c r="B1310" s="137" t="s">
        <v>415</v>
      </c>
      <c r="C1310" s="137">
        <v>18</v>
      </c>
      <c r="D1310" s="9">
        <v>0</v>
      </c>
      <c r="E1310" s="8">
        <v>0</v>
      </c>
      <c r="F1310" s="8">
        <v>0</v>
      </c>
      <c r="G1310" s="18">
        <v>0</v>
      </c>
      <c r="H1310" s="240">
        <v>0</v>
      </c>
      <c r="I1310" s="240">
        <v>0</v>
      </c>
      <c r="J1310" s="240">
        <v>0</v>
      </c>
      <c r="K1310" s="240">
        <v>0</v>
      </c>
      <c r="L1310" s="240">
        <v>0</v>
      </c>
      <c r="M1310" s="240">
        <v>0</v>
      </c>
      <c r="N1310" s="240">
        <v>0</v>
      </c>
    </row>
    <row r="1311" spans="1:14" x14ac:dyDescent="0.3">
      <c r="A1311" s="135" t="s">
        <v>462</v>
      </c>
      <c r="B1311" s="137" t="s">
        <v>415</v>
      </c>
      <c r="C1311" s="137">
        <v>19</v>
      </c>
      <c r="D1311" s="9">
        <v>0</v>
      </c>
      <c r="E1311" s="8">
        <v>0</v>
      </c>
      <c r="F1311" s="8">
        <v>0</v>
      </c>
      <c r="G1311" s="18">
        <v>0</v>
      </c>
      <c r="H1311" s="240">
        <v>0</v>
      </c>
      <c r="I1311" s="240">
        <v>0</v>
      </c>
      <c r="J1311" s="240">
        <v>0</v>
      </c>
      <c r="K1311" s="240">
        <v>0</v>
      </c>
      <c r="L1311" s="240">
        <v>0</v>
      </c>
      <c r="M1311" s="240">
        <v>0</v>
      </c>
      <c r="N1311" s="240">
        <v>0</v>
      </c>
    </row>
    <row r="1312" spans="1:14" x14ac:dyDescent="0.3">
      <c r="A1312" s="135" t="s">
        <v>462</v>
      </c>
      <c r="B1312" s="137" t="s">
        <v>415</v>
      </c>
      <c r="C1312" s="137">
        <v>20</v>
      </c>
      <c r="D1312" s="9">
        <v>0</v>
      </c>
      <c r="E1312" s="8">
        <v>0</v>
      </c>
      <c r="F1312" s="8">
        <v>0</v>
      </c>
      <c r="G1312" s="18">
        <v>0</v>
      </c>
      <c r="H1312" s="240">
        <v>0</v>
      </c>
      <c r="I1312" s="240">
        <v>0</v>
      </c>
      <c r="J1312" s="240">
        <v>0</v>
      </c>
      <c r="K1312" s="240">
        <v>0</v>
      </c>
      <c r="L1312" s="240">
        <v>0</v>
      </c>
      <c r="M1312" s="240">
        <v>0</v>
      </c>
      <c r="N1312" s="240">
        <v>0</v>
      </c>
    </row>
    <row r="1313" spans="1:14" x14ac:dyDescent="0.3">
      <c r="A1313" s="135" t="s">
        <v>462</v>
      </c>
      <c r="B1313" s="137" t="s">
        <v>415</v>
      </c>
      <c r="C1313" s="137">
        <v>21</v>
      </c>
      <c r="D1313" s="9">
        <v>0</v>
      </c>
      <c r="E1313" s="8">
        <v>0</v>
      </c>
      <c r="F1313" s="8">
        <v>0</v>
      </c>
      <c r="G1313" s="18">
        <v>0</v>
      </c>
      <c r="H1313" s="240">
        <v>0</v>
      </c>
      <c r="I1313" s="240">
        <v>0</v>
      </c>
      <c r="J1313" s="240">
        <v>0</v>
      </c>
      <c r="K1313" s="240">
        <v>0</v>
      </c>
      <c r="L1313" s="240">
        <v>0</v>
      </c>
      <c r="M1313" s="240">
        <v>0</v>
      </c>
      <c r="N1313" s="240">
        <v>0</v>
      </c>
    </row>
    <row r="1314" spans="1:14" x14ac:dyDescent="0.3">
      <c r="A1314" s="135" t="s">
        <v>462</v>
      </c>
      <c r="B1314" s="137" t="s">
        <v>415</v>
      </c>
      <c r="C1314" s="137">
        <v>22</v>
      </c>
      <c r="D1314" s="9">
        <v>0</v>
      </c>
      <c r="E1314" s="8">
        <v>0</v>
      </c>
      <c r="F1314" s="8">
        <v>0</v>
      </c>
      <c r="G1314" s="18">
        <v>0</v>
      </c>
      <c r="H1314" s="240">
        <v>0</v>
      </c>
      <c r="I1314" s="240">
        <v>0</v>
      </c>
      <c r="J1314" s="240">
        <v>0</v>
      </c>
      <c r="K1314" s="240">
        <v>0</v>
      </c>
      <c r="L1314" s="240">
        <v>0</v>
      </c>
      <c r="M1314" s="240">
        <v>0</v>
      </c>
      <c r="N1314" s="240">
        <v>0</v>
      </c>
    </row>
    <row r="1315" spans="1:14" x14ac:dyDescent="0.3">
      <c r="A1315" s="135" t="s">
        <v>462</v>
      </c>
      <c r="B1315" s="137" t="s">
        <v>415</v>
      </c>
      <c r="C1315" s="137">
        <v>23</v>
      </c>
      <c r="D1315" s="9">
        <v>0</v>
      </c>
      <c r="E1315" s="8">
        <v>0</v>
      </c>
      <c r="F1315" s="8">
        <v>0</v>
      </c>
      <c r="G1315" s="18">
        <v>0</v>
      </c>
      <c r="H1315" s="240">
        <v>0</v>
      </c>
      <c r="I1315" s="240">
        <v>0</v>
      </c>
      <c r="J1315" s="240">
        <v>0</v>
      </c>
      <c r="K1315" s="240">
        <v>0</v>
      </c>
      <c r="L1315" s="240">
        <v>0</v>
      </c>
      <c r="M1315" s="240">
        <v>0</v>
      </c>
      <c r="N1315" s="240">
        <v>0</v>
      </c>
    </row>
    <row r="1316" spans="1:14" x14ac:dyDescent="0.3">
      <c r="A1316" s="135" t="s">
        <v>462</v>
      </c>
      <c r="B1316" s="137" t="s">
        <v>415</v>
      </c>
      <c r="C1316" s="137">
        <v>24</v>
      </c>
      <c r="D1316" s="9">
        <v>0</v>
      </c>
      <c r="E1316" s="8">
        <v>0</v>
      </c>
      <c r="F1316" s="8">
        <v>0</v>
      </c>
      <c r="G1316" s="18">
        <v>0</v>
      </c>
      <c r="H1316" s="240">
        <v>0</v>
      </c>
      <c r="I1316" s="240">
        <v>0</v>
      </c>
      <c r="J1316" s="240">
        <v>0</v>
      </c>
      <c r="K1316" s="240">
        <v>0</v>
      </c>
      <c r="L1316" s="240">
        <v>0</v>
      </c>
      <c r="M1316" s="240">
        <v>0</v>
      </c>
      <c r="N1316" s="240">
        <v>0</v>
      </c>
    </row>
    <row r="1317" spans="1:14" x14ac:dyDescent="0.3">
      <c r="A1317" s="135" t="s">
        <v>462</v>
      </c>
      <c r="B1317" s="137" t="s">
        <v>415</v>
      </c>
      <c r="C1317" s="137">
        <v>25</v>
      </c>
      <c r="D1317" s="9">
        <v>0</v>
      </c>
      <c r="E1317" s="8">
        <v>0</v>
      </c>
      <c r="F1317" s="8">
        <v>0</v>
      </c>
      <c r="G1317" s="18">
        <v>0</v>
      </c>
      <c r="H1317" s="240">
        <v>0</v>
      </c>
      <c r="I1317" s="240">
        <v>0</v>
      </c>
      <c r="J1317" s="240">
        <v>0</v>
      </c>
      <c r="K1317" s="240">
        <v>0</v>
      </c>
      <c r="L1317" s="240">
        <v>0</v>
      </c>
      <c r="M1317" s="240">
        <v>0</v>
      </c>
      <c r="N1317" s="240">
        <v>0</v>
      </c>
    </row>
    <row r="1318" spans="1:14" x14ac:dyDescent="0.3">
      <c r="A1318" s="135" t="s">
        <v>462</v>
      </c>
      <c r="B1318" s="137" t="s">
        <v>415</v>
      </c>
      <c r="C1318" s="137">
        <v>26</v>
      </c>
      <c r="D1318" s="9">
        <v>0</v>
      </c>
      <c r="E1318" s="8">
        <v>0</v>
      </c>
      <c r="F1318" s="8">
        <v>0</v>
      </c>
      <c r="G1318" s="18">
        <v>0</v>
      </c>
      <c r="H1318" s="240">
        <v>0</v>
      </c>
      <c r="I1318" s="240">
        <v>0</v>
      </c>
      <c r="J1318" s="240">
        <v>0</v>
      </c>
      <c r="K1318" s="240">
        <v>0</v>
      </c>
      <c r="L1318" s="240">
        <v>0</v>
      </c>
      <c r="M1318" s="240">
        <v>0</v>
      </c>
      <c r="N1318" s="240">
        <v>0</v>
      </c>
    </row>
    <row r="1319" spans="1:14" x14ac:dyDescent="0.3">
      <c r="A1319" s="135" t="s">
        <v>462</v>
      </c>
      <c r="B1319" s="137" t="s">
        <v>415</v>
      </c>
      <c r="C1319" s="137">
        <v>27</v>
      </c>
      <c r="D1319" s="9">
        <v>0</v>
      </c>
      <c r="E1319" s="8">
        <v>0</v>
      </c>
      <c r="F1319" s="8">
        <v>0</v>
      </c>
      <c r="G1319" s="18">
        <v>0</v>
      </c>
      <c r="H1319" s="240">
        <v>0</v>
      </c>
      <c r="I1319" s="240">
        <v>0</v>
      </c>
      <c r="J1319" s="240">
        <v>0</v>
      </c>
      <c r="K1319" s="240">
        <v>0</v>
      </c>
      <c r="L1319" s="240">
        <v>0</v>
      </c>
      <c r="M1319" s="240">
        <v>0</v>
      </c>
      <c r="N1319" s="240">
        <v>0</v>
      </c>
    </row>
    <row r="1320" spans="1:14" x14ac:dyDescent="0.3">
      <c r="A1320" s="135" t="s">
        <v>462</v>
      </c>
      <c r="B1320" s="137" t="s">
        <v>415</v>
      </c>
      <c r="C1320" s="137">
        <v>28</v>
      </c>
      <c r="D1320" s="9">
        <v>0</v>
      </c>
      <c r="E1320" s="8">
        <v>0</v>
      </c>
      <c r="F1320" s="8">
        <v>0</v>
      </c>
      <c r="G1320" s="18">
        <v>0</v>
      </c>
      <c r="H1320" s="240">
        <v>0</v>
      </c>
      <c r="I1320" s="240">
        <v>0</v>
      </c>
      <c r="J1320" s="240">
        <v>0</v>
      </c>
      <c r="K1320" s="240">
        <v>0</v>
      </c>
      <c r="L1320" s="240">
        <v>0</v>
      </c>
      <c r="M1320" s="240">
        <v>0</v>
      </c>
      <c r="N1320" s="240">
        <v>0</v>
      </c>
    </row>
    <row r="1321" spans="1:14" x14ac:dyDescent="0.3">
      <c r="A1321" s="135" t="s">
        <v>462</v>
      </c>
      <c r="B1321" s="137" t="s">
        <v>415</v>
      </c>
      <c r="C1321" s="137">
        <v>29</v>
      </c>
      <c r="D1321" s="9">
        <v>0</v>
      </c>
      <c r="E1321" s="8">
        <v>0</v>
      </c>
      <c r="F1321" s="8">
        <v>0</v>
      </c>
      <c r="G1321" s="18">
        <v>0</v>
      </c>
      <c r="H1321" s="240">
        <v>0</v>
      </c>
      <c r="I1321" s="240">
        <v>0</v>
      </c>
      <c r="J1321" s="240">
        <v>0</v>
      </c>
      <c r="K1321" s="240">
        <v>0</v>
      </c>
      <c r="L1321" s="240">
        <v>0</v>
      </c>
      <c r="M1321" s="240">
        <v>0</v>
      </c>
      <c r="N1321" s="240">
        <v>0</v>
      </c>
    </row>
    <row r="1322" spans="1:14" x14ac:dyDescent="0.3">
      <c r="A1322" s="138" t="s">
        <v>462</v>
      </c>
      <c r="B1322" s="137" t="s">
        <v>415</v>
      </c>
      <c r="C1322" s="137">
        <v>30</v>
      </c>
      <c r="D1322" s="9">
        <v>0</v>
      </c>
      <c r="E1322" s="8">
        <v>0</v>
      </c>
      <c r="F1322" s="8">
        <v>0</v>
      </c>
      <c r="G1322" s="18">
        <v>0</v>
      </c>
      <c r="H1322" s="240">
        <v>0</v>
      </c>
      <c r="I1322" s="240">
        <v>0</v>
      </c>
      <c r="J1322" s="240">
        <v>0</v>
      </c>
      <c r="K1322" s="240">
        <v>0</v>
      </c>
      <c r="L1322" s="240">
        <v>0</v>
      </c>
      <c r="M1322" s="240">
        <v>0</v>
      </c>
      <c r="N1322" s="240">
        <v>0</v>
      </c>
    </row>
    <row r="1323" spans="1:14" x14ac:dyDescent="0.3">
      <c r="A1323" s="142" t="s">
        <v>462</v>
      </c>
      <c r="B1323" s="143" t="s">
        <v>422</v>
      </c>
      <c r="C1323" s="143">
        <v>1</v>
      </c>
      <c r="D1323" s="9">
        <v>10.3302</v>
      </c>
      <c r="E1323" s="8">
        <v>2.9257200000000001</v>
      </c>
      <c r="F1323" s="8">
        <v>0.41176800000000002</v>
      </c>
      <c r="G1323" s="18">
        <v>15.25</v>
      </c>
      <c r="H1323" s="240">
        <v>0</v>
      </c>
      <c r="I1323" s="240">
        <v>0</v>
      </c>
      <c r="J1323" s="240">
        <v>0</v>
      </c>
      <c r="K1323" s="240">
        <v>0</v>
      </c>
      <c r="L1323" s="240">
        <v>0</v>
      </c>
      <c r="M1323" s="240">
        <v>0</v>
      </c>
      <c r="N1323" s="240">
        <v>0</v>
      </c>
    </row>
    <row r="1324" spans="1:14" x14ac:dyDescent="0.3">
      <c r="A1324" s="135" t="s">
        <v>462</v>
      </c>
      <c r="B1324" s="136" t="s">
        <v>422</v>
      </c>
      <c r="C1324" s="137">
        <v>2</v>
      </c>
      <c r="D1324" s="9">
        <v>11.638350000000001</v>
      </c>
      <c r="E1324" s="8">
        <v>3.5758800000000002</v>
      </c>
      <c r="F1324" s="8">
        <v>0.85604400000000003</v>
      </c>
      <c r="G1324" s="18">
        <v>14.75</v>
      </c>
      <c r="H1324" s="240">
        <v>0</v>
      </c>
      <c r="I1324" s="240">
        <v>0</v>
      </c>
      <c r="J1324" s="240">
        <v>0</v>
      </c>
      <c r="K1324" s="240">
        <v>0</v>
      </c>
      <c r="L1324" s="240">
        <v>0</v>
      </c>
      <c r="M1324" s="240">
        <v>0</v>
      </c>
      <c r="N1324" s="240">
        <v>0</v>
      </c>
    </row>
    <row r="1325" spans="1:14" x14ac:dyDescent="0.3">
      <c r="A1325" s="135" t="s">
        <v>462</v>
      </c>
      <c r="B1325" s="137" t="s">
        <v>422</v>
      </c>
      <c r="C1325" s="137">
        <v>3</v>
      </c>
      <c r="D1325" s="9">
        <v>12.074400000000001</v>
      </c>
      <c r="E1325" s="8">
        <v>3.7926000000000002</v>
      </c>
      <c r="F1325" s="8">
        <v>1.1775119999999999</v>
      </c>
      <c r="G1325" s="18">
        <v>15.583333</v>
      </c>
      <c r="H1325" s="240">
        <v>0</v>
      </c>
      <c r="I1325" s="240">
        <v>0</v>
      </c>
      <c r="J1325" s="240">
        <v>0</v>
      </c>
      <c r="K1325" s="240">
        <v>0</v>
      </c>
      <c r="L1325" s="240">
        <v>0</v>
      </c>
      <c r="M1325" s="240">
        <v>0</v>
      </c>
      <c r="N1325" s="240">
        <v>0</v>
      </c>
    </row>
    <row r="1326" spans="1:14" x14ac:dyDescent="0.3">
      <c r="A1326" s="135" t="s">
        <v>462</v>
      </c>
      <c r="B1326" s="137" t="s">
        <v>422</v>
      </c>
      <c r="C1326" s="137">
        <v>4</v>
      </c>
      <c r="D1326" s="9">
        <v>12.292425</v>
      </c>
      <c r="E1326" s="8">
        <v>3.90096</v>
      </c>
      <c r="F1326" s="8">
        <v>1.468278</v>
      </c>
      <c r="G1326" s="18">
        <v>16.5625</v>
      </c>
      <c r="H1326" s="240">
        <v>0</v>
      </c>
      <c r="I1326" s="240">
        <v>0</v>
      </c>
      <c r="J1326" s="240">
        <v>0</v>
      </c>
      <c r="K1326" s="240">
        <v>0</v>
      </c>
      <c r="L1326" s="240">
        <v>0</v>
      </c>
      <c r="M1326" s="240">
        <v>0</v>
      </c>
      <c r="N1326" s="240">
        <v>0</v>
      </c>
    </row>
    <row r="1327" spans="1:14" x14ac:dyDescent="0.3">
      <c r="A1327" s="135" t="s">
        <v>462</v>
      </c>
      <c r="B1327" s="137" t="s">
        <v>422</v>
      </c>
      <c r="C1327" s="137">
        <v>5</v>
      </c>
      <c r="D1327" s="9">
        <v>12.42324</v>
      </c>
      <c r="E1327" s="8">
        <v>3.9659759999999999</v>
      </c>
      <c r="F1327" s="8">
        <v>1.7467630000000001</v>
      </c>
      <c r="G1327" s="18">
        <v>17.600000000000001</v>
      </c>
      <c r="H1327" s="240">
        <v>0</v>
      </c>
      <c r="I1327" s="240">
        <v>0</v>
      </c>
      <c r="J1327" s="240">
        <v>0</v>
      </c>
      <c r="K1327" s="240">
        <v>0</v>
      </c>
      <c r="L1327" s="240">
        <v>0</v>
      </c>
      <c r="M1327" s="240">
        <v>0</v>
      </c>
      <c r="N1327" s="240">
        <v>0</v>
      </c>
    </row>
    <row r="1328" spans="1:14" x14ac:dyDescent="0.3">
      <c r="A1328" s="135" t="s">
        <v>462</v>
      </c>
      <c r="B1328" s="137" t="s">
        <v>422</v>
      </c>
      <c r="C1328" s="137">
        <v>6</v>
      </c>
      <c r="D1328" s="9">
        <v>12.510450000000001</v>
      </c>
      <c r="E1328" s="8">
        <v>4.0093199999999998</v>
      </c>
      <c r="F1328" s="8">
        <v>1.957303</v>
      </c>
      <c r="G1328" s="18">
        <v>18.625</v>
      </c>
      <c r="H1328" s="240">
        <v>0</v>
      </c>
      <c r="I1328" s="240">
        <v>0</v>
      </c>
      <c r="J1328" s="240">
        <v>0</v>
      </c>
      <c r="K1328" s="240">
        <v>0</v>
      </c>
      <c r="L1328" s="240">
        <v>0</v>
      </c>
      <c r="M1328" s="240">
        <v>0</v>
      </c>
      <c r="N1328" s="240">
        <v>0</v>
      </c>
    </row>
    <row r="1329" spans="1:14" x14ac:dyDescent="0.3">
      <c r="A1329" s="135" t="s">
        <v>462</v>
      </c>
      <c r="B1329" s="137" t="s">
        <v>422</v>
      </c>
      <c r="C1329" s="137">
        <v>7</v>
      </c>
      <c r="D1329" s="9">
        <v>12.572742999999999</v>
      </c>
      <c r="E1329" s="8">
        <v>4.0402800000000001</v>
      </c>
      <c r="F1329" s="8">
        <v>2.2349679999999998</v>
      </c>
      <c r="G1329" s="18">
        <v>19.607143000000001</v>
      </c>
      <c r="H1329" s="240">
        <v>0</v>
      </c>
      <c r="I1329" s="240">
        <v>0</v>
      </c>
      <c r="J1329" s="240">
        <v>0</v>
      </c>
      <c r="K1329" s="240">
        <v>0</v>
      </c>
      <c r="L1329" s="240">
        <v>0</v>
      </c>
      <c r="M1329" s="240">
        <v>0</v>
      </c>
      <c r="N1329" s="240">
        <v>0</v>
      </c>
    </row>
    <row r="1330" spans="1:14" x14ac:dyDescent="0.3">
      <c r="A1330" s="135" t="s">
        <v>462</v>
      </c>
      <c r="B1330" s="137" t="s">
        <v>422</v>
      </c>
      <c r="C1330" s="137">
        <v>8</v>
      </c>
      <c r="D1330" s="9">
        <v>12.619463</v>
      </c>
      <c r="E1330" s="8">
        <v>4.0635000000000003</v>
      </c>
      <c r="F1330" s="8">
        <v>2.4973969999999999</v>
      </c>
      <c r="G1330" s="18">
        <v>20.59375</v>
      </c>
      <c r="H1330" s="240">
        <v>0</v>
      </c>
      <c r="I1330" s="240">
        <v>0</v>
      </c>
      <c r="J1330" s="240">
        <v>0</v>
      </c>
      <c r="K1330" s="240">
        <v>0</v>
      </c>
      <c r="L1330" s="240">
        <v>0</v>
      </c>
      <c r="M1330" s="240">
        <v>0</v>
      </c>
      <c r="N1330" s="240">
        <v>0</v>
      </c>
    </row>
    <row r="1331" spans="1:14" x14ac:dyDescent="0.3">
      <c r="A1331" s="135" t="s">
        <v>462</v>
      </c>
      <c r="B1331" s="137" t="s">
        <v>422</v>
      </c>
      <c r="C1331" s="137">
        <v>9</v>
      </c>
      <c r="D1331" s="9">
        <v>12.655799999999999</v>
      </c>
      <c r="E1331" s="8">
        <v>4.0815599999999996</v>
      </c>
      <c r="F1331" s="8">
        <v>2.701508</v>
      </c>
      <c r="G1331" s="18">
        <v>21.527778000000001</v>
      </c>
      <c r="H1331" s="240">
        <v>0</v>
      </c>
      <c r="I1331" s="240">
        <v>0</v>
      </c>
      <c r="J1331" s="240">
        <v>0</v>
      </c>
      <c r="K1331" s="240">
        <v>0</v>
      </c>
      <c r="L1331" s="240">
        <v>0</v>
      </c>
      <c r="M1331" s="240">
        <v>0</v>
      </c>
      <c r="N1331" s="240">
        <v>0</v>
      </c>
    </row>
    <row r="1332" spans="1:14" x14ac:dyDescent="0.3">
      <c r="A1332" s="135" t="s">
        <v>462</v>
      </c>
      <c r="B1332" s="137" t="s">
        <v>422</v>
      </c>
      <c r="C1332" s="137">
        <v>10</v>
      </c>
      <c r="D1332" s="9">
        <v>12.68487</v>
      </c>
      <c r="E1332" s="8">
        <v>4.0960080000000003</v>
      </c>
      <c r="F1332" s="8">
        <v>3.003498</v>
      </c>
      <c r="G1332" s="18">
        <v>22.45</v>
      </c>
      <c r="H1332" s="240">
        <v>0</v>
      </c>
      <c r="I1332" s="240">
        <v>0</v>
      </c>
      <c r="J1332" s="240">
        <v>0</v>
      </c>
      <c r="K1332" s="240">
        <v>0</v>
      </c>
      <c r="L1332" s="240">
        <v>0</v>
      </c>
      <c r="M1332" s="240">
        <v>0</v>
      </c>
      <c r="N1332" s="240">
        <v>0</v>
      </c>
    </row>
    <row r="1333" spans="1:14" x14ac:dyDescent="0.3">
      <c r="A1333" s="135" t="s">
        <v>462</v>
      </c>
      <c r="B1333" s="137" t="s">
        <v>422</v>
      </c>
      <c r="C1333" s="137">
        <v>11</v>
      </c>
      <c r="D1333" s="9">
        <v>12.708655</v>
      </c>
      <c r="E1333" s="8">
        <v>4.1078289999999997</v>
      </c>
      <c r="F1333" s="8">
        <v>3.2505809999999999</v>
      </c>
      <c r="G1333" s="18">
        <v>23.318182</v>
      </c>
      <c r="H1333" s="240">
        <v>0</v>
      </c>
      <c r="I1333" s="240">
        <v>0</v>
      </c>
      <c r="J1333" s="240">
        <v>0</v>
      </c>
      <c r="K1333" s="240">
        <v>0</v>
      </c>
      <c r="L1333" s="240">
        <v>0</v>
      </c>
      <c r="M1333" s="240">
        <v>0</v>
      </c>
      <c r="N1333" s="240">
        <v>0</v>
      </c>
    </row>
    <row r="1334" spans="1:14" x14ac:dyDescent="0.3">
      <c r="A1334" s="135" t="s">
        <v>462</v>
      </c>
      <c r="B1334" s="137" t="s">
        <v>422</v>
      </c>
      <c r="C1334" s="137">
        <v>12</v>
      </c>
      <c r="D1334" s="9">
        <v>13.025773147595705</v>
      </c>
      <c r="E1334" s="8">
        <v>4.2657015711759145</v>
      </c>
      <c r="F1334" s="8">
        <v>3.5318898134018348</v>
      </c>
      <c r="G1334" s="18">
        <v>24.7456</v>
      </c>
      <c r="H1334" s="240">
        <v>0</v>
      </c>
      <c r="I1334" s="240">
        <v>0</v>
      </c>
      <c r="J1334" s="240">
        <v>0</v>
      </c>
      <c r="K1334" s="240">
        <v>0</v>
      </c>
      <c r="L1334" s="240">
        <v>0</v>
      </c>
      <c r="M1334" s="240">
        <v>0</v>
      </c>
      <c r="N1334" s="240">
        <v>0</v>
      </c>
    </row>
    <row r="1335" spans="1:14" x14ac:dyDescent="0.3">
      <c r="A1335" s="135" t="s">
        <v>462</v>
      </c>
      <c r="B1335" s="137" t="s">
        <v>422</v>
      </c>
      <c r="C1335" s="137">
        <v>13</v>
      </c>
      <c r="D1335" s="9">
        <v>13.097243281277407</v>
      </c>
      <c r="E1335" s="8">
        <v>4.3012245248414303</v>
      </c>
      <c r="F1335" s="8">
        <v>3.7743512423908321</v>
      </c>
      <c r="G1335" s="18">
        <v>25.958400000000001</v>
      </c>
      <c r="H1335" s="240">
        <v>0</v>
      </c>
      <c r="I1335" s="240">
        <v>0</v>
      </c>
      <c r="J1335" s="240">
        <v>0</v>
      </c>
      <c r="K1335" s="240">
        <v>0</v>
      </c>
      <c r="L1335" s="240">
        <v>0</v>
      </c>
      <c r="M1335" s="240">
        <v>0</v>
      </c>
      <c r="N1335" s="240">
        <v>0</v>
      </c>
    </row>
    <row r="1336" spans="1:14" x14ac:dyDescent="0.3">
      <c r="A1336" s="135" t="s">
        <v>462</v>
      </c>
      <c r="B1336" s="137" t="s">
        <v>422</v>
      </c>
      <c r="C1336" s="137">
        <v>14</v>
      </c>
      <c r="D1336" s="9">
        <v>13.163414289613465</v>
      </c>
      <c r="E1336" s="8">
        <v>4.3341136428832518</v>
      </c>
      <c r="F1336" s="8">
        <v>4.0136500913461814</v>
      </c>
      <c r="G1336" s="18">
        <v>27.219200000000001</v>
      </c>
      <c r="H1336" s="240">
        <v>0</v>
      </c>
      <c r="I1336" s="240">
        <v>0</v>
      </c>
      <c r="J1336" s="240">
        <v>0</v>
      </c>
      <c r="K1336" s="240">
        <v>0</v>
      </c>
      <c r="L1336" s="240">
        <v>0</v>
      </c>
      <c r="M1336" s="240">
        <v>0</v>
      </c>
      <c r="N1336" s="240">
        <v>0</v>
      </c>
    </row>
    <row r="1337" spans="1:14" x14ac:dyDescent="0.3">
      <c r="A1337" s="135" t="s">
        <v>462</v>
      </c>
      <c r="B1337" s="137" t="s">
        <v>422</v>
      </c>
      <c r="C1337" s="137">
        <v>15</v>
      </c>
      <c r="D1337" s="9">
        <v>13.225018024564164</v>
      </c>
      <c r="E1337" s="8">
        <v>4.364732679249161</v>
      </c>
      <c r="F1337" s="8">
        <v>4.2500496338098577</v>
      </c>
      <c r="G1337" s="18">
        <v>28.527999999999999</v>
      </c>
      <c r="H1337" s="240">
        <v>0</v>
      </c>
      <c r="I1337" s="240">
        <v>0</v>
      </c>
      <c r="J1337" s="240">
        <v>0</v>
      </c>
      <c r="K1337" s="240">
        <v>0</v>
      </c>
      <c r="L1337" s="240">
        <v>0</v>
      </c>
      <c r="M1337" s="240">
        <v>0</v>
      </c>
      <c r="N1337" s="240">
        <v>0</v>
      </c>
    </row>
    <row r="1338" spans="1:14" x14ac:dyDescent="0.3">
      <c r="A1338" s="135" t="s">
        <v>462</v>
      </c>
      <c r="B1338" s="137" t="s">
        <v>422</v>
      </c>
      <c r="C1338" s="137">
        <v>16</v>
      </c>
      <c r="D1338" s="9">
        <v>13.282644470087901</v>
      </c>
      <c r="E1338" s="8">
        <v>4.3933748749300143</v>
      </c>
      <c r="F1338" s="8">
        <v>4.4837751755686694</v>
      </c>
      <c r="G1338" s="18">
        <v>29.884799999999998</v>
      </c>
      <c r="H1338" s="240">
        <v>0</v>
      </c>
      <c r="I1338" s="240">
        <v>0</v>
      </c>
      <c r="J1338" s="240">
        <v>0</v>
      </c>
      <c r="K1338" s="240">
        <v>0</v>
      </c>
      <c r="L1338" s="240">
        <v>0</v>
      </c>
      <c r="M1338" s="240">
        <v>0</v>
      </c>
      <c r="N1338" s="240">
        <v>0</v>
      </c>
    </row>
    <row r="1339" spans="1:14" x14ac:dyDescent="0.3">
      <c r="A1339" s="135" t="s">
        <v>462</v>
      </c>
      <c r="B1339" s="137" t="s">
        <v>422</v>
      </c>
      <c r="C1339" s="137">
        <v>17</v>
      </c>
      <c r="D1339" s="9">
        <v>13.336776194907795</v>
      </c>
      <c r="E1339" s="8">
        <v>4.4202800820921482</v>
      </c>
      <c r="F1339" s="8">
        <v>4.7150215589461935</v>
      </c>
      <c r="G1339" s="18">
        <v>31.2896</v>
      </c>
      <c r="H1339" s="240">
        <v>0</v>
      </c>
      <c r="I1339" s="240">
        <v>0</v>
      </c>
      <c r="J1339" s="240">
        <v>0</v>
      </c>
      <c r="K1339" s="240">
        <v>0</v>
      </c>
      <c r="L1339" s="240">
        <v>0</v>
      </c>
      <c r="M1339" s="240">
        <v>0</v>
      </c>
      <c r="N1339" s="240">
        <v>0</v>
      </c>
    </row>
    <row r="1340" spans="1:14" x14ac:dyDescent="0.3">
      <c r="A1340" s="135" t="s">
        <v>462</v>
      </c>
      <c r="B1340" s="137" t="s">
        <v>422</v>
      </c>
      <c r="C1340" s="137">
        <v>18</v>
      </c>
      <c r="D1340" s="9">
        <v>13.387812942625485</v>
      </c>
      <c r="E1340" s="8">
        <v>4.4456469861543173</v>
      </c>
      <c r="F1340" s="8">
        <v>4.9439588295889951</v>
      </c>
      <c r="G1340" s="18">
        <v>32.742400000000004</v>
      </c>
      <c r="H1340" s="240">
        <v>0</v>
      </c>
      <c r="I1340" s="240">
        <v>0</v>
      </c>
      <c r="J1340" s="240">
        <v>0</v>
      </c>
      <c r="K1340" s="240">
        <v>0</v>
      </c>
      <c r="L1340" s="240">
        <v>0</v>
      </c>
      <c r="M1340" s="240">
        <v>0</v>
      </c>
      <c r="N1340" s="240">
        <v>0</v>
      </c>
    </row>
    <row r="1341" spans="1:14" x14ac:dyDescent="0.3">
      <c r="A1341" s="135" t="s">
        <v>462</v>
      </c>
      <c r="B1341" s="137" t="s">
        <v>422</v>
      </c>
      <c r="C1341" s="137">
        <v>19</v>
      </c>
      <c r="D1341" s="9">
        <v>13.436089564497715</v>
      </c>
      <c r="E1341" s="8">
        <v>4.4696420189540662</v>
      </c>
      <c r="F1341" s="8">
        <v>5.1707365928759383</v>
      </c>
      <c r="G1341" s="18">
        <v>34.243200000000002</v>
      </c>
      <c r="H1341" s="240">
        <v>0</v>
      </c>
      <c r="I1341" s="240">
        <v>0</v>
      </c>
      <c r="J1341" s="240">
        <v>0</v>
      </c>
      <c r="K1341" s="240">
        <v>0</v>
      </c>
      <c r="L1341" s="240">
        <v>0</v>
      </c>
      <c r="M1341" s="240">
        <v>0</v>
      </c>
      <c r="N1341" s="240">
        <v>0</v>
      </c>
    </row>
    <row r="1342" spans="1:14" x14ac:dyDescent="0.3">
      <c r="A1342" s="135" t="s">
        <v>462</v>
      </c>
      <c r="B1342" s="137" t="s">
        <v>422</v>
      </c>
      <c r="C1342" s="137">
        <v>20</v>
      </c>
      <c r="D1342" s="9">
        <v>13.481889347056359</v>
      </c>
      <c r="E1342" s="8">
        <v>4.4924059830032608</v>
      </c>
      <c r="F1342" s="8">
        <v>5.3954874160292094</v>
      </c>
      <c r="G1342" s="18">
        <v>35.792000000000002</v>
      </c>
      <c r="H1342" s="240">
        <v>0</v>
      </c>
      <c r="I1342" s="240">
        <v>0</v>
      </c>
      <c r="J1342" s="240">
        <v>0</v>
      </c>
      <c r="K1342" s="240">
        <v>0</v>
      </c>
      <c r="L1342" s="240">
        <v>0</v>
      </c>
      <c r="M1342" s="240">
        <v>0</v>
      </c>
      <c r="N1342" s="240">
        <v>0</v>
      </c>
    </row>
    <row r="1343" spans="1:14" x14ac:dyDescent="0.3">
      <c r="A1343" s="135" t="s">
        <v>462</v>
      </c>
      <c r="B1343" s="137" t="s">
        <v>422</v>
      </c>
      <c r="C1343" s="137">
        <v>21</v>
      </c>
      <c r="D1343" s="9">
        <v>13.525454084643245</v>
      </c>
      <c r="E1343" s="8">
        <v>4.5140590578616546</v>
      </c>
      <c r="F1343" s="8">
        <v>5.6183295222562473</v>
      </c>
      <c r="G1343" s="18">
        <v>37.388800000000003</v>
      </c>
      <c r="H1343" s="240">
        <v>0</v>
      </c>
      <c r="I1343" s="240">
        <v>0</v>
      </c>
      <c r="J1343" s="240">
        <v>0</v>
      </c>
      <c r="K1343" s="240">
        <v>0</v>
      </c>
      <c r="L1343" s="240">
        <v>0</v>
      </c>
      <c r="M1343" s="240">
        <v>0</v>
      </c>
      <c r="N1343" s="240">
        <v>0</v>
      </c>
    </row>
    <row r="1344" spans="1:14" x14ac:dyDescent="0.3">
      <c r="A1344" s="135" t="s">
        <v>462</v>
      </c>
      <c r="B1344" s="137" t="s">
        <v>422</v>
      </c>
      <c r="C1344" s="137">
        <v>22</v>
      </c>
      <c r="D1344" s="9">
        <v>13.566991806603641</v>
      </c>
      <c r="E1344" s="8">
        <v>4.5347046408004203</v>
      </c>
      <c r="F1344" s="8">
        <v>5.8393689509536042</v>
      </c>
      <c r="G1344" s="18">
        <v>39.0336</v>
      </c>
      <c r="H1344" s="240">
        <v>0</v>
      </c>
      <c r="I1344" s="240">
        <v>0</v>
      </c>
      <c r="J1344" s="240">
        <v>0</v>
      </c>
      <c r="K1344" s="240">
        <v>0</v>
      </c>
      <c r="L1344" s="240">
        <v>0</v>
      </c>
      <c r="M1344" s="240">
        <v>0</v>
      </c>
      <c r="N1344" s="240">
        <v>0</v>
      </c>
    </row>
    <row r="1345" spans="1:14" x14ac:dyDescent="0.3">
      <c r="A1345" s="135" t="s">
        <v>462</v>
      </c>
      <c r="B1345" s="137" t="s">
        <v>422</v>
      </c>
      <c r="C1345" s="137">
        <v>23</v>
      </c>
      <c r="D1345" s="9">
        <v>13.606682785403137</v>
      </c>
      <c r="E1345" s="8">
        <v>4.5544323330293564</v>
      </c>
      <c r="F1345" s="8">
        <v>6.0587013092519726</v>
      </c>
      <c r="G1345" s="18">
        <v>40.726399999999998</v>
      </c>
      <c r="H1345" s="240">
        <v>0</v>
      </c>
      <c r="I1345" s="240">
        <v>0</v>
      </c>
      <c r="J1345" s="240">
        <v>0</v>
      </c>
      <c r="K1345" s="240">
        <v>0</v>
      </c>
      <c r="L1345" s="240">
        <v>0</v>
      </c>
      <c r="M1345" s="240">
        <v>0</v>
      </c>
      <c r="N1345" s="240">
        <v>0</v>
      </c>
    </row>
    <row r="1346" spans="1:14" x14ac:dyDescent="0.3">
      <c r="A1346" s="135" t="s">
        <v>462</v>
      </c>
      <c r="B1346" s="137" t="s">
        <v>422</v>
      </c>
      <c r="C1346" s="137">
        <v>24</v>
      </c>
      <c r="D1346" s="9">
        <v>13.644684265117682</v>
      </c>
      <c r="E1346" s="8">
        <v>4.573320289908418</v>
      </c>
      <c r="F1346" s="8">
        <v>6.2764132066151177</v>
      </c>
      <c r="G1346" s="18">
        <v>42.467199999999998</v>
      </c>
      <c r="H1346" s="240">
        <v>0</v>
      </c>
      <c r="I1346" s="240">
        <v>0</v>
      </c>
      <c r="J1346" s="240">
        <v>0</v>
      </c>
      <c r="K1346" s="240">
        <v>0</v>
      </c>
      <c r="L1346" s="240">
        <v>0</v>
      </c>
      <c r="M1346" s="240">
        <v>0</v>
      </c>
      <c r="N1346" s="240">
        <v>0</v>
      </c>
    </row>
    <row r="1347" spans="1:14" x14ac:dyDescent="0.3">
      <c r="A1347" s="135" t="s">
        <v>462</v>
      </c>
      <c r="B1347" s="137" t="s">
        <v>422</v>
      </c>
      <c r="C1347" s="137">
        <v>25</v>
      </c>
      <c r="D1347" s="9">
        <v>13.681134224024817</v>
      </c>
      <c r="E1347" s="8">
        <v>4.5914370910765072</v>
      </c>
      <c r="F1347" s="8">
        <v>6.492583440657774</v>
      </c>
      <c r="G1347" s="18">
        <v>44.256</v>
      </c>
      <c r="H1347" s="240">
        <v>0</v>
      </c>
      <c r="I1347" s="240">
        <v>0</v>
      </c>
      <c r="J1347" s="240">
        <v>0</v>
      </c>
      <c r="K1347" s="240">
        <v>0</v>
      </c>
      <c r="L1347" s="240">
        <v>0</v>
      </c>
      <c r="M1347" s="240">
        <v>0</v>
      </c>
      <c r="N1347" s="240">
        <v>0</v>
      </c>
    </row>
    <row r="1348" spans="1:14" x14ac:dyDescent="0.3">
      <c r="A1348" s="135" t="s">
        <v>462</v>
      </c>
      <c r="B1348" s="137" t="s">
        <v>422</v>
      </c>
      <c r="C1348" s="137">
        <v>26</v>
      </c>
      <c r="D1348" s="9">
        <v>13.716154398799382</v>
      </c>
      <c r="E1348" s="8">
        <v>4.6088432435739337</v>
      </c>
      <c r="F1348" s="8">
        <v>6.7072839855467965</v>
      </c>
      <c r="G1348" s="18">
        <v>46.092800000000004</v>
      </c>
      <c r="H1348" s="240">
        <v>0</v>
      </c>
      <c r="I1348" s="240">
        <v>0</v>
      </c>
      <c r="J1348" s="240">
        <v>0</v>
      </c>
      <c r="K1348" s="240">
        <v>0</v>
      </c>
      <c r="L1348" s="240">
        <v>0</v>
      </c>
      <c r="M1348" s="240">
        <v>0</v>
      </c>
      <c r="N1348" s="240">
        <v>0</v>
      </c>
    </row>
    <row r="1349" spans="1:14" x14ac:dyDescent="0.3">
      <c r="A1349" s="135" t="s">
        <v>462</v>
      </c>
      <c r="B1349" s="137" t="s">
        <v>422</v>
      </c>
      <c r="C1349" s="137">
        <v>27</v>
      </c>
      <c r="D1349" s="9">
        <v>13.749852737655265</v>
      </c>
      <c r="E1349" s="8">
        <v>4.625592401132721</v>
      </c>
      <c r="F1349" s="8">
        <v>6.9205808221769853</v>
      </c>
      <c r="G1349" s="18">
        <v>47.977600000000002</v>
      </c>
      <c r="H1349" s="240">
        <v>0</v>
      </c>
      <c r="I1349" s="240">
        <v>0</v>
      </c>
      <c r="J1349" s="240">
        <v>0</v>
      </c>
      <c r="K1349" s="240">
        <v>0</v>
      </c>
      <c r="L1349" s="240">
        <v>0</v>
      </c>
      <c r="M1349" s="240">
        <v>0</v>
      </c>
      <c r="N1349" s="240">
        <v>0</v>
      </c>
    </row>
    <row r="1350" spans="1:14" x14ac:dyDescent="0.3">
      <c r="A1350" s="135" t="s">
        <v>462</v>
      </c>
      <c r="B1350" s="137" t="s">
        <v>422</v>
      </c>
      <c r="C1350" s="137">
        <v>28</v>
      </c>
      <c r="D1350" s="9">
        <v>13.78232540713544</v>
      </c>
      <c r="E1350" s="8">
        <v>4.6417323616157553</v>
      </c>
      <c r="F1350" s="8">
        <v>7.1325346403696095</v>
      </c>
      <c r="G1350" s="18">
        <v>49.910400000000003</v>
      </c>
      <c r="H1350" s="240">
        <v>0</v>
      </c>
      <c r="I1350" s="240">
        <v>0</v>
      </c>
      <c r="J1350" s="240">
        <v>0</v>
      </c>
      <c r="K1350" s="240">
        <v>0</v>
      </c>
      <c r="L1350" s="240">
        <v>0</v>
      </c>
      <c r="M1350" s="240">
        <v>0</v>
      </c>
      <c r="N1350" s="240">
        <v>0</v>
      </c>
    </row>
    <row r="1351" spans="1:14" x14ac:dyDescent="0.3">
      <c r="A1351" s="135" t="s">
        <v>462</v>
      </c>
      <c r="B1351" s="137" t="s">
        <v>422</v>
      </c>
      <c r="C1351" s="137">
        <v>29</v>
      </c>
      <c r="D1351" s="9">
        <v>13.813658446594923</v>
      </c>
      <c r="E1351" s="8">
        <v>4.6573058893479971</v>
      </c>
      <c r="F1351" s="8">
        <v>7.3432014366853258</v>
      </c>
      <c r="G1351" s="18">
        <v>51.891200000000005</v>
      </c>
      <c r="H1351" s="240">
        <v>0</v>
      </c>
      <c r="I1351" s="240">
        <v>0</v>
      </c>
      <c r="J1351" s="240">
        <v>0</v>
      </c>
      <c r="K1351" s="240">
        <v>0</v>
      </c>
      <c r="L1351" s="240">
        <v>0</v>
      </c>
      <c r="M1351" s="240">
        <v>0</v>
      </c>
      <c r="N1351" s="240">
        <v>0</v>
      </c>
    </row>
    <row r="1352" spans="1:14" x14ac:dyDescent="0.3">
      <c r="A1352" s="138" t="s">
        <v>462</v>
      </c>
      <c r="B1352" s="137" t="s">
        <v>422</v>
      </c>
      <c r="C1352" s="137">
        <v>30</v>
      </c>
      <c r="D1352" s="9">
        <v>13.843929142086139</v>
      </c>
      <c r="E1352" s="8">
        <v>4.6723513979816644</v>
      </c>
      <c r="F1352" s="8">
        <v>7.5526330264310015</v>
      </c>
      <c r="G1352" s="18">
        <v>53.92</v>
      </c>
      <c r="H1352" s="240">
        <v>0</v>
      </c>
      <c r="I1352" s="240">
        <v>0</v>
      </c>
      <c r="J1352" s="240">
        <v>0</v>
      </c>
      <c r="K1352" s="240">
        <v>0</v>
      </c>
      <c r="L1352" s="240">
        <v>0</v>
      </c>
      <c r="M1352" s="240">
        <v>0</v>
      </c>
      <c r="N1352" s="240">
        <v>0</v>
      </c>
    </row>
    <row r="1353" spans="1:14" x14ac:dyDescent="0.3">
      <c r="A1353" s="142" t="s">
        <v>19</v>
      </c>
      <c r="B1353" s="143" t="s">
        <v>412</v>
      </c>
      <c r="C1353" s="143">
        <v>1</v>
      </c>
      <c r="D1353" s="9">
        <v>70.2</v>
      </c>
      <c r="E1353" s="8">
        <v>0</v>
      </c>
      <c r="F1353" s="8">
        <v>55.125</v>
      </c>
      <c r="G1353" s="18">
        <v>6.25</v>
      </c>
      <c r="H1353" s="240">
        <v>0</v>
      </c>
      <c r="I1353" s="240">
        <v>0</v>
      </c>
      <c r="J1353" s="240">
        <v>0</v>
      </c>
      <c r="K1353" s="240">
        <v>0</v>
      </c>
      <c r="L1353" s="240">
        <v>0</v>
      </c>
      <c r="M1353" s="240">
        <v>0</v>
      </c>
      <c r="N1353" s="240">
        <v>0</v>
      </c>
    </row>
    <row r="1354" spans="1:14" x14ac:dyDescent="0.3">
      <c r="A1354" s="135" t="s">
        <v>19</v>
      </c>
      <c r="B1354" s="136" t="s">
        <v>412</v>
      </c>
      <c r="C1354" s="137">
        <v>2</v>
      </c>
      <c r="D1354" s="9">
        <v>86.4</v>
      </c>
      <c r="E1354" s="8">
        <v>0</v>
      </c>
      <c r="F1354" s="8">
        <v>55.125</v>
      </c>
      <c r="G1354" s="18">
        <v>7</v>
      </c>
      <c r="H1354" s="240">
        <v>0</v>
      </c>
      <c r="I1354" s="240">
        <v>0</v>
      </c>
      <c r="J1354" s="240">
        <v>0</v>
      </c>
      <c r="K1354" s="240">
        <v>0</v>
      </c>
      <c r="L1354" s="240">
        <v>0</v>
      </c>
      <c r="M1354" s="240">
        <v>0</v>
      </c>
      <c r="N1354" s="240">
        <v>0</v>
      </c>
    </row>
    <row r="1355" spans="1:14" x14ac:dyDescent="0.3">
      <c r="A1355" s="135" t="s">
        <v>19</v>
      </c>
      <c r="B1355" s="137" t="s">
        <v>412</v>
      </c>
      <c r="C1355" s="137">
        <v>3</v>
      </c>
      <c r="D1355" s="9">
        <v>91.8</v>
      </c>
      <c r="E1355" s="8">
        <v>0</v>
      </c>
      <c r="F1355" s="8">
        <v>55.125</v>
      </c>
      <c r="G1355" s="18">
        <v>7.8333329999999997</v>
      </c>
      <c r="H1355" s="240">
        <v>0</v>
      </c>
      <c r="I1355" s="240">
        <v>0</v>
      </c>
      <c r="J1355" s="240">
        <v>0</v>
      </c>
      <c r="K1355" s="240">
        <v>0</v>
      </c>
      <c r="L1355" s="240">
        <v>0</v>
      </c>
      <c r="M1355" s="240">
        <v>0</v>
      </c>
      <c r="N1355" s="240">
        <v>0</v>
      </c>
    </row>
    <row r="1356" spans="1:14" x14ac:dyDescent="0.3">
      <c r="A1356" s="135" t="s">
        <v>19</v>
      </c>
      <c r="B1356" s="137" t="s">
        <v>412</v>
      </c>
      <c r="C1356" s="137">
        <v>4</v>
      </c>
      <c r="D1356" s="9">
        <v>94.5</v>
      </c>
      <c r="E1356" s="8">
        <v>0</v>
      </c>
      <c r="F1356" s="8">
        <v>55.125</v>
      </c>
      <c r="G1356" s="18">
        <v>8.625</v>
      </c>
      <c r="H1356" s="240">
        <v>0</v>
      </c>
      <c r="I1356" s="240">
        <v>0</v>
      </c>
      <c r="J1356" s="240">
        <v>0</v>
      </c>
      <c r="K1356" s="240">
        <v>0</v>
      </c>
      <c r="L1356" s="240">
        <v>0</v>
      </c>
      <c r="M1356" s="240">
        <v>0</v>
      </c>
      <c r="N1356" s="240">
        <v>0</v>
      </c>
    </row>
    <row r="1357" spans="1:14" x14ac:dyDescent="0.3">
      <c r="A1357" s="135" t="s">
        <v>19</v>
      </c>
      <c r="B1357" s="137" t="s">
        <v>412</v>
      </c>
      <c r="C1357" s="137">
        <v>5</v>
      </c>
      <c r="D1357" s="9">
        <v>96.12</v>
      </c>
      <c r="E1357" s="8">
        <v>0</v>
      </c>
      <c r="F1357" s="8">
        <v>58.8</v>
      </c>
      <c r="G1357" s="18">
        <v>9.5</v>
      </c>
      <c r="H1357" s="240">
        <v>0</v>
      </c>
      <c r="I1357" s="240">
        <v>0</v>
      </c>
      <c r="J1357" s="240">
        <v>0</v>
      </c>
      <c r="K1357" s="240">
        <v>0</v>
      </c>
      <c r="L1357" s="240">
        <v>0</v>
      </c>
      <c r="M1357" s="240">
        <v>0</v>
      </c>
      <c r="N1357" s="240">
        <v>0</v>
      </c>
    </row>
    <row r="1358" spans="1:14" x14ac:dyDescent="0.3">
      <c r="A1358" s="135" t="s">
        <v>19</v>
      </c>
      <c r="B1358" s="137" t="s">
        <v>412</v>
      </c>
      <c r="C1358" s="137">
        <v>6</v>
      </c>
      <c r="D1358" s="9">
        <v>97.2</v>
      </c>
      <c r="E1358" s="8">
        <v>0</v>
      </c>
      <c r="F1358" s="8">
        <v>61.25</v>
      </c>
      <c r="G1358" s="18">
        <v>10.333333</v>
      </c>
      <c r="H1358" s="240">
        <v>0</v>
      </c>
      <c r="I1358" s="240">
        <v>0</v>
      </c>
      <c r="J1358" s="240">
        <v>0</v>
      </c>
      <c r="K1358" s="240">
        <v>0</v>
      </c>
      <c r="L1358" s="240">
        <v>0</v>
      </c>
      <c r="M1358" s="240">
        <v>0</v>
      </c>
      <c r="N1358" s="240">
        <v>0</v>
      </c>
    </row>
    <row r="1359" spans="1:14" x14ac:dyDescent="0.3">
      <c r="A1359" s="135" t="s">
        <v>19</v>
      </c>
      <c r="B1359" s="137" t="s">
        <v>412</v>
      </c>
      <c r="C1359" s="137">
        <v>7</v>
      </c>
      <c r="D1359" s="9">
        <v>97.971429000000001</v>
      </c>
      <c r="E1359" s="8">
        <v>0</v>
      </c>
      <c r="F1359" s="8">
        <v>63</v>
      </c>
      <c r="G1359" s="18">
        <v>11.071429</v>
      </c>
      <c r="H1359" s="240">
        <v>0</v>
      </c>
      <c r="I1359" s="240">
        <v>0</v>
      </c>
      <c r="J1359" s="240">
        <v>0</v>
      </c>
      <c r="K1359" s="240">
        <v>0</v>
      </c>
      <c r="L1359" s="240">
        <v>0</v>
      </c>
      <c r="M1359" s="240">
        <v>0</v>
      </c>
      <c r="N1359" s="240">
        <v>0</v>
      </c>
    </row>
    <row r="1360" spans="1:14" x14ac:dyDescent="0.3">
      <c r="A1360" s="135" t="s">
        <v>19</v>
      </c>
      <c r="B1360" s="137" t="s">
        <v>412</v>
      </c>
      <c r="C1360" s="137">
        <v>8</v>
      </c>
      <c r="D1360" s="9">
        <v>98.55</v>
      </c>
      <c r="E1360" s="8">
        <v>0</v>
      </c>
      <c r="F1360" s="8">
        <v>64.3125</v>
      </c>
      <c r="G1360" s="18">
        <v>11.75</v>
      </c>
      <c r="H1360" s="240">
        <v>0</v>
      </c>
      <c r="I1360" s="240">
        <v>0</v>
      </c>
      <c r="J1360" s="240">
        <v>0</v>
      </c>
      <c r="K1360" s="240">
        <v>0</v>
      </c>
      <c r="L1360" s="240">
        <v>0</v>
      </c>
      <c r="M1360" s="240">
        <v>0</v>
      </c>
      <c r="N1360" s="240">
        <v>0</v>
      </c>
    </row>
    <row r="1361" spans="1:14" x14ac:dyDescent="0.3">
      <c r="A1361" s="135" t="s">
        <v>19</v>
      </c>
      <c r="B1361" s="137" t="s">
        <v>412</v>
      </c>
      <c r="C1361" s="137">
        <v>9</v>
      </c>
      <c r="D1361" s="9">
        <v>99</v>
      </c>
      <c r="E1361" s="8">
        <v>0</v>
      </c>
      <c r="F1361" s="8">
        <v>65.333332999999996</v>
      </c>
      <c r="G1361" s="18">
        <v>12.416667</v>
      </c>
      <c r="H1361" s="240">
        <v>0</v>
      </c>
      <c r="I1361" s="240">
        <v>0</v>
      </c>
      <c r="J1361" s="240">
        <v>0</v>
      </c>
      <c r="K1361" s="240">
        <v>0</v>
      </c>
      <c r="L1361" s="240">
        <v>0</v>
      </c>
      <c r="M1361" s="240">
        <v>0</v>
      </c>
      <c r="N1361" s="240">
        <v>0</v>
      </c>
    </row>
    <row r="1362" spans="1:14" x14ac:dyDescent="0.3">
      <c r="A1362" s="135" t="s">
        <v>19</v>
      </c>
      <c r="B1362" s="137" t="s">
        <v>412</v>
      </c>
      <c r="C1362" s="137">
        <v>10</v>
      </c>
      <c r="D1362" s="9">
        <v>99.36</v>
      </c>
      <c r="E1362" s="8">
        <v>0</v>
      </c>
      <c r="F1362" s="8">
        <v>66.150000000000006</v>
      </c>
      <c r="G1362" s="18">
        <v>13.05</v>
      </c>
      <c r="H1362" s="240">
        <v>0</v>
      </c>
      <c r="I1362" s="240">
        <v>0</v>
      </c>
      <c r="J1362" s="240">
        <v>0</v>
      </c>
      <c r="K1362" s="240">
        <v>0</v>
      </c>
      <c r="L1362" s="240">
        <v>0</v>
      </c>
      <c r="M1362" s="240">
        <v>0</v>
      </c>
      <c r="N1362" s="240">
        <v>0</v>
      </c>
    </row>
    <row r="1363" spans="1:14" x14ac:dyDescent="0.3">
      <c r="A1363" s="135" t="s">
        <v>19</v>
      </c>
      <c r="B1363" s="137" t="s">
        <v>412</v>
      </c>
      <c r="C1363" s="137">
        <v>11</v>
      </c>
      <c r="D1363" s="9">
        <v>99.654544999999999</v>
      </c>
      <c r="E1363" s="8">
        <v>0</v>
      </c>
      <c r="F1363" s="8">
        <v>66.818181999999993</v>
      </c>
      <c r="G1363" s="18">
        <v>13.659091</v>
      </c>
      <c r="H1363" s="240">
        <v>0</v>
      </c>
      <c r="I1363" s="240">
        <v>0</v>
      </c>
      <c r="J1363" s="240">
        <v>0</v>
      </c>
      <c r="K1363" s="240">
        <v>0</v>
      </c>
      <c r="L1363" s="240">
        <v>0</v>
      </c>
      <c r="M1363" s="240">
        <v>0</v>
      </c>
      <c r="N1363" s="240">
        <v>0</v>
      </c>
    </row>
    <row r="1364" spans="1:14" x14ac:dyDescent="0.3">
      <c r="A1364" s="135" t="s">
        <v>19</v>
      </c>
      <c r="B1364" s="137" t="s">
        <v>412</v>
      </c>
      <c r="C1364" s="137">
        <v>12</v>
      </c>
      <c r="D1364" s="9">
        <v>99.9</v>
      </c>
      <c r="E1364" s="8">
        <v>0</v>
      </c>
      <c r="F1364" s="8">
        <v>68.90625</v>
      </c>
      <c r="G1364" s="18">
        <v>14.3125</v>
      </c>
      <c r="H1364" s="240">
        <v>0</v>
      </c>
      <c r="I1364" s="240">
        <v>0</v>
      </c>
      <c r="J1364" s="240">
        <v>0</v>
      </c>
      <c r="K1364" s="240">
        <v>0</v>
      </c>
      <c r="L1364" s="240">
        <v>0</v>
      </c>
      <c r="M1364" s="240">
        <v>0</v>
      </c>
      <c r="N1364" s="240">
        <v>0</v>
      </c>
    </row>
    <row r="1365" spans="1:14" x14ac:dyDescent="0.3">
      <c r="A1365" s="135" t="s">
        <v>19</v>
      </c>
      <c r="B1365" s="137" t="s">
        <v>412</v>
      </c>
      <c r="C1365" s="137">
        <v>13</v>
      </c>
      <c r="D1365" s="9">
        <v>100.107692</v>
      </c>
      <c r="E1365" s="8">
        <v>0</v>
      </c>
      <c r="F1365" s="8">
        <v>70.673077000000006</v>
      </c>
      <c r="G1365" s="18">
        <v>14.942308000000001</v>
      </c>
      <c r="H1365" s="240">
        <v>0</v>
      </c>
      <c r="I1365" s="240">
        <v>0</v>
      </c>
      <c r="J1365" s="240">
        <v>0</v>
      </c>
      <c r="K1365" s="240">
        <v>0</v>
      </c>
      <c r="L1365" s="240">
        <v>0</v>
      </c>
      <c r="M1365" s="240">
        <v>0</v>
      </c>
      <c r="N1365" s="240">
        <v>0</v>
      </c>
    </row>
    <row r="1366" spans="1:14" x14ac:dyDescent="0.3">
      <c r="A1366" s="135" t="s">
        <v>19</v>
      </c>
      <c r="B1366" s="137" t="s">
        <v>412</v>
      </c>
      <c r="C1366" s="137">
        <v>14</v>
      </c>
      <c r="D1366" s="9">
        <v>100.285714</v>
      </c>
      <c r="E1366" s="8">
        <v>0</v>
      </c>
      <c r="F1366" s="8">
        <v>72.1875</v>
      </c>
      <c r="G1366" s="18">
        <v>15.553571</v>
      </c>
      <c r="H1366" s="240">
        <v>0</v>
      </c>
      <c r="I1366" s="240">
        <v>0</v>
      </c>
      <c r="J1366" s="240">
        <v>0</v>
      </c>
      <c r="K1366" s="240">
        <v>0</v>
      </c>
      <c r="L1366" s="240">
        <v>0</v>
      </c>
      <c r="M1366" s="240">
        <v>0</v>
      </c>
      <c r="N1366" s="240">
        <v>0</v>
      </c>
    </row>
    <row r="1367" spans="1:14" x14ac:dyDescent="0.3">
      <c r="A1367" s="135" t="s">
        <v>19</v>
      </c>
      <c r="B1367" s="137" t="s">
        <v>412</v>
      </c>
      <c r="C1367" s="137">
        <v>15</v>
      </c>
      <c r="D1367" s="9">
        <v>100.44</v>
      </c>
      <c r="E1367" s="8">
        <v>0</v>
      </c>
      <c r="F1367" s="8">
        <v>73.5</v>
      </c>
      <c r="G1367" s="18">
        <v>16.133333</v>
      </c>
      <c r="H1367" s="240">
        <v>0</v>
      </c>
      <c r="I1367" s="240">
        <v>0</v>
      </c>
      <c r="J1367" s="240">
        <v>0</v>
      </c>
      <c r="K1367" s="240">
        <v>0</v>
      </c>
      <c r="L1367" s="240">
        <v>0</v>
      </c>
      <c r="M1367" s="240">
        <v>0</v>
      </c>
      <c r="N1367" s="240">
        <v>0</v>
      </c>
    </row>
    <row r="1368" spans="1:14" x14ac:dyDescent="0.3">
      <c r="A1368" s="135" t="s">
        <v>19</v>
      </c>
      <c r="B1368" s="137" t="s">
        <v>412</v>
      </c>
      <c r="C1368" s="137">
        <v>16</v>
      </c>
      <c r="D1368" s="9">
        <v>100.575</v>
      </c>
      <c r="E1368" s="8">
        <v>0</v>
      </c>
      <c r="F1368" s="8">
        <v>74.648437000000001</v>
      </c>
      <c r="G1368" s="18">
        <v>16.703125</v>
      </c>
      <c r="H1368" s="240">
        <v>0</v>
      </c>
      <c r="I1368" s="240">
        <v>0</v>
      </c>
      <c r="J1368" s="240">
        <v>0</v>
      </c>
      <c r="K1368" s="240">
        <v>0</v>
      </c>
      <c r="L1368" s="240">
        <v>0</v>
      </c>
      <c r="M1368" s="240">
        <v>0</v>
      </c>
      <c r="N1368" s="240">
        <v>0</v>
      </c>
    </row>
    <row r="1369" spans="1:14" x14ac:dyDescent="0.3">
      <c r="A1369" s="135" t="s">
        <v>19</v>
      </c>
      <c r="B1369" s="137" t="s">
        <v>412</v>
      </c>
      <c r="C1369" s="137">
        <v>17</v>
      </c>
      <c r="D1369" s="9">
        <v>100.694118</v>
      </c>
      <c r="E1369" s="8">
        <v>0</v>
      </c>
      <c r="F1369" s="8">
        <v>75.661765000000003</v>
      </c>
      <c r="G1369" s="18">
        <v>17.25</v>
      </c>
      <c r="H1369" s="240">
        <v>0</v>
      </c>
      <c r="I1369" s="240">
        <v>0</v>
      </c>
      <c r="J1369" s="240">
        <v>0</v>
      </c>
      <c r="K1369" s="240">
        <v>0</v>
      </c>
      <c r="L1369" s="240">
        <v>0</v>
      </c>
      <c r="M1369" s="240">
        <v>0</v>
      </c>
      <c r="N1369" s="240">
        <v>0</v>
      </c>
    </row>
    <row r="1370" spans="1:14" x14ac:dyDescent="0.3">
      <c r="A1370" s="135" t="s">
        <v>19</v>
      </c>
      <c r="B1370" s="137" t="s">
        <v>412</v>
      </c>
      <c r="C1370" s="137">
        <v>18</v>
      </c>
      <c r="D1370" s="9">
        <v>100.8</v>
      </c>
      <c r="E1370" s="8">
        <v>0</v>
      </c>
      <c r="F1370" s="8">
        <v>76.5625</v>
      </c>
      <c r="G1370" s="18">
        <v>17.777778000000001</v>
      </c>
      <c r="H1370" s="240">
        <v>0</v>
      </c>
      <c r="I1370" s="240">
        <v>0</v>
      </c>
      <c r="J1370" s="240">
        <v>0</v>
      </c>
      <c r="K1370" s="240">
        <v>0</v>
      </c>
      <c r="L1370" s="240">
        <v>0</v>
      </c>
      <c r="M1370" s="240">
        <v>0</v>
      </c>
      <c r="N1370" s="240">
        <v>0</v>
      </c>
    </row>
    <row r="1371" spans="1:14" x14ac:dyDescent="0.3">
      <c r="A1371" s="135" t="s">
        <v>19</v>
      </c>
      <c r="B1371" s="137" t="s">
        <v>412</v>
      </c>
      <c r="C1371" s="137">
        <v>19</v>
      </c>
      <c r="D1371" s="9">
        <v>100.89473700000001</v>
      </c>
      <c r="E1371" s="8">
        <v>0</v>
      </c>
      <c r="F1371" s="8">
        <v>77.368420999999998</v>
      </c>
      <c r="G1371" s="18">
        <v>18.289473999999998</v>
      </c>
      <c r="H1371" s="240">
        <v>0</v>
      </c>
      <c r="I1371" s="240">
        <v>0</v>
      </c>
      <c r="J1371" s="240">
        <v>0</v>
      </c>
      <c r="K1371" s="240">
        <v>0</v>
      </c>
      <c r="L1371" s="240">
        <v>0</v>
      </c>
      <c r="M1371" s="240">
        <v>0</v>
      </c>
      <c r="N1371" s="240">
        <v>0</v>
      </c>
    </row>
    <row r="1372" spans="1:14" x14ac:dyDescent="0.3">
      <c r="A1372" s="135" t="s">
        <v>19</v>
      </c>
      <c r="B1372" s="137" t="s">
        <v>412</v>
      </c>
      <c r="C1372" s="137">
        <v>20</v>
      </c>
      <c r="D1372" s="9">
        <v>100.98</v>
      </c>
      <c r="E1372" s="8">
        <v>0</v>
      </c>
      <c r="F1372" s="8">
        <v>78.09375</v>
      </c>
      <c r="G1372" s="18">
        <v>18.8</v>
      </c>
      <c r="H1372" s="240">
        <v>0</v>
      </c>
      <c r="I1372" s="240">
        <v>0</v>
      </c>
      <c r="J1372" s="240">
        <v>0</v>
      </c>
      <c r="K1372" s="240">
        <v>0</v>
      </c>
      <c r="L1372" s="240">
        <v>0</v>
      </c>
      <c r="M1372" s="240">
        <v>0</v>
      </c>
      <c r="N1372" s="240">
        <v>0</v>
      </c>
    </row>
    <row r="1373" spans="1:14" x14ac:dyDescent="0.3">
      <c r="A1373" s="135" t="s">
        <v>19</v>
      </c>
      <c r="B1373" s="137" t="s">
        <v>412</v>
      </c>
      <c r="C1373" s="137">
        <v>21</v>
      </c>
      <c r="D1373" s="9">
        <v>101.057143</v>
      </c>
      <c r="E1373" s="8">
        <v>0</v>
      </c>
      <c r="F1373" s="8">
        <v>79.625</v>
      </c>
      <c r="G1373" s="18">
        <v>19.345237999999998</v>
      </c>
      <c r="H1373" s="240">
        <v>0</v>
      </c>
      <c r="I1373" s="240">
        <v>0</v>
      </c>
      <c r="J1373" s="240">
        <v>0</v>
      </c>
      <c r="K1373" s="240">
        <v>0</v>
      </c>
      <c r="L1373" s="240">
        <v>0</v>
      </c>
      <c r="M1373" s="240">
        <v>0</v>
      </c>
      <c r="N1373" s="240">
        <v>0</v>
      </c>
    </row>
    <row r="1374" spans="1:14" x14ac:dyDescent="0.3">
      <c r="A1374" s="135" t="s">
        <v>19</v>
      </c>
      <c r="B1374" s="137" t="s">
        <v>412</v>
      </c>
      <c r="C1374" s="137">
        <v>22</v>
      </c>
      <c r="D1374" s="9">
        <v>101.127273</v>
      </c>
      <c r="E1374" s="8">
        <v>0</v>
      </c>
      <c r="F1374" s="8">
        <v>81.017044999999996</v>
      </c>
      <c r="G1374" s="18">
        <v>19.886364</v>
      </c>
      <c r="H1374" s="240">
        <v>0</v>
      </c>
      <c r="I1374" s="240">
        <v>0</v>
      </c>
      <c r="J1374" s="240">
        <v>0</v>
      </c>
      <c r="K1374" s="240">
        <v>0</v>
      </c>
      <c r="L1374" s="240">
        <v>0</v>
      </c>
      <c r="M1374" s="240">
        <v>0</v>
      </c>
      <c r="N1374" s="240">
        <v>0</v>
      </c>
    </row>
    <row r="1375" spans="1:14" x14ac:dyDescent="0.3">
      <c r="A1375" s="135" t="s">
        <v>19</v>
      </c>
      <c r="B1375" s="137" t="s">
        <v>412</v>
      </c>
      <c r="C1375" s="137">
        <v>23</v>
      </c>
      <c r="D1375" s="9">
        <v>101.191304</v>
      </c>
      <c r="E1375" s="8">
        <v>0</v>
      </c>
      <c r="F1375" s="8">
        <v>82.288043000000002</v>
      </c>
      <c r="G1375" s="18">
        <v>20.413042999999998</v>
      </c>
      <c r="H1375" s="240">
        <v>0</v>
      </c>
      <c r="I1375" s="240">
        <v>0</v>
      </c>
      <c r="J1375" s="240">
        <v>0</v>
      </c>
      <c r="K1375" s="240">
        <v>0</v>
      </c>
      <c r="L1375" s="240">
        <v>0</v>
      </c>
      <c r="M1375" s="240">
        <v>0</v>
      </c>
      <c r="N1375" s="240">
        <v>0</v>
      </c>
    </row>
    <row r="1376" spans="1:14" x14ac:dyDescent="0.3">
      <c r="A1376" s="135" t="s">
        <v>19</v>
      </c>
      <c r="B1376" s="137" t="s">
        <v>412</v>
      </c>
      <c r="C1376" s="137">
        <v>24</v>
      </c>
      <c r="D1376" s="9">
        <v>101.25</v>
      </c>
      <c r="E1376" s="8">
        <v>0</v>
      </c>
      <c r="F1376" s="8">
        <v>83.453125</v>
      </c>
      <c r="G1376" s="18">
        <v>20.927083</v>
      </c>
      <c r="H1376" s="240">
        <v>0</v>
      </c>
      <c r="I1376" s="240">
        <v>0</v>
      </c>
      <c r="J1376" s="240">
        <v>0</v>
      </c>
      <c r="K1376" s="240">
        <v>0</v>
      </c>
      <c r="L1376" s="240">
        <v>0</v>
      </c>
      <c r="M1376" s="240">
        <v>0</v>
      </c>
      <c r="N1376" s="240">
        <v>0</v>
      </c>
    </row>
    <row r="1377" spans="1:14" x14ac:dyDescent="0.3">
      <c r="A1377" s="135" t="s">
        <v>19</v>
      </c>
      <c r="B1377" s="137" t="s">
        <v>412</v>
      </c>
      <c r="C1377" s="137">
        <v>25</v>
      </c>
      <c r="D1377" s="9">
        <v>101.304</v>
      </c>
      <c r="E1377" s="8">
        <v>0</v>
      </c>
      <c r="F1377" s="8">
        <v>84.525000000000006</v>
      </c>
      <c r="G1377" s="18">
        <v>21.43</v>
      </c>
      <c r="H1377" s="240">
        <v>0</v>
      </c>
      <c r="I1377" s="240">
        <v>0</v>
      </c>
      <c r="J1377" s="240">
        <v>0</v>
      </c>
      <c r="K1377" s="240">
        <v>0</v>
      </c>
      <c r="L1377" s="240">
        <v>0</v>
      </c>
      <c r="M1377" s="240">
        <v>0</v>
      </c>
      <c r="N1377" s="240">
        <v>0</v>
      </c>
    </row>
    <row r="1378" spans="1:14" x14ac:dyDescent="0.3">
      <c r="A1378" s="135" t="s">
        <v>19</v>
      </c>
      <c r="B1378" s="137" t="s">
        <v>412</v>
      </c>
      <c r="C1378" s="137">
        <v>26</v>
      </c>
      <c r="D1378" s="9">
        <v>101.353846</v>
      </c>
      <c r="E1378" s="8">
        <v>0</v>
      </c>
      <c r="F1378" s="8">
        <v>85.514422999999994</v>
      </c>
      <c r="G1378" s="18">
        <v>21.923076999999999</v>
      </c>
      <c r="H1378" s="240">
        <v>0</v>
      </c>
      <c r="I1378" s="240">
        <v>0</v>
      </c>
      <c r="J1378" s="240">
        <v>0</v>
      </c>
      <c r="K1378" s="240">
        <v>0</v>
      </c>
      <c r="L1378" s="240">
        <v>0</v>
      </c>
      <c r="M1378" s="240">
        <v>0</v>
      </c>
      <c r="N1378" s="240">
        <v>0</v>
      </c>
    </row>
    <row r="1379" spans="1:14" x14ac:dyDescent="0.3">
      <c r="A1379" s="135" t="s">
        <v>19</v>
      </c>
      <c r="B1379" s="137" t="s">
        <v>412</v>
      </c>
      <c r="C1379" s="137">
        <v>27</v>
      </c>
      <c r="D1379" s="9">
        <v>101.4</v>
      </c>
      <c r="E1379" s="8">
        <v>0</v>
      </c>
      <c r="F1379" s="8">
        <v>86.430555999999996</v>
      </c>
      <c r="G1379" s="18">
        <v>22.398147999999999</v>
      </c>
      <c r="H1379" s="240">
        <v>0</v>
      </c>
      <c r="I1379" s="240">
        <v>0</v>
      </c>
      <c r="J1379" s="240">
        <v>0</v>
      </c>
      <c r="K1379" s="240">
        <v>0</v>
      </c>
      <c r="L1379" s="240">
        <v>0</v>
      </c>
      <c r="M1379" s="240">
        <v>0</v>
      </c>
      <c r="N1379" s="240">
        <v>0</v>
      </c>
    </row>
    <row r="1380" spans="1:14" x14ac:dyDescent="0.3">
      <c r="A1380" s="135" t="s">
        <v>19</v>
      </c>
      <c r="B1380" s="137" t="s">
        <v>412</v>
      </c>
      <c r="C1380" s="137">
        <v>28</v>
      </c>
      <c r="D1380" s="9">
        <v>101.442857</v>
      </c>
      <c r="E1380" s="8">
        <v>0</v>
      </c>
      <c r="F1380" s="8">
        <v>87.28125</v>
      </c>
      <c r="G1380" s="18">
        <v>22.866071000000002</v>
      </c>
      <c r="H1380" s="240">
        <v>0</v>
      </c>
      <c r="I1380" s="240">
        <v>0</v>
      </c>
      <c r="J1380" s="240">
        <v>0</v>
      </c>
      <c r="K1380" s="240">
        <v>0</v>
      </c>
      <c r="L1380" s="240">
        <v>0</v>
      </c>
      <c r="M1380" s="240">
        <v>0</v>
      </c>
      <c r="N1380" s="240">
        <v>0</v>
      </c>
    </row>
    <row r="1381" spans="1:14" x14ac:dyDescent="0.3">
      <c r="A1381" s="135" t="s">
        <v>19</v>
      </c>
      <c r="B1381" s="137" t="s">
        <v>412</v>
      </c>
      <c r="C1381" s="137">
        <v>29</v>
      </c>
      <c r="D1381" s="9">
        <v>101.482759</v>
      </c>
      <c r="E1381" s="8">
        <v>0</v>
      </c>
      <c r="F1381" s="8">
        <v>88.073276000000007</v>
      </c>
      <c r="G1381" s="18">
        <v>23.327586</v>
      </c>
      <c r="H1381" s="240">
        <v>0</v>
      </c>
      <c r="I1381" s="240">
        <v>0</v>
      </c>
      <c r="J1381" s="240">
        <v>0</v>
      </c>
      <c r="K1381" s="240">
        <v>0</v>
      </c>
      <c r="L1381" s="240">
        <v>0</v>
      </c>
      <c r="M1381" s="240">
        <v>0</v>
      </c>
      <c r="N1381" s="240">
        <v>0</v>
      </c>
    </row>
    <row r="1382" spans="1:14" x14ac:dyDescent="0.3">
      <c r="A1382" s="138" t="s">
        <v>19</v>
      </c>
      <c r="B1382" s="137" t="s">
        <v>412</v>
      </c>
      <c r="C1382" s="137">
        <v>30</v>
      </c>
      <c r="D1382" s="9">
        <v>101.52</v>
      </c>
      <c r="E1382" s="8">
        <v>0</v>
      </c>
      <c r="F1382" s="8">
        <v>89.424999999999997</v>
      </c>
      <c r="G1382" s="18">
        <v>23.833333</v>
      </c>
      <c r="H1382" s="240">
        <v>0</v>
      </c>
      <c r="I1382" s="240">
        <v>0</v>
      </c>
      <c r="J1382" s="240">
        <v>0</v>
      </c>
      <c r="K1382" s="240">
        <v>0</v>
      </c>
      <c r="L1382" s="240">
        <v>0</v>
      </c>
      <c r="M1382" s="240">
        <v>0</v>
      </c>
      <c r="N1382" s="240">
        <v>0</v>
      </c>
    </row>
    <row r="1383" spans="1:14" x14ac:dyDescent="0.3">
      <c r="A1383" s="142" t="s">
        <v>19</v>
      </c>
      <c r="B1383" s="143" t="s">
        <v>413</v>
      </c>
      <c r="C1383" s="143">
        <v>1</v>
      </c>
      <c r="D1383" s="9">
        <v>70.2</v>
      </c>
      <c r="E1383" s="8">
        <v>19.285</v>
      </c>
      <c r="F1383" s="8">
        <v>5.4880000000000004</v>
      </c>
      <c r="G1383" s="18">
        <v>13.25</v>
      </c>
      <c r="H1383" s="240">
        <v>0</v>
      </c>
      <c r="I1383" s="240">
        <v>0</v>
      </c>
      <c r="J1383" s="240">
        <v>0</v>
      </c>
      <c r="K1383" s="240">
        <v>0</v>
      </c>
      <c r="L1383" s="240">
        <v>0</v>
      </c>
      <c r="M1383" s="240">
        <v>0</v>
      </c>
      <c r="N1383" s="240">
        <v>0</v>
      </c>
    </row>
    <row r="1384" spans="1:14" x14ac:dyDescent="0.3">
      <c r="A1384" s="135" t="s">
        <v>19</v>
      </c>
      <c r="B1384" s="136" t="s">
        <v>413</v>
      </c>
      <c r="C1384" s="137">
        <v>2</v>
      </c>
      <c r="D1384" s="9">
        <v>86.4</v>
      </c>
      <c r="E1384" s="8">
        <v>23.922499999999999</v>
      </c>
      <c r="F1384" s="8">
        <v>7.798</v>
      </c>
      <c r="G1384" s="18">
        <v>14.75</v>
      </c>
      <c r="H1384" s="240">
        <v>0</v>
      </c>
      <c r="I1384" s="240">
        <v>0</v>
      </c>
      <c r="J1384" s="240">
        <v>0</v>
      </c>
      <c r="K1384" s="240">
        <v>0</v>
      </c>
      <c r="L1384" s="240">
        <v>0</v>
      </c>
      <c r="M1384" s="240">
        <v>0</v>
      </c>
      <c r="N1384" s="240">
        <v>0</v>
      </c>
    </row>
    <row r="1385" spans="1:14" x14ac:dyDescent="0.3">
      <c r="A1385" s="135" t="s">
        <v>19</v>
      </c>
      <c r="B1385" s="137" t="s">
        <v>413</v>
      </c>
      <c r="C1385" s="137">
        <v>3</v>
      </c>
      <c r="D1385" s="9">
        <v>91.8</v>
      </c>
      <c r="E1385" s="8">
        <v>25.468333000000001</v>
      </c>
      <c r="F1385" s="8">
        <v>8.5679999999999996</v>
      </c>
      <c r="G1385" s="18">
        <v>16.583333</v>
      </c>
      <c r="H1385" s="240">
        <v>0</v>
      </c>
      <c r="I1385" s="240">
        <v>0</v>
      </c>
      <c r="J1385" s="240">
        <v>0</v>
      </c>
      <c r="K1385" s="240">
        <v>0</v>
      </c>
      <c r="L1385" s="240">
        <v>0</v>
      </c>
      <c r="M1385" s="240">
        <v>0</v>
      </c>
      <c r="N1385" s="240">
        <v>0</v>
      </c>
    </row>
    <row r="1386" spans="1:14" x14ac:dyDescent="0.3">
      <c r="A1386" s="135" t="s">
        <v>19</v>
      </c>
      <c r="B1386" s="137" t="s">
        <v>413</v>
      </c>
      <c r="C1386" s="137">
        <v>4</v>
      </c>
      <c r="D1386" s="9">
        <v>94.5</v>
      </c>
      <c r="E1386" s="8">
        <v>26.241250000000001</v>
      </c>
      <c r="F1386" s="8">
        <v>8.9529999999999994</v>
      </c>
      <c r="G1386" s="18">
        <v>18.25</v>
      </c>
      <c r="H1386" s="240">
        <v>0</v>
      </c>
      <c r="I1386" s="240">
        <v>0</v>
      </c>
      <c r="J1386" s="240">
        <v>0</v>
      </c>
      <c r="K1386" s="240">
        <v>0</v>
      </c>
      <c r="L1386" s="240">
        <v>0</v>
      </c>
      <c r="M1386" s="240">
        <v>0</v>
      </c>
      <c r="N1386" s="240">
        <v>0</v>
      </c>
    </row>
    <row r="1387" spans="1:14" x14ac:dyDescent="0.3">
      <c r="A1387" s="135" t="s">
        <v>19</v>
      </c>
      <c r="B1387" s="137" t="s">
        <v>413</v>
      </c>
      <c r="C1387" s="137">
        <v>5</v>
      </c>
      <c r="D1387" s="9">
        <v>96.12</v>
      </c>
      <c r="E1387" s="8">
        <v>26.704999999999998</v>
      </c>
      <c r="F1387" s="8">
        <v>10.388</v>
      </c>
      <c r="G1387" s="18">
        <v>19.95</v>
      </c>
      <c r="H1387" s="240">
        <v>0</v>
      </c>
      <c r="I1387" s="240">
        <v>0</v>
      </c>
      <c r="J1387" s="240">
        <v>0</v>
      </c>
      <c r="K1387" s="240">
        <v>0</v>
      </c>
      <c r="L1387" s="240">
        <v>0</v>
      </c>
      <c r="M1387" s="240">
        <v>0</v>
      </c>
      <c r="N1387" s="240">
        <v>0</v>
      </c>
    </row>
    <row r="1388" spans="1:14" x14ac:dyDescent="0.3">
      <c r="A1388" s="135" t="s">
        <v>19</v>
      </c>
      <c r="B1388" s="137" t="s">
        <v>413</v>
      </c>
      <c r="C1388" s="137">
        <v>6</v>
      </c>
      <c r="D1388" s="9">
        <v>97.2</v>
      </c>
      <c r="E1388" s="8">
        <v>27.014167</v>
      </c>
      <c r="F1388" s="8">
        <v>11.344666999999999</v>
      </c>
      <c r="G1388" s="18">
        <v>21.5</v>
      </c>
      <c r="H1388" s="240">
        <v>0</v>
      </c>
      <c r="I1388" s="240">
        <v>0</v>
      </c>
      <c r="J1388" s="240">
        <v>0</v>
      </c>
      <c r="K1388" s="240">
        <v>0</v>
      </c>
      <c r="L1388" s="240">
        <v>0</v>
      </c>
      <c r="M1388" s="240">
        <v>0</v>
      </c>
      <c r="N1388" s="240">
        <v>0</v>
      </c>
    </row>
    <row r="1389" spans="1:14" x14ac:dyDescent="0.3">
      <c r="A1389" s="135" t="s">
        <v>19</v>
      </c>
      <c r="B1389" s="137" t="s">
        <v>413</v>
      </c>
      <c r="C1389" s="137">
        <v>7</v>
      </c>
      <c r="D1389" s="9">
        <v>97.971429000000001</v>
      </c>
      <c r="E1389" s="8">
        <v>27.234999999999999</v>
      </c>
      <c r="F1389" s="8">
        <v>12.028</v>
      </c>
      <c r="G1389" s="18">
        <v>22.964286000000001</v>
      </c>
      <c r="H1389" s="240">
        <v>0</v>
      </c>
      <c r="I1389" s="240">
        <v>0</v>
      </c>
      <c r="J1389" s="240">
        <v>0</v>
      </c>
      <c r="K1389" s="240">
        <v>0</v>
      </c>
      <c r="L1389" s="240">
        <v>0</v>
      </c>
      <c r="M1389" s="240">
        <v>0</v>
      </c>
      <c r="N1389" s="240">
        <v>0</v>
      </c>
    </row>
    <row r="1390" spans="1:14" x14ac:dyDescent="0.3">
      <c r="A1390" s="135" t="s">
        <v>19</v>
      </c>
      <c r="B1390" s="137" t="s">
        <v>413</v>
      </c>
      <c r="C1390" s="137">
        <v>8</v>
      </c>
      <c r="D1390" s="9">
        <v>98.55</v>
      </c>
      <c r="E1390" s="8">
        <v>27.400625000000002</v>
      </c>
      <c r="F1390" s="8">
        <v>13.468</v>
      </c>
      <c r="G1390" s="18">
        <v>24.46875</v>
      </c>
      <c r="H1390" s="240">
        <v>0</v>
      </c>
      <c r="I1390" s="240">
        <v>0</v>
      </c>
      <c r="J1390" s="240">
        <v>0</v>
      </c>
      <c r="K1390" s="240">
        <v>0</v>
      </c>
      <c r="L1390" s="240">
        <v>0</v>
      </c>
      <c r="M1390" s="240">
        <v>0</v>
      </c>
      <c r="N1390" s="240">
        <v>0</v>
      </c>
    </row>
    <row r="1391" spans="1:14" x14ac:dyDescent="0.3">
      <c r="A1391" s="135" t="s">
        <v>19</v>
      </c>
      <c r="B1391" s="137" t="s">
        <v>413</v>
      </c>
      <c r="C1391" s="137">
        <v>9</v>
      </c>
      <c r="D1391" s="9">
        <v>99</v>
      </c>
      <c r="E1391" s="8">
        <v>27.529444000000002</v>
      </c>
      <c r="F1391" s="8">
        <v>14.587999999999999</v>
      </c>
      <c r="G1391" s="18">
        <v>25.833333</v>
      </c>
      <c r="H1391" s="240">
        <v>0</v>
      </c>
      <c r="I1391" s="240">
        <v>0</v>
      </c>
      <c r="J1391" s="240">
        <v>0</v>
      </c>
      <c r="K1391" s="240">
        <v>0</v>
      </c>
      <c r="L1391" s="240">
        <v>0</v>
      </c>
      <c r="M1391" s="240">
        <v>0</v>
      </c>
      <c r="N1391" s="240">
        <v>0</v>
      </c>
    </row>
    <row r="1392" spans="1:14" x14ac:dyDescent="0.3">
      <c r="A1392" s="135" t="s">
        <v>19</v>
      </c>
      <c r="B1392" s="137" t="s">
        <v>413</v>
      </c>
      <c r="C1392" s="137">
        <v>10</v>
      </c>
      <c r="D1392" s="9">
        <v>99.36</v>
      </c>
      <c r="E1392" s="8">
        <v>27.6325</v>
      </c>
      <c r="F1392" s="8">
        <v>15.484</v>
      </c>
      <c r="G1392" s="18">
        <v>27.175000000000001</v>
      </c>
      <c r="H1392" s="240">
        <v>0</v>
      </c>
      <c r="I1392" s="240">
        <v>0</v>
      </c>
      <c r="J1392" s="240">
        <v>0</v>
      </c>
      <c r="K1392" s="240">
        <v>0</v>
      </c>
      <c r="L1392" s="240">
        <v>0</v>
      </c>
      <c r="M1392" s="240">
        <v>0</v>
      </c>
      <c r="N1392" s="240">
        <v>0</v>
      </c>
    </row>
    <row r="1393" spans="1:14" x14ac:dyDescent="0.3">
      <c r="A1393" s="135" t="s">
        <v>19</v>
      </c>
      <c r="B1393" s="137" t="s">
        <v>413</v>
      </c>
      <c r="C1393" s="137">
        <v>11</v>
      </c>
      <c r="D1393" s="9">
        <v>99.654544999999999</v>
      </c>
      <c r="E1393" s="8">
        <v>27.716818</v>
      </c>
      <c r="F1393" s="8">
        <v>16.217091</v>
      </c>
      <c r="G1393" s="18">
        <v>28.431818</v>
      </c>
      <c r="H1393" s="240">
        <v>0</v>
      </c>
      <c r="I1393" s="240">
        <v>0</v>
      </c>
      <c r="J1393" s="240">
        <v>0</v>
      </c>
      <c r="K1393" s="240">
        <v>0</v>
      </c>
      <c r="L1393" s="240">
        <v>0</v>
      </c>
      <c r="M1393" s="240">
        <v>0</v>
      </c>
      <c r="N1393" s="240">
        <v>0</v>
      </c>
    </row>
    <row r="1394" spans="1:14" x14ac:dyDescent="0.3">
      <c r="A1394" s="135" t="s">
        <v>19</v>
      </c>
      <c r="B1394" s="137" t="s">
        <v>413</v>
      </c>
      <c r="C1394" s="137">
        <v>12</v>
      </c>
      <c r="D1394" s="9">
        <v>99.9</v>
      </c>
      <c r="E1394" s="8">
        <v>27.787082999999999</v>
      </c>
      <c r="F1394" s="8">
        <v>16.827999999999999</v>
      </c>
      <c r="G1394" s="18">
        <v>29.645833</v>
      </c>
      <c r="H1394" s="240">
        <v>0</v>
      </c>
      <c r="I1394" s="240">
        <v>0</v>
      </c>
      <c r="J1394" s="240">
        <v>0</v>
      </c>
      <c r="K1394" s="240">
        <v>0</v>
      </c>
      <c r="L1394" s="240">
        <v>0</v>
      </c>
      <c r="M1394" s="240">
        <v>0</v>
      </c>
      <c r="N1394" s="240">
        <v>0</v>
      </c>
    </row>
    <row r="1395" spans="1:14" x14ac:dyDescent="0.3">
      <c r="A1395" s="135" t="s">
        <v>19</v>
      </c>
      <c r="B1395" s="137" t="s">
        <v>413</v>
      </c>
      <c r="C1395" s="137">
        <v>13</v>
      </c>
      <c r="D1395" s="9">
        <v>100.107692</v>
      </c>
      <c r="E1395" s="8">
        <v>27.846537999999999</v>
      </c>
      <c r="F1395" s="8">
        <v>18.023385000000001</v>
      </c>
      <c r="G1395" s="18">
        <v>30.884615</v>
      </c>
      <c r="H1395" s="240">
        <v>0</v>
      </c>
      <c r="I1395" s="240">
        <v>0</v>
      </c>
      <c r="J1395" s="240">
        <v>0</v>
      </c>
      <c r="K1395" s="240">
        <v>0</v>
      </c>
      <c r="L1395" s="240">
        <v>0</v>
      </c>
      <c r="M1395" s="240">
        <v>0</v>
      </c>
      <c r="N1395" s="240">
        <v>0</v>
      </c>
    </row>
    <row r="1396" spans="1:14" x14ac:dyDescent="0.3">
      <c r="A1396" s="135" t="s">
        <v>19</v>
      </c>
      <c r="B1396" s="137" t="s">
        <v>413</v>
      </c>
      <c r="C1396" s="137">
        <v>14</v>
      </c>
      <c r="D1396" s="9">
        <v>100.285714</v>
      </c>
      <c r="E1396" s="8">
        <v>27.897500000000001</v>
      </c>
      <c r="F1396" s="8">
        <v>19.047999999999998</v>
      </c>
      <c r="G1396" s="18">
        <v>32.089286000000001</v>
      </c>
      <c r="H1396" s="240">
        <v>0</v>
      </c>
      <c r="I1396" s="240">
        <v>0</v>
      </c>
      <c r="J1396" s="240">
        <v>0</v>
      </c>
      <c r="K1396" s="240">
        <v>0</v>
      </c>
      <c r="L1396" s="240">
        <v>0</v>
      </c>
      <c r="M1396" s="240">
        <v>0</v>
      </c>
      <c r="N1396" s="240">
        <v>0</v>
      </c>
    </row>
    <row r="1397" spans="1:14" x14ac:dyDescent="0.3">
      <c r="A1397" s="135" t="s">
        <v>19</v>
      </c>
      <c r="B1397" s="137" t="s">
        <v>413</v>
      </c>
      <c r="C1397" s="137">
        <v>15</v>
      </c>
      <c r="D1397" s="9">
        <v>100.44</v>
      </c>
      <c r="E1397" s="8">
        <v>27.941666999999999</v>
      </c>
      <c r="F1397" s="8">
        <v>19.936</v>
      </c>
      <c r="G1397" s="18">
        <v>33.25</v>
      </c>
      <c r="H1397" s="240">
        <v>0</v>
      </c>
      <c r="I1397" s="240">
        <v>0</v>
      </c>
      <c r="J1397" s="240">
        <v>0</v>
      </c>
      <c r="K1397" s="240">
        <v>0</v>
      </c>
      <c r="L1397" s="240">
        <v>0</v>
      </c>
      <c r="M1397" s="240">
        <v>0</v>
      </c>
      <c r="N1397" s="240">
        <v>0</v>
      </c>
    </row>
    <row r="1398" spans="1:14" x14ac:dyDescent="0.3">
      <c r="A1398" s="135" t="s">
        <v>19</v>
      </c>
      <c r="B1398" s="137" t="s">
        <v>413</v>
      </c>
      <c r="C1398" s="137">
        <v>16</v>
      </c>
      <c r="D1398" s="9">
        <v>100.575</v>
      </c>
      <c r="E1398" s="8">
        <v>27.980312000000001</v>
      </c>
      <c r="F1398" s="8">
        <v>20.713000000000001</v>
      </c>
      <c r="G1398" s="18">
        <v>34.359375</v>
      </c>
      <c r="H1398" s="240">
        <v>0</v>
      </c>
      <c r="I1398" s="240">
        <v>0</v>
      </c>
      <c r="J1398" s="240">
        <v>0</v>
      </c>
      <c r="K1398" s="240">
        <v>0</v>
      </c>
      <c r="L1398" s="240">
        <v>0</v>
      </c>
      <c r="M1398" s="240">
        <v>0</v>
      </c>
      <c r="N1398" s="240">
        <v>0</v>
      </c>
    </row>
    <row r="1399" spans="1:14" x14ac:dyDescent="0.3">
      <c r="A1399" s="135" t="s">
        <v>19</v>
      </c>
      <c r="B1399" s="137" t="s">
        <v>413</v>
      </c>
      <c r="C1399" s="137">
        <v>17</v>
      </c>
      <c r="D1399" s="9">
        <v>100.694118</v>
      </c>
      <c r="E1399" s="8">
        <v>28.014412</v>
      </c>
      <c r="F1399" s="8">
        <v>21.999765</v>
      </c>
      <c r="G1399" s="18">
        <v>35.544117999999997</v>
      </c>
      <c r="H1399" s="240">
        <v>0</v>
      </c>
      <c r="I1399" s="240">
        <v>0</v>
      </c>
      <c r="J1399" s="240">
        <v>0</v>
      </c>
      <c r="K1399" s="240">
        <v>0</v>
      </c>
      <c r="L1399" s="240">
        <v>0</v>
      </c>
      <c r="M1399" s="240">
        <v>0</v>
      </c>
      <c r="N1399" s="240">
        <v>0</v>
      </c>
    </row>
    <row r="1400" spans="1:14" x14ac:dyDescent="0.3">
      <c r="A1400" s="135" t="s">
        <v>19</v>
      </c>
      <c r="B1400" s="137" t="s">
        <v>413</v>
      </c>
      <c r="C1400" s="137">
        <v>18</v>
      </c>
      <c r="D1400" s="9">
        <v>100.8</v>
      </c>
      <c r="E1400" s="8">
        <v>28.044722</v>
      </c>
      <c r="F1400" s="8">
        <v>23.143556</v>
      </c>
      <c r="G1400" s="18">
        <v>36.680556000000003</v>
      </c>
      <c r="H1400" s="240">
        <v>0</v>
      </c>
      <c r="I1400" s="240">
        <v>0</v>
      </c>
      <c r="J1400" s="240">
        <v>0</v>
      </c>
      <c r="K1400" s="240">
        <v>0</v>
      </c>
      <c r="L1400" s="240">
        <v>0</v>
      </c>
      <c r="M1400" s="240">
        <v>0</v>
      </c>
      <c r="N1400" s="240">
        <v>0</v>
      </c>
    </row>
    <row r="1401" spans="1:14" x14ac:dyDescent="0.3">
      <c r="A1401" s="135" t="s">
        <v>19</v>
      </c>
      <c r="B1401" s="137" t="s">
        <v>413</v>
      </c>
      <c r="C1401" s="137">
        <v>19</v>
      </c>
      <c r="D1401" s="9">
        <v>100.89473700000001</v>
      </c>
      <c r="E1401" s="8">
        <v>28.071842</v>
      </c>
      <c r="F1401" s="8">
        <v>24.166947</v>
      </c>
      <c r="G1401" s="18">
        <v>37.789473999999998</v>
      </c>
      <c r="H1401" s="240">
        <v>0</v>
      </c>
      <c r="I1401" s="240">
        <v>0</v>
      </c>
      <c r="J1401" s="240">
        <v>0</v>
      </c>
      <c r="K1401" s="240">
        <v>0</v>
      </c>
      <c r="L1401" s="240">
        <v>0</v>
      </c>
      <c r="M1401" s="240">
        <v>0</v>
      </c>
      <c r="N1401" s="240">
        <v>0</v>
      </c>
    </row>
    <row r="1402" spans="1:14" x14ac:dyDescent="0.3">
      <c r="A1402" s="135" t="s">
        <v>19</v>
      </c>
      <c r="B1402" s="137" t="s">
        <v>413</v>
      </c>
      <c r="C1402" s="137">
        <v>20</v>
      </c>
      <c r="D1402" s="9">
        <v>100.98</v>
      </c>
      <c r="E1402" s="8">
        <v>28.096250000000001</v>
      </c>
      <c r="F1402" s="8">
        <v>25.088000000000001</v>
      </c>
      <c r="G1402" s="18">
        <v>38.862499999999997</v>
      </c>
      <c r="H1402" s="240">
        <v>0</v>
      </c>
      <c r="I1402" s="240">
        <v>0</v>
      </c>
      <c r="J1402" s="240">
        <v>0</v>
      </c>
      <c r="K1402" s="240">
        <v>0</v>
      </c>
      <c r="L1402" s="240">
        <v>0</v>
      </c>
      <c r="M1402" s="240">
        <v>0</v>
      </c>
      <c r="N1402" s="240">
        <v>0</v>
      </c>
    </row>
    <row r="1403" spans="1:14" x14ac:dyDescent="0.3">
      <c r="A1403" s="135" t="s">
        <v>19</v>
      </c>
      <c r="B1403" s="137" t="s">
        <v>413</v>
      </c>
      <c r="C1403" s="137">
        <v>21</v>
      </c>
      <c r="D1403" s="9">
        <v>101.057143</v>
      </c>
      <c r="E1403" s="8">
        <v>28.118333</v>
      </c>
      <c r="F1403" s="8">
        <v>25.921333000000001</v>
      </c>
      <c r="G1403" s="18">
        <v>39.904761999999998</v>
      </c>
      <c r="H1403" s="240">
        <v>0</v>
      </c>
      <c r="I1403" s="240">
        <v>0</v>
      </c>
      <c r="J1403" s="240">
        <v>0</v>
      </c>
      <c r="K1403" s="240">
        <v>0</v>
      </c>
      <c r="L1403" s="240">
        <v>0</v>
      </c>
      <c r="M1403" s="240">
        <v>0</v>
      </c>
      <c r="N1403" s="240">
        <v>0</v>
      </c>
    </row>
    <row r="1404" spans="1:14" x14ac:dyDescent="0.3">
      <c r="A1404" s="135" t="s">
        <v>19</v>
      </c>
      <c r="B1404" s="137" t="s">
        <v>413</v>
      </c>
      <c r="C1404" s="137">
        <v>22</v>
      </c>
      <c r="D1404" s="9">
        <v>101.127273</v>
      </c>
      <c r="E1404" s="8">
        <v>28.138408999999999</v>
      </c>
      <c r="F1404" s="8">
        <v>26.678909000000001</v>
      </c>
      <c r="G1404" s="18">
        <v>40.920454999999997</v>
      </c>
      <c r="H1404" s="240">
        <v>0</v>
      </c>
      <c r="I1404" s="240">
        <v>0</v>
      </c>
      <c r="J1404" s="240">
        <v>0</v>
      </c>
      <c r="K1404" s="240">
        <v>0</v>
      </c>
      <c r="L1404" s="240">
        <v>0</v>
      </c>
      <c r="M1404" s="240">
        <v>0</v>
      </c>
      <c r="N1404" s="240">
        <v>0</v>
      </c>
    </row>
    <row r="1405" spans="1:14" x14ac:dyDescent="0.3">
      <c r="A1405" s="135" t="s">
        <v>19</v>
      </c>
      <c r="B1405" s="137" t="s">
        <v>413</v>
      </c>
      <c r="C1405" s="137">
        <v>23</v>
      </c>
      <c r="D1405" s="9">
        <v>101.191304</v>
      </c>
      <c r="E1405" s="8">
        <v>28.156739000000002</v>
      </c>
      <c r="F1405" s="8">
        <v>27.875826</v>
      </c>
      <c r="G1405" s="18">
        <v>42</v>
      </c>
      <c r="H1405" s="240">
        <v>0</v>
      </c>
      <c r="I1405" s="240">
        <v>0</v>
      </c>
      <c r="J1405" s="240">
        <v>0</v>
      </c>
      <c r="K1405" s="240">
        <v>0</v>
      </c>
      <c r="L1405" s="240">
        <v>0</v>
      </c>
      <c r="M1405" s="240">
        <v>0</v>
      </c>
      <c r="N1405" s="240">
        <v>0</v>
      </c>
    </row>
    <row r="1406" spans="1:14" x14ac:dyDescent="0.3">
      <c r="A1406" s="135" t="s">
        <v>19</v>
      </c>
      <c r="B1406" s="137" t="s">
        <v>413</v>
      </c>
      <c r="C1406" s="137">
        <v>24</v>
      </c>
      <c r="D1406" s="9">
        <v>101.25</v>
      </c>
      <c r="E1406" s="8">
        <v>28.173542000000001</v>
      </c>
      <c r="F1406" s="8">
        <v>28.972999999999999</v>
      </c>
      <c r="G1406" s="18">
        <v>43.0625</v>
      </c>
      <c r="H1406" s="240">
        <v>0</v>
      </c>
      <c r="I1406" s="240">
        <v>0</v>
      </c>
      <c r="J1406" s="240">
        <v>0</v>
      </c>
      <c r="K1406" s="240">
        <v>0</v>
      </c>
      <c r="L1406" s="240">
        <v>0</v>
      </c>
      <c r="M1406" s="240">
        <v>0</v>
      </c>
      <c r="N1406" s="240">
        <v>0</v>
      </c>
    </row>
    <row r="1407" spans="1:14" x14ac:dyDescent="0.3">
      <c r="A1407" s="135" t="s">
        <v>19</v>
      </c>
      <c r="B1407" s="137" t="s">
        <v>413</v>
      </c>
      <c r="C1407" s="137">
        <v>25</v>
      </c>
      <c r="D1407" s="9">
        <v>101.304</v>
      </c>
      <c r="E1407" s="8">
        <v>28.189</v>
      </c>
      <c r="F1407" s="8">
        <v>29.982399999999998</v>
      </c>
      <c r="G1407" s="18">
        <v>44.09</v>
      </c>
      <c r="H1407" s="240">
        <v>0</v>
      </c>
      <c r="I1407" s="240">
        <v>0</v>
      </c>
      <c r="J1407" s="240">
        <v>0</v>
      </c>
      <c r="K1407" s="240">
        <v>0</v>
      </c>
      <c r="L1407" s="240">
        <v>0</v>
      </c>
      <c r="M1407" s="240">
        <v>0</v>
      </c>
      <c r="N1407" s="240">
        <v>0</v>
      </c>
    </row>
    <row r="1408" spans="1:14" x14ac:dyDescent="0.3">
      <c r="A1408" s="135" t="s">
        <v>19</v>
      </c>
      <c r="B1408" s="137" t="s">
        <v>413</v>
      </c>
      <c r="C1408" s="137">
        <v>26</v>
      </c>
      <c r="D1408" s="9">
        <v>101.353846</v>
      </c>
      <c r="E1408" s="8">
        <v>28.203268999999999</v>
      </c>
      <c r="F1408" s="8">
        <v>30.914154</v>
      </c>
      <c r="G1408" s="18">
        <v>45.105769000000002</v>
      </c>
      <c r="H1408" s="240">
        <v>0</v>
      </c>
      <c r="I1408" s="240">
        <v>0</v>
      </c>
      <c r="J1408" s="240">
        <v>0</v>
      </c>
      <c r="K1408" s="240">
        <v>0</v>
      </c>
      <c r="L1408" s="240">
        <v>0</v>
      </c>
      <c r="M1408" s="240">
        <v>0</v>
      </c>
      <c r="N1408" s="240">
        <v>0</v>
      </c>
    </row>
    <row r="1409" spans="1:14" x14ac:dyDescent="0.3">
      <c r="A1409" s="135" t="s">
        <v>19</v>
      </c>
      <c r="B1409" s="137" t="s">
        <v>413</v>
      </c>
      <c r="C1409" s="137">
        <v>27</v>
      </c>
      <c r="D1409" s="9">
        <v>101.4</v>
      </c>
      <c r="E1409" s="8">
        <v>28.216481000000002</v>
      </c>
      <c r="F1409" s="8">
        <v>31.776889000000001</v>
      </c>
      <c r="G1409" s="18">
        <v>46.092593000000001</v>
      </c>
      <c r="H1409" s="240">
        <v>0</v>
      </c>
      <c r="I1409" s="240">
        <v>0</v>
      </c>
      <c r="J1409" s="240">
        <v>0</v>
      </c>
      <c r="K1409" s="240">
        <v>0</v>
      </c>
      <c r="L1409" s="240">
        <v>0</v>
      </c>
      <c r="M1409" s="240">
        <v>0</v>
      </c>
      <c r="N1409" s="240">
        <v>0</v>
      </c>
    </row>
    <row r="1410" spans="1:14" x14ac:dyDescent="0.3">
      <c r="A1410" s="135" t="s">
        <v>19</v>
      </c>
      <c r="B1410" s="137" t="s">
        <v>413</v>
      </c>
      <c r="C1410" s="137">
        <v>28</v>
      </c>
      <c r="D1410" s="9">
        <v>101.442857</v>
      </c>
      <c r="E1410" s="8">
        <v>28.228750000000002</v>
      </c>
      <c r="F1410" s="8">
        <v>32.578000000000003</v>
      </c>
      <c r="G1410" s="18">
        <v>47.0625</v>
      </c>
      <c r="H1410" s="240">
        <v>0</v>
      </c>
      <c r="I1410" s="240">
        <v>0</v>
      </c>
      <c r="J1410" s="240">
        <v>0</v>
      </c>
      <c r="K1410" s="240">
        <v>0</v>
      </c>
      <c r="L1410" s="240">
        <v>0</v>
      </c>
      <c r="M1410" s="240">
        <v>0</v>
      </c>
      <c r="N1410" s="240">
        <v>0</v>
      </c>
    </row>
    <row r="1411" spans="1:14" x14ac:dyDescent="0.3">
      <c r="A1411" s="135" t="s">
        <v>19</v>
      </c>
      <c r="B1411" s="137" t="s">
        <v>413</v>
      </c>
      <c r="C1411" s="137">
        <v>29</v>
      </c>
      <c r="D1411" s="9">
        <v>101.482759</v>
      </c>
      <c r="E1411" s="8">
        <v>28.240172000000001</v>
      </c>
      <c r="F1411" s="8">
        <v>33.772827999999997</v>
      </c>
      <c r="G1411" s="18">
        <v>48.103448</v>
      </c>
      <c r="H1411" s="240">
        <v>0</v>
      </c>
      <c r="I1411" s="240">
        <v>0</v>
      </c>
      <c r="J1411" s="240">
        <v>0</v>
      </c>
      <c r="K1411" s="240">
        <v>0</v>
      </c>
      <c r="L1411" s="240">
        <v>0</v>
      </c>
      <c r="M1411" s="240">
        <v>0</v>
      </c>
      <c r="N1411" s="240">
        <v>0</v>
      </c>
    </row>
    <row r="1412" spans="1:14" x14ac:dyDescent="0.3">
      <c r="A1412" s="138" t="s">
        <v>19</v>
      </c>
      <c r="B1412" s="137" t="s">
        <v>413</v>
      </c>
      <c r="C1412" s="137">
        <v>30</v>
      </c>
      <c r="D1412" s="9">
        <v>101.52</v>
      </c>
      <c r="E1412" s="8">
        <v>28.250833</v>
      </c>
      <c r="F1412" s="8">
        <v>34.887999999999998</v>
      </c>
      <c r="G1412" s="18">
        <v>49.116667</v>
      </c>
      <c r="H1412" s="240">
        <v>0</v>
      </c>
      <c r="I1412" s="240">
        <v>0</v>
      </c>
      <c r="J1412" s="240">
        <v>0</v>
      </c>
      <c r="K1412" s="240">
        <v>0</v>
      </c>
      <c r="L1412" s="240">
        <v>0</v>
      </c>
      <c r="M1412" s="240">
        <v>0</v>
      </c>
      <c r="N1412" s="240">
        <v>0</v>
      </c>
    </row>
    <row r="1413" spans="1:14" x14ac:dyDescent="0.3">
      <c r="A1413" s="142" t="s">
        <v>19</v>
      </c>
      <c r="B1413" s="143" t="s">
        <v>414</v>
      </c>
      <c r="C1413" s="143">
        <v>1</v>
      </c>
      <c r="D1413" s="9">
        <v>0</v>
      </c>
      <c r="E1413" s="8">
        <v>0</v>
      </c>
      <c r="F1413" s="8">
        <v>0</v>
      </c>
      <c r="G1413" s="18">
        <v>0</v>
      </c>
      <c r="H1413" s="240">
        <v>0</v>
      </c>
      <c r="I1413" s="240">
        <v>0</v>
      </c>
      <c r="J1413" s="240">
        <v>0</v>
      </c>
      <c r="K1413" s="240">
        <v>0</v>
      </c>
      <c r="L1413" s="240">
        <v>0</v>
      </c>
      <c r="M1413" s="240">
        <v>0</v>
      </c>
      <c r="N1413" s="240">
        <v>0</v>
      </c>
    </row>
    <row r="1414" spans="1:14" x14ac:dyDescent="0.3">
      <c r="A1414" s="135" t="s">
        <v>19</v>
      </c>
      <c r="B1414" s="136" t="s">
        <v>414</v>
      </c>
      <c r="C1414" s="137">
        <v>2</v>
      </c>
      <c r="D1414" s="9">
        <v>0</v>
      </c>
      <c r="E1414" s="8">
        <v>0</v>
      </c>
      <c r="F1414" s="8">
        <v>0</v>
      </c>
      <c r="G1414" s="18">
        <v>0</v>
      </c>
      <c r="H1414" s="240">
        <v>0</v>
      </c>
      <c r="I1414" s="240">
        <v>0</v>
      </c>
      <c r="J1414" s="240">
        <v>0</v>
      </c>
      <c r="K1414" s="240">
        <v>0</v>
      </c>
      <c r="L1414" s="240">
        <v>0</v>
      </c>
      <c r="M1414" s="240">
        <v>0</v>
      </c>
      <c r="N1414" s="240">
        <v>0</v>
      </c>
    </row>
    <row r="1415" spans="1:14" x14ac:dyDescent="0.3">
      <c r="A1415" s="135" t="s">
        <v>19</v>
      </c>
      <c r="B1415" s="137" t="s">
        <v>414</v>
      </c>
      <c r="C1415" s="137">
        <v>3</v>
      </c>
      <c r="D1415" s="9">
        <v>0</v>
      </c>
      <c r="E1415" s="8">
        <v>0</v>
      </c>
      <c r="F1415" s="8">
        <v>0</v>
      </c>
      <c r="G1415" s="18">
        <v>0</v>
      </c>
      <c r="H1415" s="240">
        <v>0</v>
      </c>
      <c r="I1415" s="240">
        <v>0</v>
      </c>
      <c r="J1415" s="240">
        <v>0</v>
      </c>
      <c r="K1415" s="240">
        <v>0</v>
      </c>
      <c r="L1415" s="240">
        <v>0</v>
      </c>
      <c r="M1415" s="240">
        <v>0</v>
      </c>
      <c r="N1415" s="240">
        <v>0</v>
      </c>
    </row>
    <row r="1416" spans="1:14" x14ac:dyDescent="0.3">
      <c r="A1416" s="135" t="s">
        <v>19</v>
      </c>
      <c r="B1416" s="137" t="s">
        <v>414</v>
      </c>
      <c r="C1416" s="137">
        <v>4</v>
      </c>
      <c r="D1416" s="9">
        <v>0</v>
      </c>
      <c r="E1416" s="8">
        <v>0</v>
      </c>
      <c r="F1416" s="8">
        <v>0</v>
      </c>
      <c r="G1416" s="18">
        <v>0</v>
      </c>
      <c r="H1416" s="240">
        <v>0</v>
      </c>
      <c r="I1416" s="240">
        <v>0</v>
      </c>
      <c r="J1416" s="240">
        <v>0</v>
      </c>
      <c r="K1416" s="240">
        <v>0</v>
      </c>
      <c r="L1416" s="240">
        <v>0</v>
      </c>
      <c r="M1416" s="240">
        <v>0</v>
      </c>
      <c r="N1416" s="240">
        <v>0</v>
      </c>
    </row>
    <row r="1417" spans="1:14" x14ac:dyDescent="0.3">
      <c r="A1417" s="135" t="s">
        <v>19</v>
      </c>
      <c r="B1417" s="137" t="s">
        <v>414</v>
      </c>
      <c r="C1417" s="137">
        <v>5</v>
      </c>
      <c r="D1417" s="9">
        <v>0</v>
      </c>
      <c r="E1417" s="8">
        <v>0</v>
      </c>
      <c r="F1417" s="8">
        <v>0</v>
      </c>
      <c r="G1417" s="18">
        <v>0</v>
      </c>
      <c r="H1417" s="240">
        <v>0</v>
      </c>
      <c r="I1417" s="240">
        <v>0</v>
      </c>
      <c r="J1417" s="240">
        <v>0</v>
      </c>
      <c r="K1417" s="240">
        <v>0</v>
      </c>
      <c r="L1417" s="240">
        <v>0</v>
      </c>
      <c r="M1417" s="240">
        <v>0</v>
      </c>
      <c r="N1417" s="240">
        <v>0</v>
      </c>
    </row>
    <row r="1418" spans="1:14" x14ac:dyDescent="0.3">
      <c r="A1418" s="135" t="s">
        <v>19</v>
      </c>
      <c r="B1418" s="137" t="s">
        <v>414</v>
      </c>
      <c r="C1418" s="137">
        <v>6</v>
      </c>
      <c r="D1418" s="9">
        <v>0</v>
      </c>
      <c r="E1418" s="8">
        <v>0</v>
      </c>
      <c r="F1418" s="8">
        <v>0</v>
      </c>
      <c r="G1418" s="18">
        <v>0</v>
      </c>
      <c r="H1418" s="240">
        <v>0</v>
      </c>
      <c r="I1418" s="240">
        <v>0</v>
      </c>
      <c r="J1418" s="240">
        <v>0</v>
      </c>
      <c r="K1418" s="240">
        <v>0</v>
      </c>
      <c r="L1418" s="240">
        <v>0</v>
      </c>
      <c r="M1418" s="240">
        <v>0</v>
      </c>
      <c r="N1418" s="240">
        <v>0</v>
      </c>
    </row>
    <row r="1419" spans="1:14" x14ac:dyDescent="0.3">
      <c r="A1419" s="135" t="s">
        <v>19</v>
      </c>
      <c r="B1419" s="137" t="s">
        <v>414</v>
      </c>
      <c r="C1419" s="137">
        <v>7</v>
      </c>
      <c r="D1419" s="9">
        <v>0</v>
      </c>
      <c r="E1419" s="8">
        <v>0</v>
      </c>
      <c r="F1419" s="8">
        <v>0</v>
      </c>
      <c r="G1419" s="18">
        <v>0</v>
      </c>
      <c r="H1419" s="240">
        <v>0</v>
      </c>
      <c r="I1419" s="240">
        <v>0</v>
      </c>
      <c r="J1419" s="240">
        <v>0</v>
      </c>
      <c r="K1419" s="240">
        <v>0</v>
      </c>
      <c r="L1419" s="240">
        <v>0</v>
      </c>
      <c r="M1419" s="240">
        <v>0</v>
      </c>
      <c r="N1419" s="240">
        <v>0</v>
      </c>
    </row>
    <row r="1420" spans="1:14" x14ac:dyDescent="0.3">
      <c r="A1420" s="135" t="s">
        <v>19</v>
      </c>
      <c r="B1420" s="137" t="s">
        <v>414</v>
      </c>
      <c r="C1420" s="137">
        <v>8</v>
      </c>
      <c r="D1420" s="9">
        <v>0</v>
      </c>
      <c r="E1420" s="8">
        <v>0</v>
      </c>
      <c r="F1420" s="8">
        <v>0</v>
      </c>
      <c r="G1420" s="18">
        <v>0</v>
      </c>
      <c r="H1420" s="240">
        <v>0</v>
      </c>
      <c r="I1420" s="240">
        <v>0</v>
      </c>
      <c r="J1420" s="240">
        <v>0</v>
      </c>
      <c r="K1420" s="240">
        <v>0</v>
      </c>
      <c r="L1420" s="240">
        <v>0</v>
      </c>
      <c r="M1420" s="240">
        <v>0</v>
      </c>
      <c r="N1420" s="240">
        <v>0</v>
      </c>
    </row>
    <row r="1421" spans="1:14" x14ac:dyDescent="0.3">
      <c r="A1421" s="135" t="s">
        <v>19</v>
      </c>
      <c r="B1421" s="137" t="s">
        <v>414</v>
      </c>
      <c r="C1421" s="137">
        <v>9</v>
      </c>
      <c r="D1421" s="9">
        <v>0</v>
      </c>
      <c r="E1421" s="8">
        <v>0</v>
      </c>
      <c r="F1421" s="8">
        <v>0</v>
      </c>
      <c r="G1421" s="18">
        <v>0</v>
      </c>
      <c r="H1421" s="240">
        <v>0</v>
      </c>
      <c r="I1421" s="240">
        <v>0</v>
      </c>
      <c r="J1421" s="240">
        <v>0</v>
      </c>
      <c r="K1421" s="240">
        <v>0</v>
      </c>
      <c r="L1421" s="240">
        <v>0</v>
      </c>
      <c r="M1421" s="240">
        <v>0</v>
      </c>
      <c r="N1421" s="240">
        <v>0</v>
      </c>
    </row>
    <row r="1422" spans="1:14" x14ac:dyDescent="0.3">
      <c r="A1422" s="135" t="s">
        <v>19</v>
      </c>
      <c r="B1422" s="137" t="s">
        <v>414</v>
      </c>
      <c r="C1422" s="137">
        <v>10</v>
      </c>
      <c r="D1422" s="9">
        <v>0</v>
      </c>
      <c r="E1422" s="8">
        <v>0</v>
      </c>
      <c r="F1422" s="8">
        <v>0</v>
      </c>
      <c r="G1422" s="18">
        <v>0</v>
      </c>
      <c r="H1422" s="240">
        <v>0</v>
      </c>
      <c r="I1422" s="240">
        <v>0</v>
      </c>
      <c r="J1422" s="240">
        <v>0</v>
      </c>
      <c r="K1422" s="240">
        <v>0</v>
      </c>
      <c r="L1422" s="240">
        <v>0</v>
      </c>
      <c r="M1422" s="240">
        <v>0</v>
      </c>
      <c r="N1422" s="240">
        <v>0</v>
      </c>
    </row>
    <row r="1423" spans="1:14" x14ac:dyDescent="0.3">
      <c r="A1423" s="135" t="s">
        <v>19</v>
      </c>
      <c r="B1423" s="137" t="s">
        <v>414</v>
      </c>
      <c r="C1423" s="137">
        <v>11</v>
      </c>
      <c r="D1423" s="9">
        <v>0</v>
      </c>
      <c r="E1423" s="8">
        <v>0</v>
      </c>
      <c r="F1423" s="8">
        <v>0</v>
      </c>
      <c r="G1423" s="18">
        <v>0</v>
      </c>
      <c r="H1423" s="240">
        <v>0</v>
      </c>
      <c r="I1423" s="240">
        <v>0</v>
      </c>
      <c r="J1423" s="240">
        <v>0</v>
      </c>
      <c r="K1423" s="240">
        <v>0</v>
      </c>
      <c r="L1423" s="240">
        <v>0</v>
      </c>
      <c r="M1423" s="240">
        <v>0</v>
      </c>
      <c r="N1423" s="240">
        <v>0</v>
      </c>
    </row>
    <row r="1424" spans="1:14" x14ac:dyDescent="0.3">
      <c r="A1424" s="135" t="s">
        <v>19</v>
      </c>
      <c r="B1424" s="137" t="s">
        <v>414</v>
      </c>
      <c r="C1424" s="137">
        <v>12</v>
      </c>
      <c r="D1424" s="9">
        <v>0</v>
      </c>
      <c r="E1424" s="8">
        <v>0</v>
      </c>
      <c r="F1424" s="8">
        <v>0</v>
      </c>
      <c r="G1424" s="18">
        <v>0</v>
      </c>
      <c r="H1424" s="240">
        <v>0</v>
      </c>
      <c r="I1424" s="240">
        <v>0</v>
      </c>
      <c r="J1424" s="240">
        <v>0</v>
      </c>
      <c r="K1424" s="240">
        <v>0</v>
      </c>
      <c r="L1424" s="240">
        <v>0</v>
      </c>
      <c r="M1424" s="240">
        <v>0</v>
      </c>
      <c r="N1424" s="240">
        <v>0</v>
      </c>
    </row>
    <row r="1425" spans="1:14" x14ac:dyDescent="0.3">
      <c r="A1425" s="135" t="s">
        <v>19</v>
      </c>
      <c r="B1425" s="137" t="s">
        <v>414</v>
      </c>
      <c r="C1425" s="137">
        <v>13</v>
      </c>
      <c r="D1425" s="9">
        <v>0</v>
      </c>
      <c r="E1425" s="8">
        <v>0</v>
      </c>
      <c r="F1425" s="8">
        <v>0</v>
      </c>
      <c r="G1425" s="18">
        <v>0</v>
      </c>
      <c r="H1425" s="240">
        <v>0</v>
      </c>
      <c r="I1425" s="240">
        <v>0</v>
      </c>
      <c r="J1425" s="240">
        <v>0</v>
      </c>
      <c r="K1425" s="240">
        <v>0</v>
      </c>
      <c r="L1425" s="240">
        <v>0</v>
      </c>
      <c r="M1425" s="240">
        <v>0</v>
      </c>
      <c r="N1425" s="240">
        <v>0</v>
      </c>
    </row>
    <row r="1426" spans="1:14" x14ac:dyDescent="0.3">
      <c r="A1426" s="135" t="s">
        <v>19</v>
      </c>
      <c r="B1426" s="137" t="s">
        <v>414</v>
      </c>
      <c r="C1426" s="137">
        <v>14</v>
      </c>
      <c r="D1426" s="9">
        <v>0</v>
      </c>
      <c r="E1426" s="8">
        <v>0</v>
      </c>
      <c r="F1426" s="8">
        <v>0</v>
      </c>
      <c r="G1426" s="18">
        <v>0</v>
      </c>
      <c r="H1426" s="240">
        <v>0</v>
      </c>
      <c r="I1426" s="240">
        <v>0</v>
      </c>
      <c r="J1426" s="240">
        <v>0</v>
      </c>
      <c r="K1426" s="240">
        <v>0</v>
      </c>
      <c r="L1426" s="240">
        <v>0</v>
      </c>
      <c r="M1426" s="240">
        <v>0</v>
      </c>
      <c r="N1426" s="240">
        <v>0</v>
      </c>
    </row>
    <row r="1427" spans="1:14" x14ac:dyDescent="0.3">
      <c r="A1427" s="135" t="s">
        <v>19</v>
      </c>
      <c r="B1427" s="137" t="s">
        <v>414</v>
      </c>
      <c r="C1427" s="137">
        <v>15</v>
      </c>
      <c r="D1427" s="9">
        <v>0</v>
      </c>
      <c r="E1427" s="8">
        <v>0</v>
      </c>
      <c r="F1427" s="8">
        <v>0</v>
      </c>
      <c r="G1427" s="18">
        <v>0</v>
      </c>
      <c r="H1427" s="240">
        <v>0</v>
      </c>
      <c r="I1427" s="240">
        <v>0</v>
      </c>
      <c r="J1427" s="240">
        <v>0</v>
      </c>
      <c r="K1427" s="240">
        <v>0</v>
      </c>
      <c r="L1427" s="240">
        <v>0</v>
      </c>
      <c r="M1427" s="240">
        <v>0</v>
      </c>
      <c r="N1427" s="240">
        <v>0</v>
      </c>
    </row>
    <row r="1428" spans="1:14" x14ac:dyDescent="0.3">
      <c r="A1428" s="135" t="s">
        <v>19</v>
      </c>
      <c r="B1428" s="137" t="s">
        <v>414</v>
      </c>
      <c r="C1428" s="137">
        <v>16</v>
      </c>
      <c r="D1428" s="9">
        <v>0</v>
      </c>
      <c r="E1428" s="8">
        <v>0</v>
      </c>
      <c r="F1428" s="8">
        <v>0</v>
      </c>
      <c r="G1428" s="18">
        <v>0</v>
      </c>
      <c r="H1428" s="240">
        <v>0</v>
      </c>
      <c r="I1428" s="240">
        <v>0</v>
      </c>
      <c r="J1428" s="240">
        <v>0</v>
      </c>
      <c r="K1428" s="240">
        <v>0</v>
      </c>
      <c r="L1428" s="240">
        <v>0</v>
      </c>
      <c r="M1428" s="240">
        <v>0</v>
      </c>
      <c r="N1428" s="240">
        <v>0</v>
      </c>
    </row>
    <row r="1429" spans="1:14" x14ac:dyDescent="0.3">
      <c r="A1429" s="135" t="s">
        <v>19</v>
      </c>
      <c r="B1429" s="137" t="s">
        <v>414</v>
      </c>
      <c r="C1429" s="137">
        <v>17</v>
      </c>
      <c r="D1429" s="9">
        <v>0</v>
      </c>
      <c r="E1429" s="8">
        <v>0</v>
      </c>
      <c r="F1429" s="8">
        <v>0</v>
      </c>
      <c r="G1429" s="18">
        <v>0</v>
      </c>
      <c r="H1429" s="240">
        <v>0</v>
      </c>
      <c r="I1429" s="240">
        <v>0</v>
      </c>
      <c r="J1429" s="240">
        <v>0</v>
      </c>
      <c r="K1429" s="240">
        <v>0</v>
      </c>
      <c r="L1429" s="240">
        <v>0</v>
      </c>
      <c r="M1429" s="240">
        <v>0</v>
      </c>
      <c r="N1429" s="240">
        <v>0</v>
      </c>
    </row>
    <row r="1430" spans="1:14" x14ac:dyDescent="0.3">
      <c r="A1430" s="135" t="s">
        <v>19</v>
      </c>
      <c r="B1430" s="137" t="s">
        <v>414</v>
      </c>
      <c r="C1430" s="137">
        <v>18</v>
      </c>
      <c r="D1430" s="9">
        <v>0</v>
      </c>
      <c r="E1430" s="8">
        <v>0</v>
      </c>
      <c r="F1430" s="8">
        <v>0</v>
      </c>
      <c r="G1430" s="18">
        <v>0</v>
      </c>
      <c r="H1430" s="240">
        <v>0</v>
      </c>
      <c r="I1430" s="240">
        <v>0</v>
      </c>
      <c r="J1430" s="240">
        <v>0</v>
      </c>
      <c r="K1430" s="240">
        <v>0</v>
      </c>
      <c r="L1430" s="240">
        <v>0</v>
      </c>
      <c r="M1430" s="240">
        <v>0</v>
      </c>
      <c r="N1430" s="240">
        <v>0</v>
      </c>
    </row>
    <row r="1431" spans="1:14" x14ac:dyDescent="0.3">
      <c r="A1431" s="135" t="s">
        <v>19</v>
      </c>
      <c r="B1431" s="137" t="s">
        <v>414</v>
      </c>
      <c r="C1431" s="137">
        <v>19</v>
      </c>
      <c r="D1431" s="9">
        <v>0</v>
      </c>
      <c r="E1431" s="8">
        <v>0</v>
      </c>
      <c r="F1431" s="8">
        <v>0</v>
      </c>
      <c r="G1431" s="18">
        <v>0</v>
      </c>
      <c r="H1431" s="240">
        <v>0</v>
      </c>
      <c r="I1431" s="240">
        <v>0</v>
      </c>
      <c r="J1431" s="240">
        <v>0</v>
      </c>
      <c r="K1431" s="240">
        <v>0</v>
      </c>
      <c r="L1431" s="240">
        <v>0</v>
      </c>
      <c r="M1431" s="240">
        <v>0</v>
      </c>
      <c r="N1431" s="240">
        <v>0</v>
      </c>
    </row>
    <row r="1432" spans="1:14" x14ac:dyDescent="0.3">
      <c r="A1432" s="135" t="s">
        <v>19</v>
      </c>
      <c r="B1432" s="137" t="s">
        <v>414</v>
      </c>
      <c r="C1432" s="137">
        <v>20</v>
      </c>
      <c r="D1432" s="9">
        <v>0</v>
      </c>
      <c r="E1432" s="8">
        <v>0</v>
      </c>
      <c r="F1432" s="8">
        <v>0</v>
      </c>
      <c r="G1432" s="18">
        <v>0</v>
      </c>
      <c r="H1432" s="240">
        <v>0</v>
      </c>
      <c r="I1432" s="240">
        <v>0</v>
      </c>
      <c r="J1432" s="240">
        <v>0</v>
      </c>
      <c r="K1432" s="240">
        <v>0</v>
      </c>
      <c r="L1432" s="240">
        <v>0</v>
      </c>
      <c r="M1432" s="240">
        <v>0</v>
      </c>
      <c r="N1432" s="240">
        <v>0</v>
      </c>
    </row>
    <row r="1433" spans="1:14" x14ac:dyDescent="0.3">
      <c r="A1433" s="135" t="s">
        <v>19</v>
      </c>
      <c r="B1433" s="137" t="s">
        <v>414</v>
      </c>
      <c r="C1433" s="137">
        <v>21</v>
      </c>
      <c r="D1433" s="9">
        <v>0</v>
      </c>
      <c r="E1433" s="8">
        <v>0</v>
      </c>
      <c r="F1433" s="8">
        <v>0</v>
      </c>
      <c r="G1433" s="18">
        <v>0</v>
      </c>
      <c r="H1433" s="240">
        <v>0</v>
      </c>
      <c r="I1433" s="240">
        <v>0</v>
      </c>
      <c r="J1433" s="240">
        <v>0</v>
      </c>
      <c r="K1433" s="240">
        <v>0</v>
      </c>
      <c r="L1433" s="240">
        <v>0</v>
      </c>
      <c r="M1433" s="240">
        <v>0</v>
      </c>
      <c r="N1433" s="240">
        <v>0</v>
      </c>
    </row>
    <row r="1434" spans="1:14" x14ac:dyDescent="0.3">
      <c r="A1434" s="135" t="s">
        <v>19</v>
      </c>
      <c r="B1434" s="137" t="s">
        <v>414</v>
      </c>
      <c r="C1434" s="137">
        <v>22</v>
      </c>
      <c r="D1434" s="9">
        <v>0</v>
      </c>
      <c r="E1434" s="8">
        <v>0</v>
      </c>
      <c r="F1434" s="8">
        <v>0</v>
      </c>
      <c r="G1434" s="18">
        <v>0</v>
      </c>
      <c r="H1434" s="240">
        <v>0</v>
      </c>
      <c r="I1434" s="240">
        <v>0</v>
      </c>
      <c r="J1434" s="240">
        <v>0</v>
      </c>
      <c r="K1434" s="240">
        <v>0</v>
      </c>
      <c r="L1434" s="240">
        <v>0</v>
      </c>
      <c r="M1434" s="240">
        <v>0</v>
      </c>
      <c r="N1434" s="240">
        <v>0</v>
      </c>
    </row>
    <row r="1435" spans="1:14" x14ac:dyDescent="0.3">
      <c r="A1435" s="135" t="s">
        <v>19</v>
      </c>
      <c r="B1435" s="137" t="s">
        <v>414</v>
      </c>
      <c r="C1435" s="137">
        <v>23</v>
      </c>
      <c r="D1435" s="9">
        <v>0</v>
      </c>
      <c r="E1435" s="8">
        <v>0</v>
      </c>
      <c r="F1435" s="8">
        <v>0</v>
      </c>
      <c r="G1435" s="18">
        <v>0</v>
      </c>
      <c r="H1435" s="240">
        <v>0</v>
      </c>
      <c r="I1435" s="240">
        <v>0</v>
      </c>
      <c r="J1435" s="240">
        <v>0</v>
      </c>
      <c r="K1435" s="240">
        <v>0</v>
      </c>
      <c r="L1435" s="240">
        <v>0</v>
      </c>
      <c r="M1435" s="240">
        <v>0</v>
      </c>
      <c r="N1435" s="240">
        <v>0</v>
      </c>
    </row>
    <row r="1436" spans="1:14" x14ac:dyDescent="0.3">
      <c r="A1436" s="135" t="s">
        <v>19</v>
      </c>
      <c r="B1436" s="137" t="s">
        <v>414</v>
      </c>
      <c r="C1436" s="137">
        <v>24</v>
      </c>
      <c r="D1436" s="9">
        <v>0</v>
      </c>
      <c r="E1436" s="8">
        <v>0</v>
      </c>
      <c r="F1436" s="8">
        <v>0</v>
      </c>
      <c r="G1436" s="18">
        <v>0</v>
      </c>
      <c r="H1436" s="240">
        <v>0</v>
      </c>
      <c r="I1436" s="240">
        <v>0</v>
      </c>
      <c r="J1436" s="240">
        <v>0</v>
      </c>
      <c r="K1436" s="240">
        <v>0</v>
      </c>
      <c r="L1436" s="240">
        <v>0</v>
      </c>
      <c r="M1436" s="240">
        <v>0</v>
      </c>
      <c r="N1436" s="240">
        <v>0</v>
      </c>
    </row>
    <row r="1437" spans="1:14" x14ac:dyDescent="0.3">
      <c r="A1437" s="135" t="s">
        <v>19</v>
      </c>
      <c r="B1437" s="137" t="s">
        <v>414</v>
      </c>
      <c r="C1437" s="137">
        <v>25</v>
      </c>
      <c r="D1437" s="9">
        <v>0</v>
      </c>
      <c r="E1437" s="8">
        <v>0</v>
      </c>
      <c r="F1437" s="8">
        <v>0</v>
      </c>
      <c r="G1437" s="18">
        <v>0</v>
      </c>
      <c r="H1437" s="240">
        <v>0</v>
      </c>
      <c r="I1437" s="240">
        <v>0</v>
      </c>
      <c r="J1437" s="240">
        <v>0</v>
      </c>
      <c r="K1437" s="240">
        <v>0</v>
      </c>
      <c r="L1437" s="240">
        <v>0</v>
      </c>
      <c r="M1437" s="240">
        <v>0</v>
      </c>
      <c r="N1437" s="240">
        <v>0</v>
      </c>
    </row>
    <row r="1438" spans="1:14" x14ac:dyDescent="0.3">
      <c r="A1438" s="135" t="s">
        <v>19</v>
      </c>
      <c r="B1438" s="137" t="s">
        <v>414</v>
      </c>
      <c r="C1438" s="137">
        <v>26</v>
      </c>
      <c r="D1438" s="9">
        <v>0</v>
      </c>
      <c r="E1438" s="8">
        <v>0</v>
      </c>
      <c r="F1438" s="8">
        <v>0</v>
      </c>
      <c r="G1438" s="18">
        <v>0</v>
      </c>
      <c r="H1438" s="240">
        <v>0</v>
      </c>
      <c r="I1438" s="240">
        <v>0</v>
      </c>
      <c r="J1438" s="240">
        <v>0</v>
      </c>
      <c r="K1438" s="240">
        <v>0</v>
      </c>
      <c r="L1438" s="240">
        <v>0</v>
      </c>
      <c r="M1438" s="240">
        <v>0</v>
      </c>
      <c r="N1438" s="240">
        <v>0</v>
      </c>
    </row>
    <row r="1439" spans="1:14" x14ac:dyDescent="0.3">
      <c r="A1439" s="135" t="s">
        <v>19</v>
      </c>
      <c r="B1439" s="137" t="s">
        <v>414</v>
      </c>
      <c r="C1439" s="137">
        <v>27</v>
      </c>
      <c r="D1439" s="9">
        <v>0</v>
      </c>
      <c r="E1439" s="8">
        <v>0</v>
      </c>
      <c r="F1439" s="8">
        <v>0</v>
      </c>
      <c r="G1439" s="18">
        <v>0</v>
      </c>
      <c r="H1439" s="240">
        <v>0</v>
      </c>
      <c r="I1439" s="240">
        <v>0</v>
      </c>
      <c r="J1439" s="240">
        <v>0</v>
      </c>
      <c r="K1439" s="240">
        <v>0</v>
      </c>
      <c r="L1439" s="240">
        <v>0</v>
      </c>
      <c r="M1439" s="240">
        <v>0</v>
      </c>
      <c r="N1439" s="240">
        <v>0</v>
      </c>
    </row>
    <row r="1440" spans="1:14" x14ac:dyDescent="0.3">
      <c r="A1440" s="135" t="s">
        <v>19</v>
      </c>
      <c r="B1440" s="137" t="s">
        <v>414</v>
      </c>
      <c r="C1440" s="137">
        <v>28</v>
      </c>
      <c r="D1440" s="9">
        <v>0</v>
      </c>
      <c r="E1440" s="8">
        <v>0</v>
      </c>
      <c r="F1440" s="8">
        <v>0</v>
      </c>
      <c r="G1440" s="18">
        <v>0</v>
      </c>
      <c r="H1440" s="240">
        <v>0</v>
      </c>
      <c r="I1440" s="240">
        <v>0</v>
      </c>
      <c r="J1440" s="240">
        <v>0</v>
      </c>
      <c r="K1440" s="240">
        <v>0</v>
      </c>
      <c r="L1440" s="240">
        <v>0</v>
      </c>
      <c r="M1440" s="240">
        <v>0</v>
      </c>
      <c r="N1440" s="240">
        <v>0</v>
      </c>
    </row>
    <row r="1441" spans="1:14" x14ac:dyDescent="0.3">
      <c r="A1441" s="135" t="s">
        <v>19</v>
      </c>
      <c r="B1441" s="137" t="s">
        <v>414</v>
      </c>
      <c r="C1441" s="137">
        <v>29</v>
      </c>
      <c r="D1441" s="9">
        <v>0</v>
      </c>
      <c r="E1441" s="8">
        <v>0</v>
      </c>
      <c r="F1441" s="8">
        <v>0</v>
      </c>
      <c r="G1441" s="18">
        <v>0</v>
      </c>
      <c r="H1441" s="240">
        <v>0</v>
      </c>
      <c r="I1441" s="240">
        <v>0</v>
      </c>
      <c r="J1441" s="240">
        <v>0</v>
      </c>
      <c r="K1441" s="240">
        <v>0</v>
      </c>
      <c r="L1441" s="240">
        <v>0</v>
      </c>
      <c r="M1441" s="240">
        <v>0</v>
      </c>
      <c r="N1441" s="240">
        <v>0</v>
      </c>
    </row>
    <row r="1442" spans="1:14" x14ac:dyDescent="0.3">
      <c r="A1442" s="138" t="s">
        <v>19</v>
      </c>
      <c r="B1442" s="137" t="s">
        <v>414</v>
      </c>
      <c r="C1442" s="137">
        <v>30</v>
      </c>
      <c r="D1442" s="9">
        <v>0</v>
      </c>
      <c r="E1442" s="8">
        <v>0</v>
      </c>
      <c r="F1442" s="8">
        <v>0</v>
      </c>
      <c r="G1442" s="18">
        <v>0</v>
      </c>
      <c r="H1442" s="240">
        <v>0</v>
      </c>
      <c r="I1442" s="240">
        <v>0</v>
      </c>
      <c r="J1442" s="240">
        <v>0</v>
      </c>
      <c r="K1442" s="240">
        <v>0</v>
      </c>
      <c r="L1442" s="240">
        <v>0</v>
      </c>
      <c r="M1442" s="240">
        <v>0</v>
      </c>
      <c r="N1442" s="240">
        <v>0</v>
      </c>
    </row>
    <row r="1443" spans="1:14" x14ac:dyDescent="0.3">
      <c r="A1443" s="142" t="s">
        <v>19</v>
      </c>
      <c r="B1443" s="143" t="s">
        <v>415</v>
      </c>
      <c r="C1443" s="143">
        <v>1</v>
      </c>
      <c r="D1443" s="9">
        <v>0</v>
      </c>
      <c r="E1443" s="8">
        <v>0</v>
      </c>
      <c r="F1443" s="8">
        <v>0</v>
      </c>
      <c r="G1443" s="18">
        <v>0</v>
      </c>
      <c r="H1443" s="240">
        <v>0</v>
      </c>
      <c r="I1443" s="240">
        <v>0</v>
      </c>
      <c r="J1443" s="240">
        <v>0</v>
      </c>
      <c r="K1443" s="240">
        <v>0</v>
      </c>
      <c r="L1443" s="240">
        <v>0</v>
      </c>
      <c r="M1443" s="240">
        <v>0</v>
      </c>
      <c r="N1443" s="240">
        <v>0</v>
      </c>
    </row>
    <row r="1444" spans="1:14" x14ac:dyDescent="0.3">
      <c r="A1444" s="135" t="s">
        <v>19</v>
      </c>
      <c r="B1444" s="136" t="s">
        <v>415</v>
      </c>
      <c r="C1444" s="137">
        <v>2</v>
      </c>
      <c r="D1444" s="9">
        <v>0</v>
      </c>
      <c r="E1444" s="8">
        <v>0</v>
      </c>
      <c r="F1444" s="8">
        <v>0</v>
      </c>
      <c r="G1444" s="18">
        <v>0</v>
      </c>
      <c r="H1444" s="240">
        <v>0</v>
      </c>
      <c r="I1444" s="240">
        <v>0</v>
      </c>
      <c r="J1444" s="240">
        <v>0</v>
      </c>
      <c r="K1444" s="240">
        <v>0</v>
      </c>
      <c r="L1444" s="240">
        <v>0</v>
      </c>
      <c r="M1444" s="240">
        <v>0</v>
      </c>
      <c r="N1444" s="240">
        <v>0</v>
      </c>
    </row>
    <row r="1445" spans="1:14" x14ac:dyDescent="0.3">
      <c r="A1445" s="135" t="s">
        <v>19</v>
      </c>
      <c r="B1445" s="137" t="s">
        <v>415</v>
      </c>
      <c r="C1445" s="137">
        <v>3</v>
      </c>
      <c r="D1445" s="9">
        <v>0</v>
      </c>
      <c r="E1445" s="8">
        <v>0</v>
      </c>
      <c r="F1445" s="8">
        <v>0</v>
      </c>
      <c r="G1445" s="18">
        <v>0</v>
      </c>
      <c r="H1445" s="240">
        <v>0</v>
      </c>
      <c r="I1445" s="240">
        <v>0</v>
      </c>
      <c r="J1445" s="240">
        <v>0</v>
      </c>
      <c r="K1445" s="240">
        <v>0</v>
      </c>
      <c r="L1445" s="240">
        <v>0</v>
      </c>
      <c r="M1445" s="240">
        <v>0</v>
      </c>
      <c r="N1445" s="240">
        <v>0</v>
      </c>
    </row>
    <row r="1446" spans="1:14" x14ac:dyDescent="0.3">
      <c r="A1446" s="135" t="s">
        <v>19</v>
      </c>
      <c r="B1446" s="137" t="s">
        <v>415</v>
      </c>
      <c r="C1446" s="137">
        <v>4</v>
      </c>
      <c r="D1446" s="9">
        <v>0</v>
      </c>
      <c r="E1446" s="8">
        <v>0</v>
      </c>
      <c r="F1446" s="8">
        <v>0</v>
      </c>
      <c r="G1446" s="18">
        <v>0</v>
      </c>
      <c r="H1446" s="240">
        <v>0</v>
      </c>
      <c r="I1446" s="240">
        <v>0</v>
      </c>
      <c r="J1446" s="240">
        <v>0</v>
      </c>
      <c r="K1446" s="240">
        <v>0</v>
      </c>
      <c r="L1446" s="240">
        <v>0</v>
      </c>
      <c r="M1446" s="240">
        <v>0</v>
      </c>
      <c r="N1446" s="240">
        <v>0</v>
      </c>
    </row>
    <row r="1447" spans="1:14" x14ac:dyDescent="0.3">
      <c r="A1447" s="135" t="s">
        <v>19</v>
      </c>
      <c r="B1447" s="137" t="s">
        <v>415</v>
      </c>
      <c r="C1447" s="137">
        <v>5</v>
      </c>
      <c r="D1447" s="9">
        <v>0</v>
      </c>
      <c r="E1447" s="8">
        <v>0</v>
      </c>
      <c r="F1447" s="8">
        <v>0</v>
      </c>
      <c r="G1447" s="18">
        <v>0</v>
      </c>
      <c r="H1447" s="240">
        <v>0</v>
      </c>
      <c r="I1447" s="240">
        <v>0</v>
      </c>
      <c r="J1447" s="240">
        <v>0</v>
      </c>
      <c r="K1447" s="240">
        <v>0</v>
      </c>
      <c r="L1447" s="240">
        <v>0</v>
      </c>
      <c r="M1447" s="240">
        <v>0</v>
      </c>
      <c r="N1447" s="240">
        <v>0</v>
      </c>
    </row>
    <row r="1448" spans="1:14" x14ac:dyDescent="0.3">
      <c r="A1448" s="135" t="s">
        <v>19</v>
      </c>
      <c r="B1448" s="137" t="s">
        <v>415</v>
      </c>
      <c r="C1448" s="137">
        <v>6</v>
      </c>
      <c r="D1448" s="9">
        <v>0</v>
      </c>
      <c r="E1448" s="8">
        <v>0</v>
      </c>
      <c r="F1448" s="8">
        <v>0</v>
      </c>
      <c r="G1448" s="18">
        <v>0</v>
      </c>
      <c r="H1448" s="240">
        <v>0</v>
      </c>
      <c r="I1448" s="240">
        <v>0</v>
      </c>
      <c r="J1448" s="240">
        <v>0</v>
      </c>
      <c r="K1448" s="240">
        <v>0</v>
      </c>
      <c r="L1448" s="240">
        <v>0</v>
      </c>
      <c r="M1448" s="240">
        <v>0</v>
      </c>
      <c r="N1448" s="240">
        <v>0</v>
      </c>
    </row>
    <row r="1449" spans="1:14" x14ac:dyDescent="0.3">
      <c r="A1449" s="135" t="s">
        <v>19</v>
      </c>
      <c r="B1449" s="137" t="s">
        <v>415</v>
      </c>
      <c r="C1449" s="137">
        <v>7</v>
      </c>
      <c r="D1449" s="9">
        <v>0</v>
      </c>
      <c r="E1449" s="8">
        <v>0</v>
      </c>
      <c r="F1449" s="8">
        <v>0</v>
      </c>
      <c r="G1449" s="18">
        <v>0</v>
      </c>
      <c r="H1449" s="240">
        <v>0</v>
      </c>
      <c r="I1449" s="240">
        <v>0</v>
      </c>
      <c r="J1449" s="240">
        <v>0</v>
      </c>
      <c r="K1449" s="240">
        <v>0</v>
      </c>
      <c r="L1449" s="240">
        <v>0</v>
      </c>
      <c r="M1449" s="240">
        <v>0</v>
      </c>
      <c r="N1449" s="240">
        <v>0</v>
      </c>
    </row>
    <row r="1450" spans="1:14" x14ac:dyDescent="0.3">
      <c r="A1450" s="135" t="s">
        <v>19</v>
      </c>
      <c r="B1450" s="137" t="s">
        <v>415</v>
      </c>
      <c r="C1450" s="137">
        <v>8</v>
      </c>
      <c r="D1450" s="9">
        <v>0</v>
      </c>
      <c r="E1450" s="8">
        <v>0</v>
      </c>
      <c r="F1450" s="8">
        <v>0</v>
      </c>
      <c r="G1450" s="18">
        <v>0</v>
      </c>
      <c r="H1450" s="240">
        <v>0</v>
      </c>
      <c r="I1450" s="240">
        <v>0</v>
      </c>
      <c r="J1450" s="240">
        <v>0</v>
      </c>
      <c r="K1450" s="240">
        <v>0</v>
      </c>
      <c r="L1450" s="240">
        <v>0</v>
      </c>
      <c r="M1450" s="240">
        <v>0</v>
      </c>
      <c r="N1450" s="240">
        <v>0</v>
      </c>
    </row>
    <row r="1451" spans="1:14" x14ac:dyDescent="0.3">
      <c r="A1451" s="135" t="s">
        <v>19</v>
      </c>
      <c r="B1451" s="137" t="s">
        <v>415</v>
      </c>
      <c r="C1451" s="137">
        <v>9</v>
      </c>
      <c r="D1451" s="9">
        <v>0</v>
      </c>
      <c r="E1451" s="8">
        <v>0</v>
      </c>
      <c r="F1451" s="8">
        <v>0</v>
      </c>
      <c r="G1451" s="18">
        <v>0</v>
      </c>
      <c r="H1451" s="240">
        <v>0</v>
      </c>
      <c r="I1451" s="240">
        <v>0</v>
      </c>
      <c r="J1451" s="240">
        <v>0</v>
      </c>
      <c r="K1451" s="240">
        <v>0</v>
      </c>
      <c r="L1451" s="240">
        <v>0</v>
      </c>
      <c r="M1451" s="240">
        <v>0</v>
      </c>
      <c r="N1451" s="240">
        <v>0</v>
      </c>
    </row>
    <row r="1452" spans="1:14" x14ac:dyDescent="0.3">
      <c r="A1452" s="135" t="s">
        <v>19</v>
      </c>
      <c r="B1452" s="137" t="s">
        <v>415</v>
      </c>
      <c r="C1452" s="137">
        <v>10</v>
      </c>
      <c r="D1452" s="9">
        <v>0</v>
      </c>
      <c r="E1452" s="8">
        <v>0</v>
      </c>
      <c r="F1452" s="8">
        <v>0</v>
      </c>
      <c r="G1452" s="18">
        <v>0</v>
      </c>
      <c r="H1452" s="240">
        <v>0</v>
      </c>
      <c r="I1452" s="240">
        <v>0</v>
      </c>
      <c r="J1452" s="240">
        <v>0</v>
      </c>
      <c r="K1452" s="240">
        <v>0</v>
      </c>
      <c r="L1452" s="240">
        <v>0</v>
      </c>
      <c r="M1452" s="240">
        <v>0</v>
      </c>
      <c r="N1452" s="240">
        <v>0</v>
      </c>
    </row>
    <row r="1453" spans="1:14" x14ac:dyDescent="0.3">
      <c r="A1453" s="135" t="s">
        <v>19</v>
      </c>
      <c r="B1453" s="137" t="s">
        <v>415</v>
      </c>
      <c r="C1453" s="137">
        <v>11</v>
      </c>
      <c r="D1453" s="9">
        <v>0</v>
      </c>
      <c r="E1453" s="8">
        <v>0</v>
      </c>
      <c r="F1453" s="8">
        <v>0</v>
      </c>
      <c r="G1453" s="18">
        <v>0</v>
      </c>
      <c r="H1453" s="240">
        <v>0</v>
      </c>
      <c r="I1453" s="240">
        <v>0</v>
      </c>
      <c r="J1453" s="240">
        <v>0</v>
      </c>
      <c r="K1453" s="240">
        <v>0</v>
      </c>
      <c r="L1453" s="240">
        <v>0</v>
      </c>
      <c r="M1453" s="240">
        <v>0</v>
      </c>
      <c r="N1453" s="240">
        <v>0</v>
      </c>
    </row>
    <row r="1454" spans="1:14" x14ac:dyDescent="0.3">
      <c r="A1454" s="135" t="s">
        <v>19</v>
      </c>
      <c r="B1454" s="137" t="s">
        <v>415</v>
      </c>
      <c r="C1454" s="137">
        <v>12</v>
      </c>
      <c r="D1454" s="9">
        <v>0</v>
      </c>
      <c r="E1454" s="8">
        <v>0</v>
      </c>
      <c r="F1454" s="8">
        <v>0</v>
      </c>
      <c r="G1454" s="18">
        <v>0</v>
      </c>
      <c r="H1454" s="240">
        <v>0</v>
      </c>
      <c r="I1454" s="240">
        <v>0</v>
      </c>
      <c r="J1454" s="240">
        <v>0</v>
      </c>
      <c r="K1454" s="240">
        <v>0</v>
      </c>
      <c r="L1454" s="240">
        <v>0</v>
      </c>
      <c r="M1454" s="240">
        <v>0</v>
      </c>
      <c r="N1454" s="240">
        <v>0</v>
      </c>
    </row>
    <row r="1455" spans="1:14" x14ac:dyDescent="0.3">
      <c r="A1455" s="135" t="s">
        <v>19</v>
      </c>
      <c r="B1455" s="137" t="s">
        <v>415</v>
      </c>
      <c r="C1455" s="137">
        <v>13</v>
      </c>
      <c r="D1455" s="9">
        <v>0</v>
      </c>
      <c r="E1455" s="8">
        <v>0</v>
      </c>
      <c r="F1455" s="8">
        <v>0</v>
      </c>
      <c r="G1455" s="18">
        <v>0</v>
      </c>
      <c r="H1455" s="240">
        <v>0</v>
      </c>
      <c r="I1455" s="240">
        <v>0</v>
      </c>
      <c r="J1455" s="240">
        <v>0</v>
      </c>
      <c r="K1455" s="240">
        <v>0</v>
      </c>
      <c r="L1455" s="240">
        <v>0</v>
      </c>
      <c r="M1455" s="240">
        <v>0</v>
      </c>
      <c r="N1455" s="240">
        <v>0</v>
      </c>
    </row>
    <row r="1456" spans="1:14" x14ac:dyDescent="0.3">
      <c r="A1456" s="135" t="s">
        <v>19</v>
      </c>
      <c r="B1456" s="137" t="s">
        <v>415</v>
      </c>
      <c r="C1456" s="137">
        <v>14</v>
      </c>
      <c r="D1456" s="9">
        <v>0</v>
      </c>
      <c r="E1456" s="8">
        <v>0</v>
      </c>
      <c r="F1456" s="8">
        <v>0</v>
      </c>
      <c r="G1456" s="18">
        <v>0</v>
      </c>
      <c r="H1456" s="240">
        <v>0</v>
      </c>
      <c r="I1456" s="240">
        <v>0</v>
      </c>
      <c r="J1456" s="240">
        <v>0</v>
      </c>
      <c r="K1456" s="240">
        <v>0</v>
      </c>
      <c r="L1456" s="240">
        <v>0</v>
      </c>
      <c r="M1456" s="240">
        <v>0</v>
      </c>
      <c r="N1456" s="240">
        <v>0</v>
      </c>
    </row>
    <row r="1457" spans="1:14" x14ac:dyDescent="0.3">
      <c r="A1457" s="135" t="s">
        <v>19</v>
      </c>
      <c r="B1457" s="137" t="s">
        <v>415</v>
      </c>
      <c r="C1457" s="137">
        <v>15</v>
      </c>
      <c r="D1457" s="9">
        <v>0</v>
      </c>
      <c r="E1457" s="8">
        <v>0</v>
      </c>
      <c r="F1457" s="8">
        <v>0</v>
      </c>
      <c r="G1457" s="18">
        <v>0</v>
      </c>
      <c r="H1457" s="240">
        <v>0</v>
      </c>
      <c r="I1457" s="240">
        <v>0</v>
      </c>
      <c r="J1457" s="240">
        <v>0</v>
      </c>
      <c r="K1457" s="240">
        <v>0</v>
      </c>
      <c r="L1457" s="240">
        <v>0</v>
      </c>
      <c r="M1457" s="240">
        <v>0</v>
      </c>
      <c r="N1457" s="240">
        <v>0</v>
      </c>
    </row>
    <row r="1458" spans="1:14" x14ac:dyDescent="0.3">
      <c r="A1458" s="135" t="s">
        <v>19</v>
      </c>
      <c r="B1458" s="137" t="s">
        <v>415</v>
      </c>
      <c r="C1458" s="137">
        <v>16</v>
      </c>
      <c r="D1458" s="9">
        <v>0</v>
      </c>
      <c r="E1458" s="8">
        <v>0</v>
      </c>
      <c r="F1458" s="8">
        <v>0</v>
      </c>
      <c r="G1458" s="18">
        <v>0</v>
      </c>
      <c r="H1458" s="240">
        <v>0</v>
      </c>
      <c r="I1458" s="240">
        <v>0</v>
      </c>
      <c r="J1458" s="240">
        <v>0</v>
      </c>
      <c r="K1458" s="240">
        <v>0</v>
      </c>
      <c r="L1458" s="240">
        <v>0</v>
      </c>
      <c r="M1458" s="240">
        <v>0</v>
      </c>
      <c r="N1458" s="240">
        <v>0</v>
      </c>
    </row>
    <row r="1459" spans="1:14" x14ac:dyDescent="0.3">
      <c r="A1459" s="135" t="s">
        <v>19</v>
      </c>
      <c r="B1459" s="137" t="s">
        <v>415</v>
      </c>
      <c r="C1459" s="137">
        <v>17</v>
      </c>
      <c r="D1459" s="9">
        <v>0</v>
      </c>
      <c r="E1459" s="8">
        <v>0</v>
      </c>
      <c r="F1459" s="8">
        <v>0</v>
      </c>
      <c r="G1459" s="18">
        <v>0</v>
      </c>
      <c r="H1459" s="240">
        <v>0</v>
      </c>
      <c r="I1459" s="240">
        <v>0</v>
      </c>
      <c r="J1459" s="240">
        <v>0</v>
      </c>
      <c r="K1459" s="240">
        <v>0</v>
      </c>
      <c r="L1459" s="240">
        <v>0</v>
      </c>
      <c r="M1459" s="240">
        <v>0</v>
      </c>
      <c r="N1459" s="240">
        <v>0</v>
      </c>
    </row>
    <row r="1460" spans="1:14" x14ac:dyDescent="0.3">
      <c r="A1460" s="135" t="s">
        <v>19</v>
      </c>
      <c r="B1460" s="137" t="s">
        <v>415</v>
      </c>
      <c r="C1460" s="137">
        <v>18</v>
      </c>
      <c r="D1460" s="9">
        <v>0</v>
      </c>
      <c r="E1460" s="8">
        <v>0</v>
      </c>
      <c r="F1460" s="8">
        <v>0</v>
      </c>
      <c r="G1460" s="18">
        <v>0</v>
      </c>
      <c r="H1460" s="240">
        <v>0</v>
      </c>
      <c r="I1460" s="240">
        <v>0</v>
      </c>
      <c r="J1460" s="240">
        <v>0</v>
      </c>
      <c r="K1460" s="240">
        <v>0</v>
      </c>
      <c r="L1460" s="240">
        <v>0</v>
      </c>
      <c r="M1460" s="240">
        <v>0</v>
      </c>
      <c r="N1460" s="240">
        <v>0</v>
      </c>
    </row>
    <row r="1461" spans="1:14" x14ac:dyDescent="0.3">
      <c r="A1461" s="135" t="s">
        <v>19</v>
      </c>
      <c r="B1461" s="137" t="s">
        <v>415</v>
      </c>
      <c r="C1461" s="137">
        <v>19</v>
      </c>
      <c r="D1461" s="9">
        <v>0</v>
      </c>
      <c r="E1461" s="8">
        <v>0</v>
      </c>
      <c r="F1461" s="8">
        <v>0</v>
      </c>
      <c r="G1461" s="18">
        <v>0</v>
      </c>
      <c r="H1461" s="240">
        <v>0</v>
      </c>
      <c r="I1461" s="240">
        <v>0</v>
      </c>
      <c r="J1461" s="240">
        <v>0</v>
      </c>
      <c r="K1461" s="240">
        <v>0</v>
      </c>
      <c r="L1461" s="240">
        <v>0</v>
      </c>
      <c r="M1461" s="240">
        <v>0</v>
      </c>
      <c r="N1461" s="240">
        <v>0</v>
      </c>
    </row>
    <row r="1462" spans="1:14" x14ac:dyDescent="0.3">
      <c r="A1462" s="135" t="s">
        <v>19</v>
      </c>
      <c r="B1462" s="137" t="s">
        <v>415</v>
      </c>
      <c r="C1462" s="137">
        <v>20</v>
      </c>
      <c r="D1462" s="9">
        <v>0</v>
      </c>
      <c r="E1462" s="8">
        <v>0</v>
      </c>
      <c r="F1462" s="8">
        <v>0</v>
      </c>
      <c r="G1462" s="18">
        <v>0</v>
      </c>
      <c r="H1462" s="240">
        <v>0</v>
      </c>
      <c r="I1462" s="240">
        <v>0</v>
      </c>
      <c r="J1462" s="240">
        <v>0</v>
      </c>
      <c r="K1462" s="240">
        <v>0</v>
      </c>
      <c r="L1462" s="240">
        <v>0</v>
      </c>
      <c r="M1462" s="240">
        <v>0</v>
      </c>
      <c r="N1462" s="240">
        <v>0</v>
      </c>
    </row>
    <row r="1463" spans="1:14" x14ac:dyDescent="0.3">
      <c r="A1463" s="135" t="s">
        <v>19</v>
      </c>
      <c r="B1463" s="137" t="s">
        <v>415</v>
      </c>
      <c r="C1463" s="137">
        <v>21</v>
      </c>
      <c r="D1463" s="9">
        <v>0</v>
      </c>
      <c r="E1463" s="8">
        <v>0</v>
      </c>
      <c r="F1463" s="8">
        <v>0</v>
      </c>
      <c r="G1463" s="18">
        <v>0</v>
      </c>
      <c r="H1463" s="240">
        <v>0</v>
      </c>
      <c r="I1463" s="240">
        <v>0</v>
      </c>
      <c r="J1463" s="240">
        <v>0</v>
      </c>
      <c r="K1463" s="240">
        <v>0</v>
      </c>
      <c r="L1463" s="240">
        <v>0</v>
      </c>
      <c r="M1463" s="240">
        <v>0</v>
      </c>
      <c r="N1463" s="240">
        <v>0</v>
      </c>
    </row>
    <row r="1464" spans="1:14" x14ac:dyDescent="0.3">
      <c r="A1464" s="135" t="s">
        <v>19</v>
      </c>
      <c r="B1464" s="137" t="s">
        <v>415</v>
      </c>
      <c r="C1464" s="137">
        <v>22</v>
      </c>
      <c r="D1464" s="9">
        <v>0</v>
      </c>
      <c r="E1464" s="8">
        <v>0</v>
      </c>
      <c r="F1464" s="8">
        <v>0</v>
      </c>
      <c r="G1464" s="18">
        <v>0</v>
      </c>
      <c r="H1464" s="240">
        <v>0</v>
      </c>
      <c r="I1464" s="240">
        <v>0</v>
      </c>
      <c r="J1464" s="240">
        <v>0</v>
      </c>
      <c r="K1464" s="240">
        <v>0</v>
      </c>
      <c r="L1464" s="240">
        <v>0</v>
      </c>
      <c r="M1464" s="240">
        <v>0</v>
      </c>
      <c r="N1464" s="240">
        <v>0</v>
      </c>
    </row>
    <row r="1465" spans="1:14" x14ac:dyDescent="0.3">
      <c r="A1465" s="135" t="s">
        <v>19</v>
      </c>
      <c r="B1465" s="137" t="s">
        <v>415</v>
      </c>
      <c r="C1465" s="137">
        <v>23</v>
      </c>
      <c r="D1465" s="9">
        <v>0</v>
      </c>
      <c r="E1465" s="8">
        <v>0</v>
      </c>
      <c r="F1465" s="8">
        <v>0</v>
      </c>
      <c r="G1465" s="18">
        <v>0</v>
      </c>
      <c r="H1465" s="240">
        <v>0</v>
      </c>
      <c r="I1465" s="240">
        <v>0</v>
      </c>
      <c r="J1465" s="240">
        <v>0</v>
      </c>
      <c r="K1465" s="240">
        <v>0</v>
      </c>
      <c r="L1465" s="240">
        <v>0</v>
      </c>
      <c r="M1465" s="240">
        <v>0</v>
      </c>
      <c r="N1465" s="240">
        <v>0</v>
      </c>
    </row>
    <row r="1466" spans="1:14" x14ac:dyDescent="0.3">
      <c r="A1466" s="135" t="s">
        <v>19</v>
      </c>
      <c r="B1466" s="137" t="s">
        <v>415</v>
      </c>
      <c r="C1466" s="137">
        <v>24</v>
      </c>
      <c r="D1466" s="9">
        <v>0</v>
      </c>
      <c r="E1466" s="8">
        <v>0</v>
      </c>
      <c r="F1466" s="8">
        <v>0</v>
      </c>
      <c r="G1466" s="18">
        <v>0</v>
      </c>
      <c r="H1466" s="240">
        <v>0</v>
      </c>
      <c r="I1466" s="240">
        <v>0</v>
      </c>
      <c r="J1466" s="240">
        <v>0</v>
      </c>
      <c r="K1466" s="240">
        <v>0</v>
      </c>
      <c r="L1466" s="240">
        <v>0</v>
      </c>
      <c r="M1466" s="240">
        <v>0</v>
      </c>
      <c r="N1466" s="240">
        <v>0</v>
      </c>
    </row>
    <row r="1467" spans="1:14" x14ac:dyDescent="0.3">
      <c r="A1467" s="135" t="s">
        <v>19</v>
      </c>
      <c r="B1467" s="137" t="s">
        <v>415</v>
      </c>
      <c r="C1467" s="137">
        <v>25</v>
      </c>
      <c r="D1467" s="9">
        <v>0</v>
      </c>
      <c r="E1467" s="8">
        <v>0</v>
      </c>
      <c r="F1467" s="8">
        <v>0</v>
      </c>
      <c r="G1467" s="18">
        <v>0</v>
      </c>
      <c r="H1467" s="240">
        <v>0</v>
      </c>
      <c r="I1467" s="240">
        <v>0</v>
      </c>
      <c r="J1467" s="240">
        <v>0</v>
      </c>
      <c r="K1467" s="240">
        <v>0</v>
      </c>
      <c r="L1467" s="240">
        <v>0</v>
      </c>
      <c r="M1467" s="240">
        <v>0</v>
      </c>
      <c r="N1467" s="240">
        <v>0</v>
      </c>
    </row>
    <row r="1468" spans="1:14" x14ac:dyDescent="0.3">
      <c r="A1468" s="135" t="s">
        <v>19</v>
      </c>
      <c r="B1468" s="137" t="s">
        <v>415</v>
      </c>
      <c r="C1468" s="137">
        <v>26</v>
      </c>
      <c r="D1468" s="9">
        <v>0</v>
      </c>
      <c r="E1468" s="8">
        <v>0</v>
      </c>
      <c r="F1468" s="8">
        <v>0</v>
      </c>
      <c r="G1468" s="18">
        <v>0</v>
      </c>
      <c r="H1468" s="240">
        <v>0</v>
      </c>
      <c r="I1468" s="240">
        <v>0</v>
      </c>
      <c r="J1468" s="240">
        <v>0</v>
      </c>
      <c r="K1468" s="240">
        <v>0</v>
      </c>
      <c r="L1468" s="240">
        <v>0</v>
      </c>
      <c r="M1468" s="240">
        <v>0</v>
      </c>
      <c r="N1468" s="240">
        <v>0</v>
      </c>
    </row>
    <row r="1469" spans="1:14" x14ac:dyDescent="0.3">
      <c r="A1469" s="135" t="s">
        <v>19</v>
      </c>
      <c r="B1469" s="137" t="s">
        <v>415</v>
      </c>
      <c r="C1469" s="137">
        <v>27</v>
      </c>
      <c r="D1469" s="9">
        <v>0</v>
      </c>
      <c r="E1469" s="8">
        <v>0</v>
      </c>
      <c r="F1469" s="8">
        <v>0</v>
      </c>
      <c r="G1469" s="18">
        <v>0</v>
      </c>
      <c r="H1469" s="240">
        <v>0</v>
      </c>
      <c r="I1469" s="240">
        <v>0</v>
      </c>
      <c r="J1469" s="240">
        <v>0</v>
      </c>
      <c r="K1469" s="240">
        <v>0</v>
      </c>
      <c r="L1469" s="240">
        <v>0</v>
      </c>
      <c r="M1469" s="240">
        <v>0</v>
      </c>
      <c r="N1469" s="240">
        <v>0</v>
      </c>
    </row>
    <row r="1470" spans="1:14" x14ac:dyDescent="0.3">
      <c r="A1470" s="135" t="s">
        <v>19</v>
      </c>
      <c r="B1470" s="137" t="s">
        <v>415</v>
      </c>
      <c r="C1470" s="137">
        <v>28</v>
      </c>
      <c r="D1470" s="9">
        <v>0</v>
      </c>
      <c r="E1470" s="8">
        <v>0</v>
      </c>
      <c r="F1470" s="8">
        <v>0</v>
      </c>
      <c r="G1470" s="18">
        <v>0</v>
      </c>
      <c r="H1470" s="240">
        <v>0</v>
      </c>
      <c r="I1470" s="240">
        <v>0</v>
      </c>
      <c r="J1470" s="240">
        <v>0</v>
      </c>
      <c r="K1470" s="240">
        <v>0</v>
      </c>
      <c r="L1470" s="240">
        <v>0</v>
      </c>
      <c r="M1470" s="240">
        <v>0</v>
      </c>
      <c r="N1470" s="240">
        <v>0</v>
      </c>
    </row>
    <row r="1471" spans="1:14" x14ac:dyDescent="0.3">
      <c r="A1471" s="135" t="s">
        <v>19</v>
      </c>
      <c r="B1471" s="137" t="s">
        <v>415</v>
      </c>
      <c r="C1471" s="137">
        <v>29</v>
      </c>
      <c r="D1471" s="9">
        <v>0</v>
      </c>
      <c r="E1471" s="8">
        <v>0</v>
      </c>
      <c r="F1471" s="8">
        <v>0</v>
      </c>
      <c r="G1471" s="18">
        <v>0</v>
      </c>
      <c r="H1471" s="240">
        <v>0</v>
      </c>
      <c r="I1471" s="240">
        <v>0</v>
      </c>
      <c r="J1471" s="240">
        <v>0</v>
      </c>
      <c r="K1471" s="240">
        <v>0</v>
      </c>
      <c r="L1471" s="240">
        <v>0</v>
      </c>
      <c r="M1471" s="240">
        <v>0</v>
      </c>
      <c r="N1471" s="240">
        <v>0</v>
      </c>
    </row>
    <row r="1472" spans="1:14" x14ac:dyDescent="0.3">
      <c r="A1472" s="138" t="s">
        <v>19</v>
      </c>
      <c r="B1472" s="137" t="s">
        <v>415</v>
      </c>
      <c r="C1472" s="137">
        <v>30</v>
      </c>
      <c r="D1472" s="9">
        <v>0</v>
      </c>
      <c r="E1472" s="8">
        <v>0</v>
      </c>
      <c r="F1472" s="8">
        <v>0</v>
      </c>
      <c r="G1472" s="18">
        <v>0</v>
      </c>
      <c r="H1472" s="240">
        <v>0</v>
      </c>
      <c r="I1472" s="240">
        <v>0</v>
      </c>
      <c r="J1472" s="240">
        <v>0</v>
      </c>
      <c r="K1472" s="240">
        <v>0</v>
      </c>
      <c r="L1472" s="240">
        <v>0</v>
      </c>
      <c r="M1472" s="240">
        <v>0</v>
      </c>
      <c r="N1472" s="240">
        <v>0</v>
      </c>
    </row>
    <row r="1473" spans="1:14" x14ac:dyDescent="0.3">
      <c r="A1473" s="142" t="s">
        <v>19</v>
      </c>
      <c r="B1473" s="143" t="s">
        <v>422</v>
      </c>
      <c r="C1473" s="143">
        <v>1</v>
      </c>
      <c r="D1473" s="9">
        <v>10.3302</v>
      </c>
      <c r="E1473" s="8">
        <v>2.9257200000000001</v>
      </c>
      <c r="F1473" s="8">
        <v>0.41176800000000002</v>
      </c>
      <c r="G1473" s="18">
        <v>12.25</v>
      </c>
      <c r="H1473" s="240">
        <v>0</v>
      </c>
      <c r="I1473" s="240">
        <v>0</v>
      </c>
      <c r="J1473" s="240">
        <v>0</v>
      </c>
      <c r="K1473" s="240">
        <v>0</v>
      </c>
      <c r="L1473" s="240">
        <v>0</v>
      </c>
      <c r="M1473" s="240">
        <v>0</v>
      </c>
      <c r="N1473" s="240">
        <v>0</v>
      </c>
    </row>
    <row r="1474" spans="1:14" x14ac:dyDescent="0.3">
      <c r="A1474" s="135" t="s">
        <v>19</v>
      </c>
      <c r="B1474" s="136" t="s">
        <v>422</v>
      </c>
      <c r="C1474" s="137">
        <v>2</v>
      </c>
      <c r="D1474" s="9">
        <v>11.2941</v>
      </c>
      <c r="E1474" s="8">
        <v>3.2507999999999999</v>
      </c>
      <c r="F1474" s="8">
        <v>0.85604400000000003</v>
      </c>
      <c r="G1474" s="18">
        <v>11</v>
      </c>
      <c r="H1474" s="240">
        <v>0</v>
      </c>
      <c r="I1474" s="240">
        <v>0</v>
      </c>
      <c r="J1474" s="240">
        <v>0</v>
      </c>
      <c r="K1474" s="240">
        <v>0</v>
      </c>
      <c r="L1474" s="240">
        <v>0</v>
      </c>
      <c r="M1474" s="240">
        <v>0</v>
      </c>
      <c r="N1474" s="240">
        <v>0</v>
      </c>
    </row>
    <row r="1475" spans="1:14" x14ac:dyDescent="0.3">
      <c r="A1475" s="135" t="s">
        <v>19</v>
      </c>
      <c r="B1475" s="137" t="s">
        <v>422</v>
      </c>
      <c r="C1475" s="137">
        <v>3</v>
      </c>
      <c r="D1475" s="9">
        <v>11.615399999999999</v>
      </c>
      <c r="E1475" s="8">
        <v>3.3591600000000001</v>
      </c>
      <c r="F1475" s="8">
        <v>1.1775119999999999</v>
      </c>
      <c r="G1475" s="18">
        <v>11.25</v>
      </c>
      <c r="H1475" s="240">
        <v>0</v>
      </c>
      <c r="I1475" s="240">
        <v>0</v>
      </c>
      <c r="J1475" s="240">
        <v>0</v>
      </c>
      <c r="K1475" s="240">
        <v>0</v>
      </c>
      <c r="L1475" s="240">
        <v>0</v>
      </c>
      <c r="M1475" s="240">
        <v>0</v>
      </c>
      <c r="N1475" s="240">
        <v>0</v>
      </c>
    </row>
    <row r="1476" spans="1:14" x14ac:dyDescent="0.3">
      <c r="A1476" s="135" t="s">
        <v>19</v>
      </c>
      <c r="B1476" s="137" t="s">
        <v>422</v>
      </c>
      <c r="C1476" s="137">
        <v>4</v>
      </c>
      <c r="D1476" s="9">
        <v>11.77605</v>
      </c>
      <c r="E1476" s="8">
        <v>3.4133399999999998</v>
      </c>
      <c r="F1476" s="8">
        <v>1.338246</v>
      </c>
      <c r="G1476" s="18">
        <v>11.6875</v>
      </c>
      <c r="H1476" s="240">
        <v>0</v>
      </c>
      <c r="I1476" s="240">
        <v>0</v>
      </c>
      <c r="J1476" s="240">
        <v>0</v>
      </c>
      <c r="K1476" s="240">
        <v>0</v>
      </c>
      <c r="L1476" s="240">
        <v>0</v>
      </c>
      <c r="M1476" s="240">
        <v>0</v>
      </c>
      <c r="N1476" s="240">
        <v>0</v>
      </c>
    </row>
    <row r="1477" spans="1:14" x14ac:dyDescent="0.3">
      <c r="A1477" s="135" t="s">
        <v>19</v>
      </c>
      <c r="B1477" s="137" t="s">
        <v>422</v>
      </c>
      <c r="C1477" s="137">
        <v>5</v>
      </c>
      <c r="D1477" s="9">
        <v>11.872439999999999</v>
      </c>
      <c r="E1477" s="8">
        <v>3.4458479999999998</v>
      </c>
      <c r="F1477" s="8">
        <v>1.4558770000000001</v>
      </c>
      <c r="G1477" s="18">
        <v>12.25</v>
      </c>
      <c r="H1477" s="240">
        <v>0</v>
      </c>
      <c r="I1477" s="240">
        <v>0</v>
      </c>
      <c r="J1477" s="240">
        <v>0</v>
      </c>
      <c r="K1477" s="240">
        <v>0</v>
      </c>
      <c r="L1477" s="240">
        <v>0</v>
      </c>
      <c r="M1477" s="240">
        <v>0</v>
      </c>
      <c r="N1477" s="240">
        <v>0</v>
      </c>
    </row>
    <row r="1478" spans="1:14" x14ac:dyDescent="0.3">
      <c r="A1478" s="135" t="s">
        <v>19</v>
      </c>
      <c r="B1478" s="137" t="s">
        <v>422</v>
      </c>
      <c r="C1478" s="137">
        <v>6</v>
      </c>
      <c r="D1478" s="9">
        <v>11.9367</v>
      </c>
      <c r="E1478" s="8">
        <v>3.4675199999999999</v>
      </c>
      <c r="F1478" s="8">
        <v>1.690015</v>
      </c>
      <c r="G1478" s="18">
        <v>12.833333</v>
      </c>
      <c r="H1478" s="240">
        <v>0</v>
      </c>
      <c r="I1478" s="240">
        <v>0</v>
      </c>
      <c r="J1478" s="240">
        <v>0</v>
      </c>
      <c r="K1478" s="240">
        <v>0</v>
      </c>
      <c r="L1478" s="240">
        <v>0</v>
      </c>
      <c r="M1478" s="240">
        <v>0</v>
      </c>
      <c r="N1478" s="240">
        <v>0</v>
      </c>
    </row>
    <row r="1479" spans="1:14" x14ac:dyDescent="0.3">
      <c r="A1479" s="135" t="s">
        <v>19</v>
      </c>
      <c r="B1479" s="137" t="s">
        <v>422</v>
      </c>
      <c r="C1479" s="137">
        <v>7</v>
      </c>
      <c r="D1479" s="9">
        <v>11.9826</v>
      </c>
      <c r="E1479" s="8">
        <v>3.4830000000000001</v>
      </c>
      <c r="F1479" s="8">
        <v>1.857256</v>
      </c>
      <c r="G1479" s="18">
        <v>13.392856999999999</v>
      </c>
      <c r="H1479" s="240">
        <v>0</v>
      </c>
      <c r="I1479" s="240">
        <v>0</v>
      </c>
      <c r="J1479" s="240">
        <v>0</v>
      </c>
      <c r="K1479" s="240">
        <v>0</v>
      </c>
      <c r="L1479" s="240">
        <v>0</v>
      </c>
      <c r="M1479" s="240">
        <v>0</v>
      </c>
      <c r="N1479" s="240">
        <v>0</v>
      </c>
    </row>
    <row r="1480" spans="1:14" x14ac:dyDescent="0.3">
      <c r="A1480" s="135" t="s">
        <v>19</v>
      </c>
      <c r="B1480" s="137" t="s">
        <v>422</v>
      </c>
      <c r="C1480" s="137">
        <v>8</v>
      </c>
      <c r="D1480" s="9">
        <v>12.017025</v>
      </c>
      <c r="E1480" s="8">
        <v>3.4946100000000002</v>
      </c>
      <c r="F1480" s="8">
        <v>2.0013489999999998</v>
      </c>
      <c r="G1480" s="18">
        <v>13.96875</v>
      </c>
      <c r="H1480" s="240">
        <v>0</v>
      </c>
      <c r="I1480" s="240">
        <v>0</v>
      </c>
      <c r="J1480" s="240">
        <v>0</v>
      </c>
      <c r="K1480" s="240">
        <v>0</v>
      </c>
      <c r="L1480" s="240">
        <v>0</v>
      </c>
      <c r="M1480" s="240">
        <v>0</v>
      </c>
      <c r="N1480" s="240">
        <v>0</v>
      </c>
    </row>
    <row r="1481" spans="1:14" x14ac:dyDescent="0.3">
      <c r="A1481" s="135" t="s">
        <v>19</v>
      </c>
      <c r="B1481" s="137" t="s">
        <v>422</v>
      </c>
      <c r="C1481" s="137">
        <v>9</v>
      </c>
      <c r="D1481" s="9">
        <v>12.043799999999999</v>
      </c>
      <c r="E1481" s="8">
        <v>3.5036399999999999</v>
      </c>
      <c r="F1481" s="8">
        <v>2.2124169999999999</v>
      </c>
      <c r="G1481" s="18">
        <v>14.555555999999999</v>
      </c>
      <c r="H1481" s="240">
        <v>0</v>
      </c>
      <c r="I1481" s="240">
        <v>0</v>
      </c>
      <c r="J1481" s="240">
        <v>0</v>
      </c>
      <c r="K1481" s="240">
        <v>0</v>
      </c>
      <c r="L1481" s="240">
        <v>0</v>
      </c>
      <c r="M1481" s="240">
        <v>0</v>
      </c>
      <c r="N1481" s="240">
        <v>0</v>
      </c>
    </row>
    <row r="1482" spans="1:14" x14ac:dyDescent="0.3">
      <c r="A1482" s="135" t="s">
        <v>19</v>
      </c>
      <c r="B1482" s="137" t="s">
        <v>422</v>
      </c>
      <c r="C1482" s="137">
        <v>10</v>
      </c>
      <c r="D1482" s="9">
        <v>12.06522</v>
      </c>
      <c r="E1482" s="8">
        <v>3.5108640000000002</v>
      </c>
      <c r="F1482" s="8">
        <v>2.4246150000000002</v>
      </c>
      <c r="G1482" s="18">
        <v>15.1</v>
      </c>
      <c r="H1482" s="240">
        <v>0</v>
      </c>
      <c r="I1482" s="240">
        <v>0</v>
      </c>
      <c r="J1482" s="240">
        <v>0</v>
      </c>
      <c r="K1482" s="240">
        <v>0</v>
      </c>
      <c r="L1482" s="240">
        <v>0</v>
      </c>
      <c r="M1482" s="240">
        <v>0</v>
      </c>
      <c r="N1482" s="240">
        <v>0</v>
      </c>
    </row>
    <row r="1483" spans="1:14" x14ac:dyDescent="0.3">
      <c r="A1483" s="135" t="s">
        <v>19</v>
      </c>
      <c r="B1483" s="137" t="s">
        <v>422</v>
      </c>
      <c r="C1483" s="137">
        <v>11</v>
      </c>
      <c r="D1483" s="9">
        <v>12.082744999999999</v>
      </c>
      <c r="E1483" s="8">
        <v>3.516775</v>
      </c>
      <c r="F1483" s="8">
        <v>2.5982319999999999</v>
      </c>
      <c r="G1483" s="18">
        <v>15.636364</v>
      </c>
      <c r="H1483" s="240">
        <v>0</v>
      </c>
      <c r="I1483" s="240">
        <v>0</v>
      </c>
      <c r="J1483" s="240">
        <v>0</v>
      </c>
      <c r="K1483" s="240">
        <v>0</v>
      </c>
      <c r="L1483" s="240">
        <v>0</v>
      </c>
      <c r="M1483" s="240">
        <v>0</v>
      </c>
      <c r="N1483" s="240">
        <v>0</v>
      </c>
    </row>
    <row r="1484" spans="1:14" x14ac:dyDescent="0.3">
      <c r="A1484" s="135" t="s">
        <v>19</v>
      </c>
      <c r="B1484" s="137" t="s">
        <v>422</v>
      </c>
      <c r="C1484" s="137">
        <v>12</v>
      </c>
      <c r="D1484" s="9">
        <v>12.09735</v>
      </c>
      <c r="E1484" s="8">
        <v>3.5217000000000001</v>
      </c>
      <c r="F1484" s="8">
        <v>2.7429130000000002</v>
      </c>
      <c r="G1484" s="18">
        <v>16.166667</v>
      </c>
      <c r="H1484" s="240">
        <v>0</v>
      </c>
      <c r="I1484" s="240">
        <v>0</v>
      </c>
      <c r="J1484" s="240">
        <v>0</v>
      </c>
      <c r="K1484" s="240">
        <v>0</v>
      </c>
      <c r="L1484" s="240">
        <v>0</v>
      </c>
      <c r="M1484" s="240">
        <v>0</v>
      </c>
      <c r="N1484" s="240">
        <v>0</v>
      </c>
    </row>
    <row r="1485" spans="1:14" x14ac:dyDescent="0.3">
      <c r="A1485" s="135" t="s">
        <v>19</v>
      </c>
      <c r="B1485" s="137" t="s">
        <v>422</v>
      </c>
      <c r="C1485" s="137">
        <v>13</v>
      </c>
      <c r="D1485" s="9">
        <v>12.109707999999999</v>
      </c>
      <c r="E1485" s="8">
        <v>3.525868</v>
      </c>
      <c r="F1485" s="8">
        <v>2.9720279999999999</v>
      </c>
      <c r="G1485" s="18">
        <v>16.692308000000001</v>
      </c>
      <c r="H1485" s="240">
        <v>0</v>
      </c>
      <c r="I1485" s="240">
        <v>0</v>
      </c>
      <c r="J1485" s="240">
        <v>0</v>
      </c>
      <c r="K1485" s="240">
        <v>0</v>
      </c>
      <c r="L1485" s="240">
        <v>0</v>
      </c>
      <c r="M1485" s="240">
        <v>0</v>
      </c>
      <c r="N1485" s="240">
        <v>0</v>
      </c>
    </row>
    <row r="1486" spans="1:14" x14ac:dyDescent="0.3">
      <c r="A1486" s="135" t="s">
        <v>19</v>
      </c>
      <c r="B1486" s="137" t="s">
        <v>422</v>
      </c>
      <c r="C1486" s="137">
        <v>14</v>
      </c>
      <c r="D1486" s="9">
        <v>12.332726721354655</v>
      </c>
      <c r="E1486" s="8">
        <v>3.601075978042628</v>
      </c>
      <c r="F1486" s="8">
        <v>3.1075458350640153</v>
      </c>
      <c r="G1486" s="18">
        <v>17.8096</v>
      </c>
      <c r="H1486" s="240">
        <v>0</v>
      </c>
      <c r="I1486" s="240">
        <v>0</v>
      </c>
      <c r="J1486" s="240">
        <v>0</v>
      </c>
      <c r="K1486" s="240">
        <v>0</v>
      </c>
      <c r="L1486" s="240">
        <v>0</v>
      </c>
      <c r="M1486" s="240">
        <v>0</v>
      </c>
      <c r="N1486" s="240">
        <v>0</v>
      </c>
    </row>
    <row r="1487" spans="1:14" x14ac:dyDescent="0.3">
      <c r="A1487" s="135" t="s">
        <v>19</v>
      </c>
      <c r="B1487" s="137" t="s">
        <v>422</v>
      </c>
      <c r="C1487" s="137">
        <v>15</v>
      </c>
      <c r="D1487" s="9">
        <v>12.374391516445625</v>
      </c>
      <c r="E1487" s="8">
        <v>3.6151298259645199</v>
      </c>
      <c r="F1487" s="8">
        <v>3.2642342799896196</v>
      </c>
      <c r="G1487" s="18">
        <v>18.667999999999999</v>
      </c>
      <c r="H1487" s="240">
        <v>0</v>
      </c>
      <c r="I1487" s="240">
        <v>0</v>
      </c>
      <c r="J1487" s="240">
        <v>0</v>
      </c>
      <c r="K1487" s="240">
        <v>0</v>
      </c>
      <c r="L1487" s="240">
        <v>0</v>
      </c>
      <c r="M1487" s="240">
        <v>0</v>
      </c>
      <c r="N1487" s="240">
        <v>0</v>
      </c>
    </row>
    <row r="1488" spans="1:14" x14ac:dyDescent="0.3">
      <c r="A1488" s="135" t="s">
        <v>19</v>
      </c>
      <c r="B1488" s="137" t="s">
        <v>422</v>
      </c>
      <c r="C1488" s="137">
        <v>16</v>
      </c>
      <c r="D1488" s="9">
        <v>12.413366329360604</v>
      </c>
      <c r="E1488" s="8">
        <v>3.628276322720243</v>
      </c>
      <c r="F1488" s="8">
        <v>3.4179507550457147</v>
      </c>
      <c r="G1488" s="18">
        <v>19.5778</v>
      </c>
      <c r="H1488" s="240">
        <v>0</v>
      </c>
      <c r="I1488" s="240">
        <v>0</v>
      </c>
      <c r="J1488" s="240">
        <v>0</v>
      </c>
      <c r="K1488" s="240">
        <v>0</v>
      </c>
      <c r="L1488" s="240">
        <v>0</v>
      </c>
      <c r="M1488" s="240">
        <v>0</v>
      </c>
      <c r="N1488" s="240">
        <v>0</v>
      </c>
    </row>
    <row r="1489" spans="1:14" x14ac:dyDescent="0.3">
      <c r="A1489" s="135" t="s">
        <v>19</v>
      </c>
      <c r="B1489" s="137" t="s">
        <v>422</v>
      </c>
      <c r="C1489" s="137">
        <v>17</v>
      </c>
      <c r="D1489" s="9">
        <v>12.449977538475549</v>
      </c>
      <c r="E1489" s="8">
        <v>3.6406255581842513</v>
      </c>
      <c r="F1489" s="8">
        <v>3.5689325033597954</v>
      </c>
      <c r="G1489" s="18">
        <v>20.539000000000001</v>
      </c>
      <c r="H1489" s="240">
        <v>0</v>
      </c>
      <c r="I1489" s="240">
        <v>0</v>
      </c>
      <c r="J1489" s="240">
        <v>0</v>
      </c>
      <c r="K1489" s="240">
        <v>0</v>
      </c>
      <c r="L1489" s="240">
        <v>0</v>
      </c>
      <c r="M1489" s="240">
        <v>0</v>
      </c>
      <c r="N1489" s="240">
        <v>0</v>
      </c>
    </row>
    <row r="1490" spans="1:14" x14ac:dyDescent="0.3">
      <c r="A1490" s="135" t="s">
        <v>19</v>
      </c>
      <c r="B1490" s="137" t="s">
        <v>422</v>
      </c>
      <c r="C1490" s="137">
        <v>18</v>
      </c>
      <c r="D1490" s="9">
        <v>12.484495504593495</v>
      </c>
      <c r="E1490" s="8">
        <v>3.6522687270834489</v>
      </c>
      <c r="F1490" s="8">
        <v>3.7173850645784787</v>
      </c>
      <c r="G1490" s="18">
        <v>21.551600000000001</v>
      </c>
      <c r="H1490" s="240">
        <v>0</v>
      </c>
      <c r="I1490" s="240">
        <v>0</v>
      </c>
      <c r="J1490" s="240">
        <v>0</v>
      </c>
      <c r="K1490" s="240">
        <v>0</v>
      </c>
      <c r="L1490" s="240">
        <v>0</v>
      </c>
      <c r="M1490" s="240">
        <v>0</v>
      </c>
      <c r="N1490" s="240">
        <v>0</v>
      </c>
    </row>
    <row r="1491" spans="1:14" x14ac:dyDescent="0.3">
      <c r="A1491" s="135" t="s">
        <v>19</v>
      </c>
      <c r="B1491" s="137" t="s">
        <v>422</v>
      </c>
      <c r="C1491" s="137">
        <v>19</v>
      </c>
      <c r="D1491" s="9">
        <v>12.517146699518614</v>
      </c>
      <c r="E1491" s="8">
        <v>3.6632822200562036</v>
      </c>
      <c r="F1491" s="8">
        <v>3.8634880303234236</v>
      </c>
      <c r="G1491" s="18">
        <v>22.615600000000001</v>
      </c>
      <c r="H1491" s="240">
        <v>0</v>
      </c>
      <c r="I1491" s="240">
        <v>0</v>
      </c>
      <c r="J1491" s="240">
        <v>0</v>
      </c>
      <c r="K1491" s="240">
        <v>0</v>
      </c>
      <c r="L1491" s="240">
        <v>0</v>
      </c>
      <c r="M1491" s="240">
        <v>0</v>
      </c>
      <c r="N1491" s="240">
        <v>0</v>
      </c>
    </row>
    <row r="1492" spans="1:14" x14ac:dyDescent="0.3">
      <c r="A1492" s="135" t="s">
        <v>19</v>
      </c>
      <c r="B1492" s="137" t="s">
        <v>422</v>
      </c>
      <c r="C1492" s="137">
        <v>20</v>
      </c>
      <c r="D1492" s="9">
        <v>12.548122719999256</v>
      </c>
      <c r="E1492" s="8">
        <v>3.6737306641229477</v>
      </c>
      <c r="F1492" s="8">
        <v>4.00739950774798</v>
      </c>
      <c r="G1492" s="18">
        <v>23.731000000000002</v>
      </c>
      <c r="H1492" s="240">
        <v>0</v>
      </c>
      <c r="I1492" s="240">
        <v>0</v>
      </c>
      <c r="J1492" s="240">
        <v>0</v>
      </c>
      <c r="K1492" s="240">
        <v>0</v>
      </c>
      <c r="L1492" s="240">
        <v>0</v>
      </c>
      <c r="M1492" s="240">
        <v>0</v>
      </c>
      <c r="N1492" s="240">
        <v>0</v>
      </c>
    </row>
    <row r="1493" spans="1:14" x14ac:dyDescent="0.3">
      <c r="A1493" s="135" t="s">
        <v>19</v>
      </c>
      <c r="B1493" s="137" t="s">
        <v>422</v>
      </c>
      <c r="C1493" s="137">
        <v>21</v>
      </c>
      <c r="D1493" s="9">
        <v>12.577587100141177</v>
      </c>
      <c r="E1493" s="8">
        <v>3.6836692205642612</v>
      </c>
      <c r="F1493" s="8">
        <v>4.1492596311500991</v>
      </c>
      <c r="G1493" s="18">
        <v>24.8978</v>
      </c>
      <c r="H1493" s="240">
        <v>0</v>
      </c>
      <c r="I1493" s="240">
        <v>0</v>
      </c>
      <c r="J1493" s="240">
        <v>0</v>
      </c>
      <c r="K1493" s="240">
        <v>0</v>
      </c>
      <c r="L1493" s="240">
        <v>0</v>
      </c>
      <c r="M1493" s="240">
        <v>0</v>
      </c>
      <c r="N1493" s="240">
        <v>0</v>
      </c>
    </row>
    <row r="1494" spans="1:14" x14ac:dyDescent="0.3">
      <c r="A1494" s="135" t="s">
        <v>19</v>
      </c>
      <c r="B1494" s="137" t="s">
        <v>422</v>
      </c>
      <c r="C1494" s="137">
        <v>22</v>
      </c>
      <c r="D1494" s="9">
        <v>12.605680537583087</v>
      </c>
      <c r="E1494" s="8">
        <v>3.693145347749089</v>
      </c>
      <c r="F1494" s="8">
        <v>4.2891933602307732</v>
      </c>
      <c r="G1494" s="18">
        <v>26.116</v>
      </c>
      <c r="H1494" s="240">
        <v>0</v>
      </c>
      <c r="I1494" s="240">
        <v>0</v>
      </c>
      <c r="J1494" s="240">
        <v>0</v>
      </c>
      <c r="K1494" s="240">
        <v>0</v>
      </c>
      <c r="L1494" s="240">
        <v>0</v>
      </c>
      <c r="M1494" s="240">
        <v>0</v>
      </c>
      <c r="N1494" s="240">
        <v>0</v>
      </c>
    </row>
    <row r="1495" spans="1:14" x14ac:dyDescent="0.3">
      <c r="A1495" s="135" t="s">
        <v>19</v>
      </c>
      <c r="B1495" s="137" t="s">
        <v>422</v>
      </c>
      <c r="C1495" s="137">
        <v>23</v>
      </c>
      <c r="D1495" s="9">
        <v>12.632524956999614</v>
      </c>
      <c r="E1495" s="8">
        <v>3.7022001717847677</v>
      </c>
      <c r="F1495" s="8">
        <v>4.4273127356769777</v>
      </c>
      <c r="G1495" s="18">
        <v>27.3856</v>
      </c>
      <c r="H1495" s="240">
        <v>0</v>
      </c>
      <c r="I1495" s="240">
        <v>0</v>
      </c>
      <c r="J1495" s="240">
        <v>0</v>
      </c>
      <c r="K1495" s="240">
        <v>0</v>
      </c>
      <c r="L1495" s="240">
        <v>0</v>
      </c>
      <c r="M1495" s="240">
        <v>0</v>
      </c>
      <c r="N1495" s="240">
        <v>0</v>
      </c>
    </row>
    <row r="1496" spans="1:14" x14ac:dyDescent="0.3">
      <c r="A1496" s="135" t="s">
        <v>19</v>
      </c>
      <c r="B1496" s="137" t="s">
        <v>422</v>
      </c>
      <c r="C1496" s="137">
        <v>24</v>
      </c>
      <c r="D1496" s="9">
        <v>12.658226708147126</v>
      </c>
      <c r="E1496" s="8">
        <v>3.7108695652418762</v>
      </c>
      <c r="F1496" s="8">
        <v>4.5637187162769637</v>
      </c>
      <c r="G1496" s="18">
        <v>28.706600000000002</v>
      </c>
      <c r="H1496" s="240">
        <v>0</v>
      </c>
      <c r="I1496" s="240">
        <v>0</v>
      </c>
      <c r="J1496" s="240">
        <v>0</v>
      </c>
      <c r="K1496" s="240">
        <v>0</v>
      </c>
      <c r="L1496" s="240">
        <v>0</v>
      </c>
      <c r="M1496" s="240">
        <v>0</v>
      </c>
      <c r="N1496" s="240">
        <v>0</v>
      </c>
    </row>
    <row r="1497" spans="1:14" x14ac:dyDescent="0.3">
      <c r="A1497" s="135" t="s">
        <v>19</v>
      </c>
      <c r="B1497" s="137" t="s">
        <v>422</v>
      </c>
      <c r="C1497" s="137">
        <v>25</v>
      </c>
      <c r="D1497" s="9">
        <v>12.682879110637908</v>
      </c>
      <c r="E1497" s="8">
        <v>3.7191850055256523</v>
      </c>
      <c r="F1497" s="8">
        <v>4.6985026893648039</v>
      </c>
      <c r="G1497" s="18">
        <v>30.079000000000001</v>
      </c>
      <c r="H1497" s="240">
        <v>0</v>
      </c>
      <c r="I1497" s="240">
        <v>0</v>
      </c>
      <c r="J1497" s="240">
        <v>0</v>
      </c>
      <c r="K1497" s="240">
        <v>0</v>
      </c>
      <c r="L1497" s="240">
        <v>0</v>
      </c>
      <c r="M1497" s="240">
        <v>0</v>
      </c>
      <c r="N1497" s="240">
        <v>0</v>
      </c>
    </row>
    <row r="1498" spans="1:14" x14ac:dyDescent="0.3">
      <c r="A1498" s="135" t="s">
        <v>19</v>
      </c>
      <c r="B1498" s="137" t="s">
        <v>422</v>
      </c>
      <c r="C1498" s="137">
        <v>26</v>
      </c>
      <c r="D1498" s="9">
        <v>12.706564499311174</v>
      </c>
      <c r="E1498" s="8">
        <v>3.7271742647949759</v>
      </c>
      <c r="F1498" s="8">
        <v>4.8317477233940762</v>
      </c>
      <c r="G1498" s="18">
        <v>31.502800000000001</v>
      </c>
      <c r="H1498" s="240">
        <v>0</v>
      </c>
      <c r="I1498" s="240">
        <v>0</v>
      </c>
      <c r="J1498" s="240">
        <v>0</v>
      </c>
      <c r="K1498" s="240">
        <v>0</v>
      </c>
      <c r="L1498" s="240">
        <v>0</v>
      </c>
      <c r="M1498" s="240">
        <v>0</v>
      </c>
      <c r="N1498" s="240">
        <v>0</v>
      </c>
    </row>
    <row r="1499" spans="1:14" x14ac:dyDescent="0.3">
      <c r="A1499" s="135" t="s">
        <v>19</v>
      </c>
      <c r="B1499" s="137" t="s">
        <v>422</v>
      </c>
      <c r="C1499" s="137">
        <v>27</v>
      </c>
      <c r="D1499" s="9">
        <v>12.729355883380014</v>
      </c>
      <c r="E1499" s="8">
        <v>3.7348619696050815</v>
      </c>
      <c r="F1499" s="8">
        <v>4.9635296148666583</v>
      </c>
      <c r="G1499" s="18">
        <v>32.977999999999994</v>
      </c>
      <c r="H1499" s="240">
        <v>0</v>
      </c>
      <c r="I1499" s="240">
        <v>0</v>
      </c>
      <c r="J1499" s="240">
        <v>0</v>
      </c>
      <c r="K1499" s="240">
        <v>0</v>
      </c>
      <c r="L1499" s="240">
        <v>0</v>
      </c>
      <c r="M1499" s="240">
        <v>0</v>
      </c>
      <c r="N1499" s="240">
        <v>0</v>
      </c>
    </row>
    <row r="1500" spans="1:14" x14ac:dyDescent="0.3">
      <c r="A1500" s="135" t="s">
        <v>19</v>
      </c>
      <c r="B1500" s="137" t="s">
        <v>422</v>
      </c>
      <c r="C1500" s="137">
        <v>28</v>
      </c>
      <c r="D1500" s="9">
        <v>12.751318303694806</v>
      </c>
      <c r="E1500" s="8">
        <v>3.7422700587226889</v>
      </c>
      <c r="F1500" s="8">
        <v>5.0939177697264855</v>
      </c>
      <c r="G1500" s="18">
        <v>34.504600000000003</v>
      </c>
      <c r="H1500" s="240">
        <v>0</v>
      </c>
      <c r="I1500" s="240">
        <v>0</v>
      </c>
      <c r="J1500" s="240">
        <v>0</v>
      </c>
      <c r="K1500" s="240">
        <v>0</v>
      </c>
      <c r="L1500" s="240">
        <v>0</v>
      </c>
      <c r="M1500" s="240">
        <v>0</v>
      </c>
      <c r="N1500" s="240">
        <v>0</v>
      </c>
    </row>
    <row r="1501" spans="1:14" x14ac:dyDescent="0.3">
      <c r="A1501" s="135" t="s">
        <v>19</v>
      </c>
      <c r="B1501" s="137" t="s">
        <v>422</v>
      </c>
      <c r="C1501" s="137">
        <v>29</v>
      </c>
      <c r="D1501" s="9">
        <v>12.772509951728832</v>
      </c>
      <c r="E1501" s="8">
        <v>3.7494181605682444</v>
      </c>
      <c r="F1501" s="8">
        <v>5.2229759503546127</v>
      </c>
      <c r="G1501" s="18">
        <v>36.082599999999999</v>
      </c>
      <c r="H1501" s="240">
        <v>0</v>
      </c>
      <c r="I1501" s="240">
        <v>0</v>
      </c>
      <c r="J1501" s="240">
        <v>0</v>
      </c>
      <c r="K1501" s="240">
        <v>0</v>
      </c>
      <c r="L1501" s="240">
        <v>0</v>
      </c>
      <c r="M1501" s="240">
        <v>0</v>
      </c>
      <c r="N1501" s="240">
        <v>0</v>
      </c>
    </row>
    <row r="1502" spans="1:14" x14ac:dyDescent="0.3">
      <c r="A1502" s="138" t="s">
        <v>19</v>
      </c>
      <c r="B1502" s="137" t="s">
        <v>422</v>
      </c>
      <c r="C1502" s="137">
        <v>30</v>
      </c>
      <c r="D1502" s="9">
        <v>12.792983098785776</v>
      </c>
      <c r="E1502" s="8">
        <v>3.7563239066445808</v>
      </c>
      <c r="F1502" s="8">
        <v>5.350762912575652</v>
      </c>
      <c r="G1502" s="18">
        <v>37.712000000000003</v>
      </c>
      <c r="H1502" s="240">
        <v>0</v>
      </c>
      <c r="I1502" s="240">
        <v>0</v>
      </c>
      <c r="J1502" s="240">
        <v>0</v>
      </c>
      <c r="K1502" s="240">
        <v>0</v>
      </c>
      <c r="L1502" s="240">
        <v>0</v>
      </c>
      <c r="M1502" s="240">
        <v>0</v>
      </c>
      <c r="N1502" s="240">
        <v>0</v>
      </c>
    </row>
    <row r="1503" spans="1:14" x14ac:dyDescent="0.3">
      <c r="A1503" s="142" t="s">
        <v>20</v>
      </c>
      <c r="B1503" s="143" t="s">
        <v>412</v>
      </c>
      <c r="C1503" s="143">
        <v>1</v>
      </c>
      <c r="D1503" s="9">
        <v>70.2</v>
      </c>
      <c r="E1503" s="8">
        <v>0</v>
      </c>
      <c r="F1503" s="8">
        <v>70.875</v>
      </c>
      <c r="G1503" s="18">
        <v>4.25</v>
      </c>
      <c r="H1503" s="240">
        <v>0</v>
      </c>
      <c r="I1503" s="240">
        <v>0</v>
      </c>
      <c r="J1503" s="240">
        <v>0</v>
      </c>
      <c r="K1503" s="240">
        <v>0</v>
      </c>
      <c r="L1503" s="240">
        <v>0</v>
      </c>
      <c r="M1503" s="240">
        <v>0</v>
      </c>
      <c r="N1503" s="240">
        <v>0</v>
      </c>
    </row>
    <row r="1504" spans="1:14" x14ac:dyDescent="0.3">
      <c r="A1504" s="135" t="s">
        <v>20</v>
      </c>
      <c r="B1504" s="136" t="s">
        <v>412</v>
      </c>
      <c r="C1504" s="137">
        <v>2</v>
      </c>
      <c r="D1504" s="9">
        <v>70.2</v>
      </c>
      <c r="E1504" s="8">
        <v>0</v>
      </c>
      <c r="F1504" s="8">
        <v>70.875</v>
      </c>
      <c r="G1504" s="18">
        <v>4.125</v>
      </c>
      <c r="H1504" s="240">
        <v>0</v>
      </c>
      <c r="I1504" s="240">
        <v>0</v>
      </c>
      <c r="J1504" s="240">
        <v>0</v>
      </c>
      <c r="K1504" s="240">
        <v>0</v>
      </c>
      <c r="L1504" s="240">
        <v>0</v>
      </c>
      <c r="M1504" s="240">
        <v>0</v>
      </c>
      <c r="N1504" s="240">
        <v>0</v>
      </c>
    </row>
    <row r="1505" spans="1:14" x14ac:dyDescent="0.3">
      <c r="A1505" s="135" t="s">
        <v>20</v>
      </c>
      <c r="B1505" s="137" t="s">
        <v>412</v>
      </c>
      <c r="C1505" s="137">
        <v>3</v>
      </c>
      <c r="D1505" s="9">
        <v>70.2</v>
      </c>
      <c r="E1505" s="8">
        <v>0</v>
      </c>
      <c r="F1505" s="8">
        <v>70.875</v>
      </c>
      <c r="G1505" s="18">
        <v>4.4166670000000003</v>
      </c>
      <c r="H1505" s="240">
        <v>0</v>
      </c>
      <c r="I1505" s="240">
        <v>0</v>
      </c>
      <c r="J1505" s="240">
        <v>0</v>
      </c>
      <c r="K1505" s="240">
        <v>0</v>
      </c>
      <c r="L1505" s="240">
        <v>0</v>
      </c>
      <c r="M1505" s="240">
        <v>0</v>
      </c>
      <c r="N1505" s="240">
        <v>0</v>
      </c>
    </row>
    <row r="1506" spans="1:14" x14ac:dyDescent="0.3">
      <c r="A1506" s="135" t="s">
        <v>20</v>
      </c>
      <c r="B1506" s="137" t="s">
        <v>412</v>
      </c>
      <c r="C1506" s="137">
        <v>4</v>
      </c>
      <c r="D1506" s="9">
        <v>70.2</v>
      </c>
      <c r="E1506" s="8">
        <v>0</v>
      </c>
      <c r="F1506" s="8">
        <v>70.875</v>
      </c>
      <c r="G1506" s="18">
        <v>4.75</v>
      </c>
      <c r="H1506" s="240">
        <v>0</v>
      </c>
      <c r="I1506" s="240">
        <v>0</v>
      </c>
      <c r="J1506" s="240">
        <v>0</v>
      </c>
      <c r="K1506" s="240">
        <v>0</v>
      </c>
      <c r="L1506" s="240">
        <v>0</v>
      </c>
      <c r="M1506" s="240">
        <v>0</v>
      </c>
      <c r="N1506" s="240">
        <v>0</v>
      </c>
    </row>
    <row r="1507" spans="1:14" x14ac:dyDescent="0.3">
      <c r="A1507" s="135" t="s">
        <v>20</v>
      </c>
      <c r="B1507" s="137" t="s">
        <v>412</v>
      </c>
      <c r="C1507" s="137">
        <v>5</v>
      </c>
      <c r="D1507" s="9">
        <v>70.2</v>
      </c>
      <c r="E1507" s="8">
        <v>0</v>
      </c>
      <c r="F1507" s="8">
        <v>70.875</v>
      </c>
      <c r="G1507" s="18">
        <v>5.05</v>
      </c>
      <c r="H1507" s="240">
        <v>0</v>
      </c>
      <c r="I1507" s="240">
        <v>0</v>
      </c>
      <c r="J1507" s="240">
        <v>0</v>
      </c>
      <c r="K1507" s="240">
        <v>0</v>
      </c>
      <c r="L1507" s="240">
        <v>0</v>
      </c>
      <c r="M1507" s="240">
        <v>0</v>
      </c>
      <c r="N1507" s="240">
        <v>0</v>
      </c>
    </row>
    <row r="1508" spans="1:14" x14ac:dyDescent="0.3">
      <c r="A1508" s="135" t="s">
        <v>20</v>
      </c>
      <c r="B1508" s="137" t="s">
        <v>412</v>
      </c>
      <c r="C1508" s="137">
        <v>6</v>
      </c>
      <c r="D1508" s="9">
        <v>70.2</v>
      </c>
      <c r="E1508" s="8">
        <v>0</v>
      </c>
      <c r="F1508" s="8">
        <v>70.875</v>
      </c>
      <c r="G1508" s="18">
        <v>5.3333329999999997</v>
      </c>
      <c r="H1508" s="240">
        <v>0</v>
      </c>
      <c r="I1508" s="240">
        <v>0</v>
      </c>
      <c r="J1508" s="240">
        <v>0</v>
      </c>
      <c r="K1508" s="240">
        <v>0</v>
      </c>
      <c r="L1508" s="240">
        <v>0</v>
      </c>
      <c r="M1508" s="240">
        <v>0</v>
      </c>
      <c r="N1508" s="240">
        <v>0</v>
      </c>
    </row>
    <row r="1509" spans="1:14" x14ac:dyDescent="0.3">
      <c r="A1509" s="135" t="s">
        <v>20</v>
      </c>
      <c r="B1509" s="137" t="s">
        <v>412</v>
      </c>
      <c r="C1509" s="137">
        <v>7</v>
      </c>
      <c r="D1509" s="9">
        <v>70.2</v>
      </c>
      <c r="E1509" s="8">
        <v>0</v>
      </c>
      <c r="F1509" s="8">
        <v>70.875</v>
      </c>
      <c r="G1509" s="18">
        <v>5.6428570000000002</v>
      </c>
      <c r="H1509" s="240">
        <v>0</v>
      </c>
      <c r="I1509" s="240">
        <v>0</v>
      </c>
      <c r="J1509" s="240">
        <v>0</v>
      </c>
      <c r="K1509" s="240">
        <v>0</v>
      </c>
      <c r="L1509" s="240">
        <v>0</v>
      </c>
      <c r="M1509" s="240">
        <v>0</v>
      </c>
      <c r="N1509" s="240">
        <v>0</v>
      </c>
    </row>
    <row r="1510" spans="1:14" x14ac:dyDescent="0.3">
      <c r="A1510" s="135" t="s">
        <v>20</v>
      </c>
      <c r="B1510" s="137" t="s">
        <v>412</v>
      </c>
      <c r="C1510" s="137">
        <v>8</v>
      </c>
      <c r="D1510" s="9">
        <v>70.2</v>
      </c>
      <c r="E1510" s="8">
        <v>0</v>
      </c>
      <c r="F1510" s="8">
        <v>70.875</v>
      </c>
      <c r="G1510" s="18">
        <v>5.90625</v>
      </c>
      <c r="H1510" s="240">
        <v>0</v>
      </c>
      <c r="I1510" s="240">
        <v>0</v>
      </c>
      <c r="J1510" s="240">
        <v>0</v>
      </c>
      <c r="K1510" s="240">
        <v>0</v>
      </c>
      <c r="L1510" s="240">
        <v>0</v>
      </c>
      <c r="M1510" s="240">
        <v>0</v>
      </c>
      <c r="N1510" s="240">
        <v>0</v>
      </c>
    </row>
    <row r="1511" spans="1:14" x14ac:dyDescent="0.3">
      <c r="A1511" s="135" t="s">
        <v>20</v>
      </c>
      <c r="B1511" s="137" t="s">
        <v>412</v>
      </c>
      <c r="C1511" s="137">
        <v>9</v>
      </c>
      <c r="D1511" s="9">
        <v>70.2</v>
      </c>
      <c r="E1511" s="8">
        <v>0</v>
      </c>
      <c r="F1511" s="8">
        <v>70.875</v>
      </c>
      <c r="G1511" s="18">
        <v>6.1666670000000003</v>
      </c>
      <c r="H1511" s="240">
        <v>0</v>
      </c>
      <c r="I1511" s="240">
        <v>0</v>
      </c>
      <c r="J1511" s="240">
        <v>0</v>
      </c>
      <c r="K1511" s="240">
        <v>0</v>
      </c>
      <c r="L1511" s="240">
        <v>0</v>
      </c>
      <c r="M1511" s="240">
        <v>0</v>
      </c>
      <c r="N1511" s="240">
        <v>0</v>
      </c>
    </row>
    <row r="1512" spans="1:14" x14ac:dyDescent="0.3">
      <c r="A1512" s="135" t="s">
        <v>20</v>
      </c>
      <c r="B1512" s="137" t="s">
        <v>412</v>
      </c>
      <c r="C1512" s="137">
        <v>10</v>
      </c>
      <c r="D1512" s="9">
        <v>70.2</v>
      </c>
      <c r="E1512" s="8">
        <v>0</v>
      </c>
      <c r="F1512" s="8">
        <v>73.237499999999997</v>
      </c>
      <c r="G1512" s="18">
        <v>6.5250000000000004</v>
      </c>
      <c r="H1512" s="240">
        <v>0</v>
      </c>
      <c r="I1512" s="240">
        <v>0</v>
      </c>
      <c r="J1512" s="240">
        <v>0</v>
      </c>
      <c r="K1512" s="240">
        <v>0</v>
      </c>
      <c r="L1512" s="240">
        <v>0</v>
      </c>
      <c r="M1512" s="240">
        <v>0</v>
      </c>
      <c r="N1512" s="240">
        <v>0</v>
      </c>
    </row>
    <row r="1513" spans="1:14" x14ac:dyDescent="0.3">
      <c r="A1513" s="135" t="s">
        <v>20</v>
      </c>
      <c r="B1513" s="137" t="s">
        <v>412</v>
      </c>
      <c r="C1513" s="137">
        <v>11</v>
      </c>
      <c r="D1513" s="9">
        <v>70.2</v>
      </c>
      <c r="E1513" s="8">
        <v>0</v>
      </c>
      <c r="F1513" s="8">
        <v>75.170455000000004</v>
      </c>
      <c r="G1513" s="18">
        <v>6.8636359999999996</v>
      </c>
      <c r="H1513" s="240">
        <v>0</v>
      </c>
      <c r="I1513" s="240">
        <v>0</v>
      </c>
      <c r="J1513" s="240">
        <v>0</v>
      </c>
      <c r="K1513" s="240">
        <v>0</v>
      </c>
      <c r="L1513" s="240">
        <v>0</v>
      </c>
      <c r="M1513" s="240">
        <v>0</v>
      </c>
      <c r="N1513" s="240">
        <v>0</v>
      </c>
    </row>
    <row r="1514" spans="1:14" x14ac:dyDescent="0.3">
      <c r="A1514" s="135" t="s">
        <v>20</v>
      </c>
      <c r="B1514" s="137" t="s">
        <v>412</v>
      </c>
      <c r="C1514" s="137">
        <v>12</v>
      </c>
      <c r="D1514" s="9">
        <v>70.2</v>
      </c>
      <c r="E1514" s="8">
        <v>0</v>
      </c>
      <c r="F1514" s="8">
        <v>76.78125</v>
      </c>
      <c r="G1514" s="18">
        <v>7.1666670000000003</v>
      </c>
      <c r="H1514" s="240">
        <v>0</v>
      </c>
      <c r="I1514" s="240">
        <v>0</v>
      </c>
      <c r="J1514" s="240">
        <v>0</v>
      </c>
      <c r="K1514" s="240">
        <v>0</v>
      </c>
      <c r="L1514" s="240">
        <v>0</v>
      </c>
      <c r="M1514" s="240">
        <v>0</v>
      </c>
      <c r="N1514" s="240">
        <v>0</v>
      </c>
    </row>
    <row r="1515" spans="1:14" x14ac:dyDescent="0.3">
      <c r="A1515" s="135" t="s">
        <v>20</v>
      </c>
      <c r="B1515" s="137" t="s">
        <v>412</v>
      </c>
      <c r="C1515" s="137">
        <v>13</v>
      </c>
      <c r="D1515" s="9">
        <v>70.2</v>
      </c>
      <c r="E1515" s="8">
        <v>0</v>
      </c>
      <c r="F1515" s="8">
        <v>78.144231000000005</v>
      </c>
      <c r="G1515" s="18">
        <v>7.461538</v>
      </c>
      <c r="H1515" s="240">
        <v>0</v>
      </c>
      <c r="I1515" s="240">
        <v>0</v>
      </c>
      <c r="J1515" s="240">
        <v>0</v>
      </c>
      <c r="K1515" s="240">
        <v>0</v>
      </c>
      <c r="L1515" s="240">
        <v>0</v>
      </c>
      <c r="M1515" s="240">
        <v>0</v>
      </c>
      <c r="N1515" s="240">
        <v>0</v>
      </c>
    </row>
    <row r="1516" spans="1:14" x14ac:dyDescent="0.3">
      <c r="A1516" s="135" t="s">
        <v>20</v>
      </c>
      <c r="B1516" s="137" t="s">
        <v>412</v>
      </c>
      <c r="C1516" s="137">
        <v>14</v>
      </c>
      <c r="D1516" s="9">
        <v>70.2</v>
      </c>
      <c r="E1516" s="8">
        <v>0</v>
      </c>
      <c r="F1516" s="8">
        <v>79.3125</v>
      </c>
      <c r="G1516" s="18">
        <v>7.7678570000000002</v>
      </c>
      <c r="H1516" s="240">
        <v>0</v>
      </c>
      <c r="I1516" s="240">
        <v>0</v>
      </c>
      <c r="J1516" s="240">
        <v>0</v>
      </c>
      <c r="K1516" s="240">
        <v>0</v>
      </c>
      <c r="L1516" s="240">
        <v>0</v>
      </c>
      <c r="M1516" s="240">
        <v>0</v>
      </c>
      <c r="N1516" s="240">
        <v>0</v>
      </c>
    </row>
    <row r="1517" spans="1:14" x14ac:dyDescent="0.3">
      <c r="A1517" s="135" t="s">
        <v>20</v>
      </c>
      <c r="B1517" s="137" t="s">
        <v>412</v>
      </c>
      <c r="C1517" s="137">
        <v>15</v>
      </c>
      <c r="D1517" s="9">
        <v>70.2</v>
      </c>
      <c r="E1517" s="8">
        <v>0</v>
      </c>
      <c r="F1517" s="8">
        <v>80.325000000000003</v>
      </c>
      <c r="G1517" s="18">
        <v>8.0333330000000007</v>
      </c>
      <c r="H1517" s="240">
        <v>0</v>
      </c>
      <c r="I1517" s="240">
        <v>0</v>
      </c>
      <c r="J1517" s="240">
        <v>0</v>
      </c>
      <c r="K1517" s="240">
        <v>0</v>
      </c>
      <c r="L1517" s="240">
        <v>0</v>
      </c>
      <c r="M1517" s="240">
        <v>0</v>
      </c>
      <c r="N1517" s="240">
        <v>0</v>
      </c>
    </row>
    <row r="1518" spans="1:14" x14ac:dyDescent="0.3">
      <c r="A1518" s="135" t="s">
        <v>20</v>
      </c>
      <c r="B1518" s="137" t="s">
        <v>412</v>
      </c>
      <c r="C1518" s="137">
        <v>16</v>
      </c>
      <c r="D1518" s="9">
        <v>70.2</v>
      </c>
      <c r="E1518" s="8">
        <v>0</v>
      </c>
      <c r="F1518" s="8">
        <v>81.210937000000001</v>
      </c>
      <c r="G1518" s="18">
        <v>8.3125</v>
      </c>
      <c r="H1518" s="240">
        <v>0</v>
      </c>
      <c r="I1518" s="240">
        <v>0</v>
      </c>
      <c r="J1518" s="240">
        <v>0</v>
      </c>
      <c r="K1518" s="240">
        <v>0</v>
      </c>
      <c r="L1518" s="240">
        <v>0</v>
      </c>
      <c r="M1518" s="240">
        <v>0</v>
      </c>
      <c r="N1518" s="240">
        <v>0</v>
      </c>
    </row>
    <row r="1519" spans="1:14" x14ac:dyDescent="0.3">
      <c r="A1519" s="135" t="s">
        <v>20</v>
      </c>
      <c r="B1519" s="137" t="s">
        <v>412</v>
      </c>
      <c r="C1519" s="137">
        <v>17</v>
      </c>
      <c r="D1519" s="9">
        <v>70.2</v>
      </c>
      <c r="E1519" s="8">
        <v>0</v>
      </c>
      <c r="F1519" s="8">
        <v>81.992647000000005</v>
      </c>
      <c r="G1519" s="18">
        <v>8.5735290000000006</v>
      </c>
      <c r="H1519" s="240">
        <v>0</v>
      </c>
      <c r="I1519" s="240">
        <v>0</v>
      </c>
      <c r="J1519" s="240">
        <v>0</v>
      </c>
      <c r="K1519" s="240">
        <v>0</v>
      </c>
      <c r="L1519" s="240">
        <v>0</v>
      </c>
      <c r="M1519" s="240">
        <v>0</v>
      </c>
      <c r="N1519" s="240">
        <v>0</v>
      </c>
    </row>
    <row r="1520" spans="1:14" x14ac:dyDescent="0.3">
      <c r="A1520" s="135" t="s">
        <v>20</v>
      </c>
      <c r="B1520" s="137" t="s">
        <v>412</v>
      </c>
      <c r="C1520" s="137">
        <v>18</v>
      </c>
      <c r="D1520" s="9">
        <v>70.2</v>
      </c>
      <c r="E1520" s="8">
        <v>0</v>
      </c>
      <c r="F1520" s="8">
        <v>82.6875</v>
      </c>
      <c r="G1520" s="18">
        <v>8.8333329999999997</v>
      </c>
      <c r="H1520" s="240">
        <v>0</v>
      </c>
      <c r="I1520" s="240">
        <v>0</v>
      </c>
      <c r="J1520" s="240">
        <v>0</v>
      </c>
      <c r="K1520" s="240">
        <v>0</v>
      </c>
      <c r="L1520" s="240">
        <v>0</v>
      </c>
      <c r="M1520" s="240">
        <v>0</v>
      </c>
      <c r="N1520" s="240">
        <v>0</v>
      </c>
    </row>
    <row r="1521" spans="1:14" x14ac:dyDescent="0.3">
      <c r="A1521" s="135" t="s">
        <v>20</v>
      </c>
      <c r="B1521" s="137" t="s">
        <v>412</v>
      </c>
      <c r="C1521" s="137">
        <v>19</v>
      </c>
      <c r="D1521" s="9">
        <v>70.2</v>
      </c>
      <c r="E1521" s="8">
        <v>0</v>
      </c>
      <c r="F1521" s="8">
        <v>83.309211000000005</v>
      </c>
      <c r="G1521" s="18">
        <v>9.0789469999999994</v>
      </c>
      <c r="H1521" s="240">
        <v>0</v>
      </c>
      <c r="I1521" s="240">
        <v>0</v>
      </c>
      <c r="J1521" s="240">
        <v>0</v>
      </c>
      <c r="K1521" s="240">
        <v>0</v>
      </c>
      <c r="L1521" s="240">
        <v>0</v>
      </c>
      <c r="M1521" s="240">
        <v>0</v>
      </c>
      <c r="N1521" s="240">
        <v>0</v>
      </c>
    </row>
    <row r="1522" spans="1:14" x14ac:dyDescent="0.3">
      <c r="A1522" s="135" t="s">
        <v>20</v>
      </c>
      <c r="B1522" s="137" t="s">
        <v>412</v>
      </c>
      <c r="C1522" s="137">
        <v>20</v>
      </c>
      <c r="D1522" s="9">
        <v>70.2</v>
      </c>
      <c r="E1522" s="8">
        <v>0</v>
      </c>
      <c r="F1522" s="8">
        <v>83.868750000000006</v>
      </c>
      <c r="G1522" s="18">
        <v>9.3125</v>
      </c>
      <c r="H1522" s="240">
        <v>0</v>
      </c>
      <c r="I1522" s="240">
        <v>0</v>
      </c>
      <c r="J1522" s="240">
        <v>0</v>
      </c>
      <c r="K1522" s="240">
        <v>0</v>
      </c>
      <c r="L1522" s="240">
        <v>0</v>
      </c>
      <c r="M1522" s="240">
        <v>0</v>
      </c>
      <c r="N1522" s="240">
        <v>0</v>
      </c>
    </row>
    <row r="1523" spans="1:14" x14ac:dyDescent="0.3">
      <c r="A1523" s="135" t="s">
        <v>20</v>
      </c>
      <c r="B1523" s="137" t="s">
        <v>412</v>
      </c>
      <c r="C1523" s="137">
        <v>21</v>
      </c>
      <c r="D1523" s="9">
        <v>70.2</v>
      </c>
      <c r="E1523" s="8">
        <v>0</v>
      </c>
      <c r="F1523" s="8">
        <v>85.5</v>
      </c>
      <c r="G1523" s="18">
        <v>9.6071430000000007</v>
      </c>
      <c r="H1523" s="240">
        <v>0</v>
      </c>
      <c r="I1523" s="240">
        <v>0</v>
      </c>
      <c r="J1523" s="240">
        <v>0</v>
      </c>
      <c r="K1523" s="240">
        <v>0</v>
      </c>
      <c r="L1523" s="240">
        <v>0</v>
      </c>
      <c r="M1523" s="240">
        <v>0</v>
      </c>
      <c r="N1523" s="240">
        <v>0</v>
      </c>
    </row>
    <row r="1524" spans="1:14" x14ac:dyDescent="0.3">
      <c r="A1524" s="135" t="s">
        <v>20</v>
      </c>
      <c r="B1524" s="137" t="s">
        <v>412</v>
      </c>
      <c r="C1524" s="137">
        <v>22</v>
      </c>
      <c r="D1524" s="9">
        <v>70.2</v>
      </c>
      <c r="E1524" s="8">
        <v>0</v>
      </c>
      <c r="F1524" s="8">
        <v>86.982955000000004</v>
      </c>
      <c r="G1524" s="18">
        <v>9.8977269999999997</v>
      </c>
      <c r="H1524" s="240">
        <v>0</v>
      </c>
      <c r="I1524" s="240">
        <v>0</v>
      </c>
      <c r="J1524" s="240">
        <v>0</v>
      </c>
      <c r="K1524" s="240">
        <v>0</v>
      </c>
      <c r="L1524" s="240">
        <v>0</v>
      </c>
      <c r="M1524" s="240">
        <v>0</v>
      </c>
      <c r="N1524" s="240">
        <v>0</v>
      </c>
    </row>
    <row r="1525" spans="1:14" x14ac:dyDescent="0.3">
      <c r="A1525" s="135" t="s">
        <v>20</v>
      </c>
      <c r="B1525" s="137" t="s">
        <v>412</v>
      </c>
      <c r="C1525" s="137">
        <v>23</v>
      </c>
      <c r="D1525" s="9">
        <v>70.2</v>
      </c>
      <c r="E1525" s="8">
        <v>0</v>
      </c>
      <c r="F1525" s="8">
        <v>88.336956999999998</v>
      </c>
      <c r="G1525" s="18">
        <v>10.184782999999999</v>
      </c>
      <c r="H1525" s="240">
        <v>0</v>
      </c>
      <c r="I1525" s="240">
        <v>0</v>
      </c>
      <c r="J1525" s="240">
        <v>0</v>
      </c>
      <c r="K1525" s="240">
        <v>0</v>
      </c>
      <c r="L1525" s="240">
        <v>0</v>
      </c>
      <c r="M1525" s="240">
        <v>0</v>
      </c>
      <c r="N1525" s="240">
        <v>0</v>
      </c>
    </row>
    <row r="1526" spans="1:14" x14ac:dyDescent="0.3">
      <c r="A1526" s="135" t="s">
        <v>20</v>
      </c>
      <c r="B1526" s="137" t="s">
        <v>412</v>
      </c>
      <c r="C1526" s="137">
        <v>24</v>
      </c>
      <c r="D1526" s="9">
        <v>70.2</v>
      </c>
      <c r="E1526" s="8">
        <v>0</v>
      </c>
      <c r="F1526" s="8">
        <v>89.578125</v>
      </c>
      <c r="G1526" s="18">
        <v>10.458333</v>
      </c>
      <c r="H1526" s="240">
        <v>0</v>
      </c>
      <c r="I1526" s="240">
        <v>0</v>
      </c>
      <c r="J1526" s="240">
        <v>0</v>
      </c>
      <c r="K1526" s="240">
        <v>0</v>
      </c>
      <c r="L1526" s="240">
        <v>0</v>
      </c>
      <c r="M1526" s="240">
        <v>0</v>
      </c>
      <c r="N1526" s="240">
        <v>0</v>
      </c>
    </row>
    <row r="1527" spans="1:14" x14ac:dyDescent="0.3">
      <c r="A1527" s="135" t="s">
        <v>20</v>
      </c>
      <c r="B1527" s="137" t="s">
        <v>412</v>
      </c>
      <c r="C1527" s="137">
        <v>25</v>
      </c>
      <c r="D1527" s="9">
        <v>70.2</v>
      </c>
      <c r="E1527" s="8">
        <v>0</v>
      </c>
      <c r="F1527" s="8">
        <v>90.72</v>
      </c>
      <c r="G1527" s="18">
        <v>10.73</v>
      </c>
      <c r="H1527" s="240">
        <v>0</v>
      </c>
      <c r="I1527" s="240">
        <v>0</v>
      </c>
      <c r="J1527" s="240">
        <v>0</v>
      </c>
      <c r="K1527" s="240">
        <v>0</v>
      </c>
      <c r="L1527" s="240">
        <v>0</v>
      </c>
      <c r="M1527" s="240">
        <v>0</v>
      </c>
      <c r="N1527" s="240">
        <v>0</v>
      </c>
    </row>
    <row r="1528" spans="1:14" x14ac:dyDescent="0.3">
      <c r="A1528" s="135" t="s">
        <v>20</v>
      </c>
      <c r="B1528" s="137" t="s">
        <v>412</v>
      </c>
      <c r="C1528" s="137">
        <v>26</v>
      </c>
      <c r="D1528" s="9">
        <v>70.2</v>
      </c>
      <c r="E1528" s="8">
        <v>0</v>
      </c>
      <c r="F1528" s="8">
        <v>91.774038000000004</v>
      </c>
      <c r="G1528" s="18">
        <v>10.990385</v>
      </c>
      <c r="H1528" s="240">
        <v>0</v>
      </c>
      <c r="I1528" s="240">
        <v>0</v>
      </c>
      <c r="J1528" s="240">
        <v>0</v>
      </c>
      <c r="K1528" s="240">
        <v>0</v>
      </c>
      <c r="L1528" s="240">
        <v>0</v>
      </c>
      <c r="M1528" s="240">
        <v>0</v>
      </c>
      <c r="N1528" s="240">
        <v>0</v>
      </c>
    </row>
    <row r="1529" spans="1:14" x14ac:dyDescent="0.3">
      <c r="A1529" s="135" t="s">
        <v>20</v>
      </c>
      <c r="B1529" s="137" t="s">
        <v>412</v>
      </c>
      <c r="C1529" s="137">
        <v>27</v>
      </c>
      <c r="D1529" s="9">
        <v>70.2</v>
      </c>
      <c r="E1529" s="8">
        <v>0</v>
      </c>
      <c r="F1529" s="8">
        <v>92.75</v>
      </c>
      <c r="G1529" s="18">
        <v>11.240741</v>
      </c>
      <c r="H1529" s="240">
        <v>0</v>
      </c>
      <c r="I1529" s="240">
        <v>0</v>
      </c>
      <c r="J1529" s="240">
        <v>0</v>
      </c>
      <c r="K1529" s="240">
        <v>0</v>
      </c>
      <c r="L1529" s="240">
        <v>0</v>
      </c>
      <c r="M1529" s="240">
        <v>0</v>
      </c>
      <c r="N1529" s="240">
        <v>0</v>
      </c>
    </row>
    <row r="1530" spans="1:14" x14ac:dyDescent="0.3">
      <c r="A1530" s="135" t="s">
        <v>20</v>
      </c>
      <c r="B1530" s="137" t="s">
        <v>412</v>
      </c>
      <c r="C1530" s="137">
        <v>28</v>
      </c>
      <c r="D1530" s="9">
        <v>70.2</v>
      </c>
      <c r="E1530" s="8">
        <v>0</v>
      </c>
      <c r="F1530" s="8">
        <v>93.65625</v>
      </c>
      <c r="G1530" s="18">
        <v>11.491071</v>
      </c>
      <c r="H1530" s="240">
        <v>0</v>
      </c>
      <c r="I1530" s="240">
        <v>0</v>
      </c>
      <c r="J1530" s="240">
        <v>0</v>
      </c>
      <c r="K1530" s="240">
        <v>0</v>
      </c>
      <c r="L1530" s="240">
        <v>0</v>
      </c>
      <c r="M1530" s="240">
        <v>0</v>
      </c>
      <c r="N1530" s="240">
        <v>0</v>
      </c>
    </row>
    <row r="1531" spans="1:14" x14ac:dyDescent="0.3">
      <c r="A1531" s="135" t="s">
        <v>20</v>
      </c>
      <c r="B1531" s="137" t="s">
        <v>412</v>
      </c>
      <c r="C1531" s="137">
        <v>29</v>
      </c>
      <c r="D1531" s="9">
        <v>70.2</v>
      </c>
      <c r="E1531" s="8">
        <v>0</v>
      </c>
      <c r="F1531" s="8">
        <v>94.5</v>
      </c>
      <c r="G1531" s="18">
        <v>11.741379</v>
      </c>
      <c r="H1531" s="240">
        <v>0</v>
      </c>
      <c r="I1531" s="240">
        <v>0</v>
      </c>
      <c r="J1531" s="240">
        <v>0</v>
      </c>
      <c r="K1531" s="240">
        <v>0</v>
      </c>
      <c r="L1531" s="240">
        <v>0</v>
      </c>
      <c r="M1531" s="240">
        <v>0</v>
      </c>
      <c r="N1531" s="240">
        <v>0</v>
      </c>
    </row>
    <row r="1532" spans="1:14" x14ac:dyDescent="0.3">
      <c r="A1532" s="138" t="s">
        <v>20</v>
      </c>
      <c r="B1532" s="137" t="s">
        <v>412</v>
      </c>
      <c r="C1532" s="137">
        <v>30</v>
      </c>
      <c r="D1532" s="9">
        <v>70.2</v>
      </c>
      <c r="E1532" s="8">
        <v>0</v>
      </c>
      <c r="F1532" s="8">
        <v>95.287499999999994</v>
      </c>
      <c r="G1532" s="18">
        <v>11.975</v>
      </c>
      <c r="H1532" s="240">
        <v>0</v>
      </c>
      <c r="I1532" s="240">
        <v>0</v>
      </c>
      <c r="J1532" s="240">
        <v>0</v>
      </c>
      <c r="K1532" s="240">
        <v>0</v>
      </c>
      <c r="L1532" s="240">
        <v>0</v>
      </c>
      <c r="M1532" s="240">
        <v>0</v>
      </c>
      <c r="N1532" s="240">
        <v>0</v>
      </c>
    </row>
    <row r="1533" spans="1:14" x14ac:dyDescent="0.3">
      <c r="A1533" s="144" t="s">
        <v>20</v>
      </c>
      <c r="B1533" s="145" t="s">
        <v>413</v>
      </c>
      <c r="C1533" s="143">
        <v>1</v>
      </c>
      <c r="D1533" s="9">
        <v>70.2</v>
      </c>
      <c r="E1533" s="8">
        <v>24.795000000000002</v>
      </c>
      <c r="F1533" s="8">
        <v>7.056</v>
      </c>
      <c r="G1533" s="18">
        <v>8.5</v>
      </c>
      <c r="H1533" s="240">
        <v>0</v>
      </c>
      <c r="I1533" s="240">
        <v>0</v>
      </c>
      <c r="J1533" s="240">
        <v>0</v>
      </c>
      <c r="K1533" s="240">
        <v>0</v>
      </c>
      <c r="L1533" s="240">
        <v>0</v>
      </c>
      <c r="M1533" s="240">
        <v>0</v>
      </c>
      <c r="N1533" s="240">
        <v>0</v>
      </c>
    </row>
    <row r="1534" spans="1:14" x14ac:dyDescent="0.3">
      <c r="A1534" s="135" t="s">
        <v>20</v>
      </c>
      <c r="B1534" s="136" t="s">
        <v>413</v>
      </c>
      <c r="C1534" s="137">
        <v>2</v>
      </c>
      <c r="D1534" s="9">
        <v>70.2</v>
      </c>
      <c r="E1534" s="8">
        <v>24.795000000000002</v>
      </c>
      <c r="F1534" s="8">
        <v>7.056</v>
      </c>
      <c r="G1534" s="18">
        <v>7.875</v>
      </c>
      <c r="H1534" s="240">
        <v>0</v>
      </c>
      <c r="I1534" s="240">
        <v>0</v>
      </c>
      <c r="J1534" s="240">
        <v>0</v>
      </c>
      <c r="K1534" s="240">
        <v>0</v>
      </c>
      <c r="L1534" s="240">
        <v>0</v>
      </c>
      <c r="M1534" s="240">
        <v>0</v>
      </c>
      <c r="N1534" s="240">
        <v>0</v>
      </c>
    </row>
    <row r="1535" spans="1:14" x14ac:dyDescent="0.3">
      <c r="A1535" s="135" t="s">
        <v>20</v>
      </c>
      <c r="B1535" s="137" t="s">
        <v>413</v>
      </c>
      <c r="C1535" s="137">
        <v>3</v>
      </c>
      <c r="D1535" s="9">
        <v>70.2</v>
      </c>
      <c r="E1535" s="8">
        <v>24.795000000000002</v>
      </c>
      <c r="F1535" s="8">
        <v>7.056</v>
      </c>
      <c r="G1535" s="18">
        <v>8.1666670000000003</v>
      </c>
      <c r="H1535" s="240">
        <v>0</v>
      </c>
      <c r="I1535" s="240">
        <v>0</v>
      </c>
      <c r="J1535" s="240">
        <v>0</v>
      </c>
      <c r="K1535" s="240">
        <v>0</v>
      </c>
      <c r="L1535" s="240">
        <v>0</v>
      </c>
      <c r="M1535" s="240">
        <v>0</v>
      </c>
      <c r="N1535" s="240">
        <v>0</v>
      </c>
    </row>
    <row r="1536" spans="1:14" x14ac:dyDescent="0.3">
      <c r="A1536" s="135" t="s">
        <v>20</v>
      </c>
      <c r="B1536" s="137" t="s">
        <v>413</v>
      </c>
      <c r="C1536" s="137">
        <v>4</v>
      </c>
      <c r="D1536" s="9">
        <v>70.2</v>
      </c>
      <c r="E1536" s="8">
        <v>24.795000000000002</v>
      </c>
      <c r="F1536" s="8">
        <v>7.056</v>
      </c>
      <c r="G1536" s="18">
        <v>8.625</v>
      </c>
      <c r="H1536" s="240">
        <v>0</v>
      </c>
      <c r="I1536" s="240">
        <v>0</v>
      </c>
      <c r="J1536" s="240">
        <v>0</v>
      </c>
      <c r="K1536" s="240">
        <v>0</v>
      </c>
      <c r="L1536" s="240">
        <v>0</v>
      </c>
      <c r="M1536" s="240">
        <v>0</v>
      </c>
      <c r="N1536" s="240">
        <v>0</v>
      </c>
    </row>
    <row r="1537" spans="1:14" x14ac:dyDescent="0.3">
      <c r="A1537" s="135" t="s">
        <v>20</v>
      </c>
      <c r="B1537" s="137" t="s">
        <v>413</v>
      </c>
      <c r="C1537" s="137">
        <v>5</v>
      </c>
      <c r="D1537" s="9">
        <v>70.2</v>
      </c>
      <c r="E1537" s="8">
        <v>24.795000000000002</v>
      </c>
      <c r="F1537" s="8">
        <v>8.2439999999999998</v>
      </c>
      <c r="G1537" s="18">
        <v>9.1999999999999993</v>
      </c>
      <c r="H1537" s="240">
        <v>0</v>
      </c>
      <c r="I1537" s="240">
        <v>0</v>
      </c>
      <c r="J1537" s="240">
        <v>0</v>
      </c>
      <c r="K1537" s="240">
        <v>0</v>
      </c>
      <c r="L1537" s="240">
        <v>0</v>
      </c>
      <c r="M1537" s="240">
        <v>0</v>
      </c>
      <c r="N1537" s="240">
        <v>0</v>
      </c>
    </row>
    <row r="1538" spans="1:14" x14ac:dyDescent="0.3">
      <c r="A1538" s="135" t="s">
        <v>20</v>
      </c>
      <c r="B1538" s="137" t="s">
        <v>413</v>
      </c>
      <c r="C1538" s="137">
        <v>6</v>
      </c>
      <c r="D1538" s="9">
        <v>70.2</v>
      </c>
      <c r="E1538" s="8">
        <v>24.795000000000002</v>
      </c>
      <c r="F1538" s="8">
        <v>9.0359999999999996</v>
      </c>
      <c r="G1538" s="18">
        <v>9.75</v>
      </c>
      <c r="H1538" s="240">
        <v>0</v>
      </c>
      <c r="I1538" s="240">
        <v>0</v>
      </c>
      <c r="J1538" s="240">
        <v>0</v>
      </c>
      <c r="K1538" s="240">
        <v>0</v>
      </c>
      <c r="L1538" s="240">
        <v>0</v>
      </c>
      <c r="M1538" s="240">
        <v>0</v>
      </c>
      <c r="N1538" s="240">
        <v>0</v>
      </c>
    </row>
    <row r="1539" spans="1:14" x14ac:dyDescent="0.3">
      <c r="A1539" s="135" t="s">
        <v>20</v>
      </c>
      <c r="B1539" s="137" t="s">
        <v>413</v>
      </c>
      <c r="C1539" s="137">
        <v>7</v>
      </c>
      <c r="D1539" s="9">
        <v>70.2</v>
      </c>
      <c r="E1539" s="8">
        <v>24.795000000000002</v>
      </c>
      <c r="F1539" s="8">
        <v>9.6017139999999994</v>
      </c>
      <c r="G1539" s="18">
        <v>10.285714</v>
      </c>
      <c r="H1539" s="240">
        <v>0</v>
      </c>
      <c r="I1539" s="240">
        <v>0</v>
      </c>
      <c r="J1539" s="240">
        <v>0</v>
      </c>
      <c r="K1539" s="240">
        <v>0</v>
      </c>
      <c r="L1539" s="240">
        <v>0</v>
      </c>
      <c r="M1539" s="240">
        <v>0</v>
      </c>
      <c r="N1539" s="240">
        <v>0</v>
      </c>
    </row>
    <row r="1540" spans="1:14" x14ac:dyDescent="0.3">
      <c r="A1540" s="135" t="s">
        <v>20</v>
      </c>
      <c r="B1540" s="137" t="s">
        <v>413</v>
      </c>
      <c r="C1540" s="137">
        <v>8</v>
      </c>
      <c r="D1540" s="9">
        <v>70.2</v>
      </c>
      <c r="E1540" s="8">
        <v>24.795000000000002</v>
      </c>
      <c r="F1540" s="8">
        <v>10.026</v>
      </c>
      <c r="G1540" s="18">
        <v>10.78125</v>
      </c>
      <c r="H1540" s="240">
        <v>0</v>
      </c>
      <c r="I1540" s="240">
        <v>0</v>
      </c>
      <c r="J1540" s="240">
        <v>0</v>
      </c>
      <c r="K1540" s="240">
        <v>0</v>
      </c>
      <c r="L1540" s="240">
        <v>0</v>
      </c>
      <c r="M1540" s="240">
        <v>0</v>
      </c>
      <c r="N1540" s="240">
        <v>0</v>
      </c>
    </row>
    <row r="1541" spans="1:14" x14ac:dyDescent="0.3">
      <c r="A1541" s="135" t="s">
        <v>20</v>
      </c>
      <c r="B1541" s="137" t="s">
        <v>413</v>
      </c>
      <c r="C1541" s="137">
        <v>9</v>
      </c>
      <c r="D1541" s="9">
        <v>70.2</v>
      </c>
      <c r="E1541" s="8">
        <v>24.795000000000002</v>
      </c>
      <c r="F1541" s="8">
        <v>10.356</v>
      </c>
      <c r="G1541" s="18">
        <v>11.277778</v>
      </c>
      <c r="H1541" s="240">
        <v>0</v>
      </c>
      <c r="I1541" s="240">
        <v>0</v>
      </c>
      <c r="J1541" s="240">
        <v>0</v>
      </c>
      <c r="K1541" s="240">
        <v>0</v>
      </c>
      <c r="L1541" s="240">
        <v>0</v>
      </c>
      <c r="M1541" s="240">
        <v>0</v>
      </c>
      <c r="N1541" s="240">
        <v>0</v>
      </c>
    </row>
    <row r="1542" spans="1:14" x14ac:dyDescent="0.3">
      <c r="A1542" s="135" t="s">
        <v>20</v>
      </c>
      <c r="B1542" s="137" t="s">
        <v>413</v>
      </c>
      <c r="C1542" s="137">
        <v>10</v>
      </c>
      <c r="D1542" s="9">
        <v>70.2</v>
      </c>
      <c r="E1542" s="8">
        <v>24.795000000000002</v>
      </c>
      <c r="F1542" s="8">
        <v>11.394</v>
      </c>
      <c r="G1542" s="18">
        <v>11.8</v>
      </c>
      <c r="H1542" s="240">
        <v>0</v>
      </c>
      <c r="I1542" s="240">
        <v>0</v>
      </c>
      <c r="J1542" s="240">
        <v>0</v>
      </c>
      <c r="K1542" s="240">
        <v>0</v>
      </c>
      <c r="L1542" s="240">
        <v>0</v>
      </c>
      <c r="M1542" s="240">
        <v>0</v>
      </c>
      <c r="N1542" s="240">
        <v>0</v>
      </c>
    </row>
    <row r="1543" spans="1:14" x14ac:dyDescent="0.3">
      <c r="A1543" s="135" t="s">
        <v>20</v>
      </c>
      <c r="B1543" s="137" t="s">
        <v>413</v>
      </c>
      <c r="C1543" s="137">
        <v>11</v>
      </c>
      <c r="D1543" s="9">
        <v>70.2</v>
      </c>
      <c r="E1543" s="8">
        <v>24.795000000000002</v>
      </c>
      <c r="F1543" s="8">
        <v>12.243273</v>
      </c>
      <c r="G1543" s="18">
        <v>12.318182</v>
      </c>
      <c r="H1543" s="240">
        <v>0</v>
      </c>
      <c r="I1543" s="240">
        <v>0</v>
      </c>
      <c r="J1543" s="240">
        <v>0</v>
      </c>
      <c r="K1543" s="240">
        <v>0</v>
      </c>
      <c r="L1543" s="240">
        <v>0</v>
      </c>
      <c r="M1543" s="240">
        <v>0</v>
      </c>
      <c r="N1543" s="240">
        <v>0</v>
      </c>
    </row>
    <row r="1544" spans="1:14" x14ac:dyDescent="0.3">
      <c r="A1544" s="135" t="s">
        <v>20</v>
      </c>
      <c r="B1544" s="137" t="s">
        <v>413</v>
      </c>
      <c r="C1544" s="137">
        <v>12</v>
      </c>
      <c r="D1544" s="9">
        <v>70.2</v>
      </c>
      <c r="E1544" s="8">
        <v>24.795000000000002</v>
      </c>
      <c r="F1544" s="8">
        <v>12.951000000000001</v>
      </c>
      <c r="G1544" s="18">
        <v>12.791667</v>
      </c>
      <c r="H1544" s="240">
        <v>0</v>
      </c>
      <c r="I1544" s="240">
        <v>0</v>
      </c>
      <c r="J1544" s="240">
        <v>0</v>
      </c>
      <c r="K1544" s="240">
        <v>0</v>
      </c>
      <c r="L1544" s="240">
        <v>0</v>
      </c>
      <c r="M1544" s="240">
        <v>0</v>
      </c>
      <c r="N1544" s="240">
        <v>0</v>
      </c>
    </row>
    <row r="1545" spans="1:14" x14ac:dyDescent="0.3">
      <c r="A1545" s="135" t="s">
        <v>20</v>
      </c>
      <c r="B1545" s="137" t="s">
        <v>413</v>
      </c>
      <c r="C1545" s="137">
        <v>13</v>
      </c>
      <c r="D1545" s="9">
        <v>70.2</v>
      </c>
      <c r="E1545" s="8">
        <v>24.795000000000002</v>
      </c>
      <c r="F1545" s="8">
        <v>13.549846000000001</v>
      </c>
      <c r="G1545" s="18">
        <v>13.269231</v>
      </c>
      <c r="H1545" s="240">
        <v>0</v>
      </c>
      <c r="I1545" s="240">
        <v>0</v>
      </c>
      <c r="J1545" s="240">
        <v>0</v>
      </c>
      <c r="K1545" s="240">
        <v>0</v>
      </c>
      <c r="L1545" s="240">
        <v>0</v>
      </c>
      <c r="M1545" s="240">
        <v>0</v>
      </c>
      <c r="N1545" s="240">
        <v>0</v>
      </c>
    </row>
    <row r="1546" spans="1:14" x14ac:dyDescent="0.3">
      <c r="A1546" s="135" t="s">
        <v>20</v>
      </c>
      <c r="B1546" s="137" t="s">
        <v>413</v>
      </c>
      <c r="C1546" s="137">
        <v>14</v>
      </c>
      <c r="D1546" s="9">
        <v>70.2</v>
      </c>
      <c r="E1546" s="8">
        <v>24.795000000000002</v>
      </c>
      <c r="F1546" s="8">
        <v>14.063143</v>
      </c>
      <c r="G1546" s="18">
        <v>13.732143000000001</v>
      </c>
      <c r="H1546" s="240">
        <v>0</v>
      </c>
      <c r="I1546" s="240">
        <v>0</v>
      </c>
      <c r="J1546" s="240">
        <v>0</v>
      </c>
      <c r="K1546" s="240">
        <v>0</v>
      </c>
      <c r="L1546" s="240">
        <v>0</v>
      </c>
      <c r="M1546" s="240">
        <v>0</v>
      </c>
      <c r="N1546" s="240">
        <v>0</v>
      </c>
    </row>
    <row r="1547" spans="1:14" x14ac:dyDescent="0.3">
      <c r="A1547" s="135" t="s">
        <v>20</v>
      </c>
      <c r="B1547" s="137" t="s">
        <v>413</v>
      </c>
      <c r="C1547" s="137">
        <v>15</v>
      </c>
      <c r="D1547" s="9">
        <v>70.2</v>
      </c>
      <c r="E1547" s="8">
        <v>24.795000000000002</v>
      </c>
      <c r="F1547" s="8">
        <v>14.507999999999999</v>
      </c>
      <c r="G1547" s="18">
        <v>14.166667</v>
      </c>
      <c r="H1547" s="240">
        <v>0</v>
      </c>
      <c r="I1547" s="240">
        <v>0</v>
      </c>
      <c r="J1547" s="240">
        <v>0</v>
      </c>
      <c r="K1547" s="240">
        <v>0</v>
      </c>
      <c r="L1547" s="240">
        <v>0</v>
      </c>
      <c r="M1547" s="240">
        <v>0</v>
      </c>
      <c r="N1547" s="240">
        <v>0</v>
      </c>
    </row>
    <row r="1548" spans="1:14" x14ac:dyDescent="0.3">
      <c r="A1548" s="135" t="s">
        <v>20</v>
      </c>
      <c r="B1548" s="137" t="s">
        <v>413</v>
      </c>
      <c r="C1548" s="137">
        <v>16</v>
      </c>
      <c r="D1548" s="9">
        <v>70.2</v>
      </c>
      <c r="E1548" s="8">
        <v>24.795000000000002</v>
      </c>
      <c r="F1548" s="8">
        <v>14.89725</v>
      </c>
      <c r="G1548" s="18">
        <v>14.59375</v>
      </c>
      <c r="H1548" s="240">
        <v>0</v>
      </c>
      <c r="I1548" s="240">
        <v>0</v>
      </c>
      <c r="J1548" s="240">
        <v>0</v>
      </c>
      <c r="K1548" s="240">
        <v>0</v>
      </c>
      <c r="L1548" s="240">
        <v>0</v>
      </c>
      <c r="M1548" s="240">
        <v>0</v>
      </c>
      <c r="N1548" s="240">
        <v>0</v>
      </c>
    </row>
    <row r="1549" spans="1:14" x14ac:dyDescent="0.3">
      <c r="A1549" s="135" t="s">
        <v>20</v>
      </c>
      <c r="B1549" s="137" t="s">
        <v>413</v>
      </c>
      <c r="C1549" s="137">
        <v>17</v>
      </c>
      <c r="D1549" s="9">
        <v>70.2</v>
      </c>
      <c r="E1549" s="8">
        <v>24.795000000000002</v>
      </c>
      <c r="F1549" s="8">
        <v>15.801882000000001</v>
      </c>
      <c r="G1549" s="18">
        <v>15.073529000000001</v>
      </c>
      <c r="H1549" s="240">
        <v>0</v>
      </c>
      <c r="I1549" s="240">
        <v>0</v>
      </c>
      <c r="J1549" s="240">
        <v>0</v>
      </c>
      <c r="K1549" s="240">
        <v>0</v>
      </c>
      <c r="L1549" s="240">
        <v>0</v>
      </c>
      <c r="M1549" s="240">
        <v>0</v>
      </c>
      <c r="N1549" s="240">
        <v>0</v>
      </c>
    </row>
    <row r="1550" spans="1:14" x14ac:dyDescent="0.3">
      <c r="A1550" s="135" t="s">
        <v>20</v>
      </c>
      <c r="B1550" s="137" t="s">
        <v>413</v>
      </c>
      <c r="C1550" s="137">
        <v>18</v>
      </c>
      <c r="D1550" s="9">
        <v>70.2</v>
      </c>
      <c r="E1550" s="8">
        <v>24.795000000000002</v>
      </c>
      <c r="F1550" s="8">
        <v>16.606000000000002</v>
      </c>
      <c r="G1550" s="18">
        <v>15.527778</v>
      </c>
      <c r="H1550" s="240">
        <v>0</v>
      </c>
      <c r="I1550" s="240">
        <v>0</v>
      </c>
      <c r="J1550" s="240">
        <v>0</v>
      </c>
      <c r="K1550" s="240">
        <v>0</v>
      </c>
      <c r="L1550" s="240">
        <v>0</v>
      </c>
      <c r="M1550" s="240">
        <v>0</v>
      </c>
      <c r="N1550" s="240">
        <v>0</v>
      </c>
    </row>
    <row r="1551" spans="1:14" x14ac:dyDescent="0.3">
      <c r="A1551" s="135" t="s">
        <v>20</v>
      </c>
      <c r="B1551" s="137" t="s">
        <v>413</v>
      </c>
      <c r="C1551" s="137">
        <v>19</v>
      </c>
      <c r="D1551" s="9">
        <v>70.2</v>
      </c>
      <c r="E1551" s="8">
        <v>24.795000000000002</v>
      </c>
      <c r="F1551" s="8">
        <v>17.325474</v>
      </c>
      <c r="G1551" s="18">
        <v>15.986841999999999</v>
      </c>
      <c r="H1551" s="240">
        <v>0</v>
      </c>
      <c r="I1551" s="240">
        <v>0</v>
      </c>
      <c r="J1551" s="240">
        <v>0</v>
      </c>
      <c r="K1551" s="240">
        <v>0</v>
      </c>
      <c r="L1551" s="240">
        <v>0</v>
      </c>
      <c r="M1551" s="240">
        <v>0</v>
      </c>
      <c r="N1551" s="240">
        <v>0</v>
      </c>
    </row>
    <row r="1552" spans="1:14" x14ac:dyDescent="0.3">
      <c r="A1552" s="135" t="s">
        <v>20</v>
      </c>
      <c r="B1552" s="137" t="s">
        <v>413</v>
      </c>
      <c r="C1552" s="137">
        <v>20</v>
      </c>
      <c r="D1552" s="9">
        <v>70.2</v>
      </c>
      <c r="E1552" s="8">
        <v>24.795000000000002</v>
      </c>
      <c r="F1552" s="8">
        <v>17.972999999999999</v>
      </c>
      <c r="G1552" s="18">
        <v>16.412500000000001</v>
      </c>
      <c r="H1552" s="240">
        <v>0</v>
      </c>
      <c r="I1552" s="240">
        <v>0</v>
      </c>
      <c r="J1552" s="240">
        <v>0</v>
      </c>
      <c r="K1552" s="240">
        <v>0</v>
      </c>
      <c r="L1552" s="240">
        <v>0</v>
      </c>
      <c r="M1552" s="240">
        <v>0</v>
      </c>
      <c r="N1552" s="240">
        <v>0</v>
      </c>
    </row>
    <row r="1553" spans="1:14" x14ac:dyDescent="0.3">
      <c r="A1553" s="135" t="s">
        <v>20</v>
      </c>
      <c r="B1553" s="137" t="s">
        <v>413</v>
      </c>
      <c r="C1553" s="137">
        <v>21</v>
      </c>
      <c r="D1553" s="9">
        <v>70.2</v>
      </c>
      <c r="E1553" s="8">
        <v>24.795000000000002</v>
      </c>
      <c r="F1553" s="8">
        <v>18.558857</v>
      </c>
      <c r="G1553" s="18">
        <v>16.845237999999998</v>
      </c>
      <c r="H1553" s="240">
        <v>0</v>
      </c>
      <c r="I1553" s="240">
        <v>0</v>
      </c>
      <c r="J1553" s="240">
        <v>0</v>
      </c>
      <c r="K1553" s="240">
        <v>0</v>
      </c>
      <c r="L1553" s="240">
        <v>0</v>
      </c>
      <c r="M1553" s="240">
        <v>0</v>
      </c>
      <c r="N1553" s="240">
        <v>0</v>
      </c>
    </row>
    <row r="1554" spans="1:14" x14ac:dyDescent="0.3">
      <c r="A1554" s="135" t="s">
        <v>20</v>
      </c>
      <c r="B1554" s="137" t="s">
        <v>413</v>
      </c>
      <c r="C1554" s="137">
        <v>22</v>
      </c>
      <c r="D1554" s="9">
        <v>70.2</v>
      </c>
      <c r="E1554" s="8">
        <v>24.795000000000002</v>
      </c>
      <c r="F1554" s="8">
        <v>19.091455</v>
      </c>
      <c r="G1554" s="18">
        <v>17.25</v>
      </c>
      <c r="H1554" s="240">
        <v>0</v>
      </c>
      <c r="I1554" s="240">
        <v>0</v>
      </c>
      <c r="J1554" s="240">
        <v>0</v>
      </c>
      <c r="K1554" s="240">
        <v>0</v>
      </c>
      <c r="L1554" s="240">
        <v>0</v>
      </c>
      <c r="M1554" s="240">
        <v>0</v>
      </c>
      <c r="N1554" s="240">
        <v>0</v>
      </c>
    </row>
    <row r="1555" spans="1:14" x14ac:dyDescent="0.3">
      <c r="A1555" s="135" t="s">
        <v>20</v>
      </c>
      <c r="B1555" s="137" t="s">
        <v>413</v>
      </c>
      <c r="C1555" s="137">
        <v>23</v>
      </c>
      <c r="D1555" s="9">
        <v>70.2</v>
      </c>
      <c r="E1555" s="8">
        <v>24.795000000000002</v>
      </c>
      <c r="F1555" s="8">
        <v>19.577739000000001</v>
      </c>
      <c r="G1555" s="18">
        <v>17.663042999999998</v>
      </c>
      <c r="H1555" s="240">
        <v>0</v>
      </c>
      <c r="I1555" s="240">
        <v>0</v>
      </c>
      <c r="J1555" s="240">
        <v>0</v>
      </c>
      <c r="K1555" s="240">
        <v>0</v>
      </c>
      <c r="L1555" s="240">
        <v>0</v>
      </c>
      <c r="M1555" s="240">
        <v>0</v>
      </c>
      <c r="N1555" s="240">
        <v>0</v>
      </c>
    </row>
    <row r="1556" spans="1:14" x14ac:dyDescent="0.3">
      <c r="A1556" s="135" t="s">
        <v>20</v>
      </c>
      <c r="B1556" s="137" t="s">
        <v>413</v>
      </c>
      <c r="C1556" s="137">
        <v>24</v>
      </c>
      <c r="D1556" s="9">
        <v>70.2</v>
      </c>
      <c r="E1556" s="8">
        <v>24.795000000000002</v>
      </c>
      <c r="F1556" s="8">
        <v>20.023499999999999</v>
      </c>
      <c r="G1556" s="18">
        <v>18.052083</v>
      </c>
      <c r="H1556" s="240">
        <v>0</v>
      </c>
      <c r="I1556" s="240">
        <v>0</v>
      </c>
      <c r="J1556" s="240">
        <v>0</v>
      </c>
      <c r="K1556" s="240">
        <v>0</v>
      </c>
      <c r="L1556" s="240">
        <v>0</v>
      </c>
      <c r="M1556" s="240">
        <v>0</v>
      </c>
      <c r="N1556" s="240">
        <v>0</v>
      </c>
    </row>
    <row r="1557" spans="1:14" x14ac:dyDescent="0.3">
      <c r="A1557" s="135" t="s">
        <v>20</v>
      </c>
      <c r="B1557" s="137" t="s">
        <v>413</v>
      </c>
      <c r="C1557" s="137">
        <v>25</v>
      </c>
      <c r="D1557" s="9">
        <v>70.2</v>
      </c>
      <c r="E1557" s="8">
        <v>24.795000000000002</v>
      </c>
      <c r="F1557" s="8">
        <v>20.433599999999998</v>
      </c>
      <c r="G1557" s="18">
        <v>18.440000000000001</v>
      </c>
      <c r="H1557" s="240">
        <v>0</v>
      </c>
      <c r="I1557" s="240">
        <v>0</v>
      </c>
      <c r="J1557" s="240">
        <v>0</v>
      </c>
      <c r="K1557" s="240">
        <v>0</v>
      </c>
      <c r="L1557" s="240">
        <v>0</v>
      </c>
      <c r="M1557" s="240">
        <v>0</v>
      </c>
      <c r="N1557" s="240">
        <v>0</v>
      </c>
    </row>
    <row r="1558" spans="1:14" x14ac:dyDescent="0.3">
      <c r="A1558" s="135" t="s">
        <v>20</v>
      </c>
      <c r="B1558" s="137" t="s">
        <v>413</v>
      </c>
      <c r="C1558" s="137">
        <v>26</v>
      </c>
      <c r="D1558" s="9">
        <v>70.2</v>
      </c>
      <c r="E1558" s="8">
        <v>24.795000000000002</v>
      </c>
      <c r="F1558" s="8">
        <v>21.248308000000002</v>
      </c>
      <c r="G1558" s="18">
        <v>18.875</v>
      </c>
      <c r="H1558" s="240">
        <v>0</v>
      </c>
      <c r="I1558" s="240">
        <v>0</v>
      </c>
      <c r="J1558" s="240">
        <v>0</v>
      </c>
      <c r="K1558" s="240">
        <v>0</v>
      </c>
      <c r="L1558" s="240">
        <v>0</v>
      </c>
      <c r="M1558" s="240">
        <v>0</v>
      </c>
      <c r="N1558" s="240">
        <v>0</v>
      </c>
    </row>
    <row r="1559" spans="1:14" x14ac:dyDescent="0.3">
      <c r="A1559" s="135" t="s">
        <v>20</v>
      </c>
      <c r="B1559" s="137" t="s">
        <v>413</v>
      </c>
      <c r="C1559" s="137">
        <v>27</v>
      </c>
      <c r="D1559" s="9">
        <v>70.2</v>
      </c>
      <c r="E1559" s="8">
        <v>24.795000000000002</v>
      </c>
      <c r="F1559" s="8">
        <v>22.002666999999999</v>
      </c>
      <c r="G1559" s="18">
        <v>19.305555999999999</v>
      </c>
      <c r="H1559" s="240">
        <v>0</v>
      </c>
      <c r="I1559" s="240">
        <v>0</v>
      </c>
      <c r="J1559" s="240">
        <v>0</v>
      </c>
      <c r="K1559" s="240">
        <v>0</v>
      </c>
      <c r="L1559" s="240">
        <v>0</v>
      </c>
      <c r="M1559" s="240">
        <v>0</v>
      </c>
      <c r="N1559" s="240">
        <v>0</v>
      </c>
    </row>
    <row r="1560" spans="1:14" x14ac:dyDescent="0.3">
      <c r="A1560" s="135" t="s">
        <v>20</v>
      </c>
      <c r="B1560" s="137" t="s">
        <v>413</v>
      </c>
      <c r="C1560" s="137">
        <v>28</v>
      </c>
      <c r="D1560" s="9">
        <v>70.2</v>
      </c>
      <c r="E1560" s="8">
        <v>24.795000000000002</v>
      </c>
      <c r="F1560" s="8">
        <v>22.703143000000001</v>
      </c>
      <c r="G1560" s="18">
        <v>19.723213999999999</v>
      </c>
      <c r="H1560" s="240">
        <v>0</v>
      </c>
      <c r="I1560" s="240">
        <v>0</v>
      </c>
      <c r="J1560" s="240">
        <v>0</v>
      </c>
      <c r="K1560" s="240">
        <v>0</v>
      </c>
      <c r="L1560" s="240">
        <v>0</v>
      </c>
      <c r="M1560" s="240">
        <v>0</v>
      </c>
      <c r="N1560" s="240">
        <v>0</v>
      </c>
    </row>
    <row r="1561" spans="1:14" x14ac:dyDescent="0.3">
      <c r="A1561" s="135" t="s">
        <v>20</v>
      </c>
      <c r="B1561" s="137" t="s">
        <v>413</v>
      </c>
      <c r="C1561" s="137">
        <v>29</v>
      </c>
      <c r="D1561" s="9">
        <v>70.2</v>
      </c>
      <c r="E1561" s="8">
        <v>24.795000000000002</v>
      </c>
      <c r="F1561" s="8">
        <v>23.355309999999999</v>
      </c>
      <c r="G1561" s="18">
        <v>20.12931</v>
      </c>
      <c r="H1561" s="240">
        <v>0</v>
      </c>
      <c r="I1561" s="240">
        <v>0</v>
      </c>
      <c r="J1561" s="240">
        <v>0</v>
      </c>
      <c r="K1561" s="240">
        <v>0</v>
      </c>
      <c r="L1561" s="240">
        <v>0</v>
      </c>
      <c r="M1561" s="240">
        <v>0</v>
      </c>
      <c r="N1561" s="240">
        <v>0</v>
      </c>
    </row>
    <row r="1562" spans="1:14" x14ac:dyDescent="0.3">
      <c r="A1562" s="138" t="s">
        <v>20</v>
      </c>
      <c r="B1562" s="137" t="s">
        <v>413</v>
      </c>
      <c r="C1562" s="137">
        <v>30</v>
      </c>
      <c r="D1562" s="9">
        <v>70.2</v>
      </c>
      <c r="E1562" s="8">
        <v>24.795000000000002</v>
      </c>
      <c r="F1562" s="8">
        <v>23.963999999999999</v>
      </c>
      <c r="G1562" s="18">
        <v>20.533332999999999</v>
      </c>
      <c r="H1562" s="240">
        <v>0</v>
      </c>
      <c r="I1562" s="240">
        <v>0</v>
      </c>
      <c r="J1562" s="240">
        <v>0</v>
      </c>
      <c r="K1562" s="240">
        <v>0</v>
      </c>
      <c r="L1562" s="240">
        <v>0</v>
      </c>
      <c r="M1562" s="240">
        <v>0</v>
      </c>
      <c r="N1562" s="240">
        <v>0</v>
      </c>
    </row>
    <row r="1563" spans="1:14" x14ac:dyDescent="0.3">
      <c r="A1563" s="144" t="s">
        <v>20</v>
      </c>
      <c r="B1563" s="145" t="s">
        <v>414</v>
      </c>
      <c r="C1563" s="143">
        <v>1</v>
      </c>
      <c r="D1563" s="9">
        <v>22.05</v>
      </c>
      <c r="E1563" s="8">
        <v>3.7616399999999999</v>
      </c>
      <c r="F1563" s="8">
        <v>0.459756</v>
      </c>
      <c r="G1563" s="18">
        <v>7.5</v>
      </c>
      <c r="H1563" s="240">
        <v>0</v>
      </c>
      <c r="I1563" s="240">
        <v>0</v>
      </c>
      <c r="J1563" s="240">
        <v>0</v>
      </c>
      <c r="K1563" s="240">
        <v>0</v>
      </c>
      <c r="L1563" s="240">
        <v>0</v>
      </c>
      <c r="M1563" s="240">
        <v>0</v>
      </c>
      <c r="N1563" s="240">
        <v>0</v>
      </c>
    </row>
    <row r="1564" spans="1:14" x14ac:dyDescent="0.3">
      <c r="A1564" s="135" t="s">
        <v>20</v>
      </c>
      <c r="B1564" s="136" t="s">
        <v>414</v>
      </c>
      <c r="C1564" s="137">
        <v>2</v>
      </c>
      <c r="D1564" s="9">
        <v>22.05</v>
      </c>
      <c r="E1564" s="8">
        <v>3.7616399999999999</v>
      </c>
      <c r="F1564" s="8">
        <v>0.60430099999999998</v>
      </c>
      <c r="G1564" s="18">
        <v>5.875</v>
      </c>
      <c r="H1564" s="240">
        <v>0</v>
      </c>
      <c r="I1564" s="240">
        <v>0</v>
      </c>
      <c r="J1564" s="240">
        <v>0</v>
      </c>
      <c r="K1564" s="240">
        <v>0</v>
      </c>
      <c r="L1564" s="240">
        <v>0</v>
      </c>
      <c r="M1564" s="240">
        <v>0</v>
      </c>
      <c r="N1564" s="240">
        <v>0</v>
      </c>
    </row>
    <row r="1565" spans="1:14" x14ac:dyDescent="0.3">
      <c r="A1565" s="135" t="s">
        <v>20</v>
      </c>
      <c r="B1565" s="137" t="s">
        <v>414</v>
      </c>
      <c r="C1565" s="137">
        <v>3</v>
      </c>
      <c r="D1565" s="9">
        <v>22.05</v>
      </c>
      <c r="E1565" s="8">
        <v>3.7616399999999999</v>
      </c>
      <c r="F1565" s="8">
        <v>0.70240499999999995</v>
      </c>
      <c r="G1565" s="18">
        <v>5.5833329999999997</v>
      </c>
      <c r="H1565" s="240">
        <v>0</v>
      </c>
      <c r="I1565" s="240">
        <v>0</v>
      </c>
      <c r="J1565" s="240">
        <v>0</v>
      </c>
      <c r="K1565" s="240">
        <v>0</v>
      </c>
      <c r="L1565" s="240">
        <v>0</v>
      </c>
      <c r="M1565" s="240">
        <v>0</v>
      </c>
      <c r="N1565" s="240">
        <v>0</v>
      </c>
    </row>
    <row r="1566" spans="1:14" x14ac:dyDescent="0.3">
      <c r="A1566" s="135" t="s">
        <v>20</v>
      </c>
      <c r="B1566" s="137" t="s">
        <v>414</v>
      </c>
      <c r="C1566" s="137">
        <v>4</v>
      </c>
      <c r="D1566" s="9">
        <v>22.05</v>
      </c>
      <c r="E1566" s="8">
        <v>3.7616399999999999</v>
      </c>
      <c r="F1566" s="8">
        <v>0.82634200000000002</v>
      </c>
      <c r="G1566" s="18">
        <v>5.625</v>
      </c>
      <c r="H1566" s="240">
        <v>0</v>
      </c>
      <c r="I1566" s="240">
        <v>0</v>
      </c>
      <c r="J1566" s="240">
        <v>0</v>
      </c>
      <c r="K1566" s="240">
        <v>0</v>
      </c>
      <c r="L1566" s="240">
        <v>0</v>
      </c>
      <c r="M1566" s="240">
        <v>0</v>
      </c>
      <c r="N1566" s="240">
        <v>0</v>
      </c>
    </row>
    <row r="1567" spans="1:14" x14ac:dyDescent="0.3">
      <c r="A1567" s="135" t="s">
        <v>20</v>
      </c>
      <c r="B1567" s="137" t="s">
        <v>414</v>
      </c>
      <c r="C1567" s="137">
        <v>5</v>
      </c>
      <c r="D1567" s="9">
        <v>22.05</v>
      </c>
      <c r="E1567" s="8">
        <v>3.7616399999999999</v>
      </c>
      <c r="F1567" s="8">
        <v>0.93065799999999999</v>
      </c>
      <c r="G1567" s="18">
        <v>5.7</v>
      </c>
      <c r="H1567" s="240">
        <v>0</v>
      </c>
      <c r="I1567" s="240">
        <v>0</v>
      </c>
      <c r="J1567" s="240">
        <v>0</v>
      </c>
      <c r="K1567" s="240">
        <v>0</v>
      </c>
      <c r="L1567" s="240">
        <v>0</v>
      </c>
      <c r="M1567" s="240">
        <v>0</v>
      </c>
      <c r="N1567" s="240">
        <v>0</v>
      </c>
    </row>
    <row r="1568" spans="1:14" x14ac:dyDescent="0.3">
      <c r="A1568" s="135" t="s">
        <v>20</v>
      </c>
      <c r="B1568" s="137" t="s">
        <v>414</v>
      </c>
      <c r="C1568" s="137">
        <v>6</v>
      </c>
      <c r="D1568" s="9">
        <v>22.05</v>
      </c>
      <c r="E1568" s="8">
        <v>3.7616399999999999</v>
      </c>
      <c r="F1568" s="8">
        <v>1.0541879999999999</v>
      </c>
      <c r="G1568" s="18">
        <v>5.8333329999999997</v>
      </c>
      <c r="H1568" s="240">
        <v>0</v>
      </c>
      <c r="I1568" s="240">
        <v>0</v>
      </c>
      <c r="J1568" s="240">
        <v>0</v>
      </c>
      <c r="K1568" s="240">
        <v>0</v>
      </c>
      <c r="L1568" s="240">
        <v>0</v>
      </c>
      <c r="M1568" s="240">
        <v>0</v>
      </c>
      <c r="N1568" s="240">
        <v>0</v>
      </c>
    </row>
    <row r="1569" spans="1:14" x14ac:dyDescent="0.3">
      <c r="A1569" s="135" t="s">
        <v>20</v>
      </c>
      <c r="B1569" s="137" t="s">
        <v>414</v>
      </c>
      <c r="C1569" s="137">
        <v>7</v>
      </c>
      <c r="D1569" s="9">
        <v>22.05</v>
      </c>
      <c r="E1569" s="8">
        <v>3.7616399999999999</v>
      </c>
      <c r="F1569" s="8">
        <v>1.1424240000000001</v>
      </c>
      <c r="G1569" s="18">
        <v>6</v>
      </c>
      <c r="H1569" s="240">
        <v>0</v>
      </c>
      <c r="I1569" s="240">
        <v>0</v>
      </c>
      <c r="J1569" s="240">
        <v>0</v>
      </c>
      <c r="K1569" s="240">
        <v>0</v>
      </c>
      <c r="L1569" s="240">
        <v>0</v>
      </c>
      <c r="M1569" s="240">
        <v>0</v>
      </c>
      <c r="N1569" s="240">
        <v>0</v>
      </c>
    </row>
    <row r="1570" spans="1:14" x14ac:dyDescent="0.3">
      <c r="A1570" s="135" t="s">
        <v>20</v>
      </c>
      <c r="B1570" s="137" t="s">
        <v>414</v>
      </c>
      <c r="C1570" s="137">
        <v>8</v>
      </c>
      <c r="D1570" s="9">
        <v>22.05</v>
      </c>
      <c r="E1570" s="8">
        <v>3.7616399999999999</v>
      </c>
      <c r="F1570" s="8">
        <v>1.2921929999999999</v>
      </c>
      <c r="G1570" s="18">
        <v>6.1875</v>
      </c>
      <c r="H1570" s="240">
        <v>0</v>
      </c>
      <c r="I1570" s="240">
        <v>0</v>
      </c>
      <c r="J1570" s="240">
        <v>0</v>
      </c>
      <c r="K1570" s="240">
        <v>0</v>
      </c>
      <c r="L1570" s="240">
        <v>0</v>
      </c>
      <c r="M1570" s="240">
        <v>0</v>
      </c>
      <c r="N1570" s="240">
        <v>0</v>
      </c>
    </row>
    <row r="1571" spans="1:14" x14ac:dyDescent="0.3">
      <c r="A1571" s="135" t="s">
        <v>20</v>
      </c>
      <c r="B1571" s="137" t="s">
        <v>414</v>
      </c>
      <c r="C1571" s="137">
        <v>9</v>
      </c>
      <c r="D1571" s="9">
        <v>22.05</v>
      </c>
      <c r="E1571" s="8">
        <v>3.7616399999999999</v>
      </c>
      <c r="F1571" s="8">
        <v>1.4086799999999999</v>
      </c>
      <c r="G1571" s="18">
        <v>6.3611110000000002</v>
      </c>
      <c r="H1571" s="240">
        <v>0</v>
      </c>
      <c r="I1571" s="240">
        <v>0</v>
      </c>
      <c r="J1571" s="240">
        <v>0</v>
      </c>
      <c r="K1571" s="240">
        <v>0</v>
      </c>
      <c r="L1571" s="240">
        <v>0</v>
      </c>
      <c r="M1571" s="240">
        <v>0</v>
      </c>
      <c r="N1571" s="240">
        <v>0</v>
      </c>
    </row>
    <row r="1572" spans="1:14" x14ac:dyDescent="0.3">
      <c r="A1572" s="135" t="s">
        <v>20</v>
      </c>
      <c r="B1572" s="137" t="s">
        <v>414</v>
      </c>
      <c r="C1572" s="137">
        <v>10</v>
      </c>
      <c r="D1572" s="9">
        <v>22.05</v>
      </c>
      <c r="E1572" s="8">
        <v>3.7616399999999999</v>
      </c>
      <c r="F1572" s="8">
        <v>1.50187</v>
      </c>
      <c r="G1572" s="18">
        <v>6.55</v>
      </c>
      <c r="H1572" s="240">
        <v>0</v>
      </c>
      <c r="I1572" s="240">
        <v>0</v>
      </c>
      <c r="J1572" s="240">
        <v>0</v>
      </c>
      <c r="K1572" s="240">
        <v>0</v>
      </c>
      <c r="L1572" s="240">
        <v>0</v>
      </c>
      <c r="M1572" s="240">
        <v>0</v>
      </c>
      <c r="N1572" s="240">
        <v>0</v>
      </c>
    </row>
    <row r="1573" spans="1:14" x14ac:dyDescent="0.3">
      <c r="A1573" s="135" t="s">
        <v>20</v>
      </c>
      <c r="B1573" s="137" t="s">
        <v>414</v>
      </c>
      <c r="C1573" s="137">
        <v>11</v>
      </c>
      <c r="D1573" s="9">
        <v>22.05</v>
      </c>
      <c r="E1573" s="8">
        <v>3.7616399999999999</v>
      </c>
      <c r="F1573" s="8">
        <v>1.5905</v>
      </c>
      <c r="G1573" s="18">
        <v>6.7272730000000003</v>
      </c>
      <c r="H1573" s="240">
        <v>0</v>
      </c>
      <c r="I1573" s="240">
        <v>0</v>
      </c>
      <c r="J1573" s="240">
        <v>0</v>
      </c>
      <c r="K1573" s="240">
        <v>0</v>
      </c>
      <c r="L1573" s="240">
        <v>0</v>
      </c>
      <c r="M1573" s="240">
        <v>0</v>
      </c>
      <c r="N1573" s="240">
        <v>0</v>
      </c>
    </row>
    <row r="1574" spans="1:14" x14ac:dyDescent="0.3">
      <c r="A1574" s="135" t="s">
        <v>20</v>
      </c>
      <c r="B1574" s="137" t="s">
        <v>414</v>
      </c>
      <c r="C1574" s="137">
        <v>12</v>
      </c>
      <c r="D1574" s="9">
        <v>22.05</v>
      </c>
      <c r="E1574" s="8">
        <v>3.7616399999999999</v>
      </c>
      <c r="F1574" s="8">
        <v>1.664358</v>
      </c>
      <c r="G1574" s="18">
        <v>6.9166670000000003</v>
      </c>
      <c r="H1574" s="240">
        <v>0</v>
      </c>
      <c r="I1574" s="240">
        <v>0</v>
      </c>
      <c r="J1574" s="240">
        <v>0</v>
      </c>
      <c r="K1574" s="240">
        <v>0</v>
      </c>
      <c r="L1574" s="240">
        <v>0</v>
      </c>
      <c r="M1574" s="240">
        <v>0</v>
      </c>
      <c r="N1574" s="240">
        <v>0</v>
      </c>
    </row>
    <row r="1575" spans="1:14" x14ac:dyDescent="0.3">
      <c r="A1575" s="135" t="s">
        <v>20</v>
      </c>
      <c r="B1575" s="137" t="s">
        <v>414</v>
      </c>
      <c r="C1575" s="137">
        <v>13</v>
      </c>
      <c r="D1575" s="9">
        <v>22.05</v>
      </c>
      <c r="E1575" s="8">
        <v>3.7616399999999999</v>
      </c>
      <c r="F1575" s="8">
        <v>1.7678160000000001</v>
      </c>
      <c r="G1575" s="18">
        <v>7.0961540000000003</v>
      </c>
      <c r="H1575" s="240">
        <v>0</v>
      </c>
      <c r="I1575" s="240">
        <v>0</v>
      </c>
      <c r="J1575" s="240">
        <v>0</v>
      </c>
      <c r="K1575" s="240">
        <v>0</v>
      </c>
      <c r="L1575" s="240">
        <v>0</v>
      </c>
      <c r="M1575" s="240">
        <v>0</v>
      </c>
      <c r="N1575" s="240">
        <v>0</v>
      </c>
    </row>
    <row r="1576" spans="1:14" x14ac:dyDescent="0.3">
      <c r="A1576" s="135" t="s">
        <v>20</v>
      </c>
      <c r="B1576" s="137" t="s">
        <v>414</v>
      </c>
      <c r="C1576" s="137">
        <v>14</v>
      </c>
      <c r="D1576" s="9">
        <v>22.05</v>
      </c>
      <c r="E1576" s="8">
        <v>3.7616399999999999</v>
      </c>
      <c r="F1576" s="8">
        <v>1.904261</v>
      </c>
      <c r="G1576" s="18">
        <v>7.2857139999999996</v>
      </c>
      <c r="H1576" s="240">
        <v>0</v>
      </c>
      <c r="I1576" s="240">
        <v>0</v>
      </c>
      <c r="J1576" s="240">
        <v>0</v>
      </c>
      <c r="K1576" s="240">
        <v>0</v>
      </c>
      <c r="L1576" s="240">
        <v>0</v>
      </c>
      <c r="M1576" s="240">
        <v>0</v>
      </c>
      <c r="N1576" s="240">
        <v>0</v>
      </c>
    </row>
    <row r="1577" spans="1:14" x14ac:dyDescent="0.3">
      <c r="A1577" s="135" t="s">
        <v>20</v>
      </c>
      <c r="B1577" s="137" t="s">
        <v>414</v>
      </c>
      <c r="C1577" s="137">
        <v>15</v>
      </c>
      <c r="D1577" s="9">
        <v>22.05</v>
      </c>
      <c r="E1577" s="8">
        <v>3.7616399999999999</v>
      </c>
      <c r="F1577" s="8">
        <v>2.0225140000000001</v>
      </c>
      <c r="G1577" s="18">
        <v>7.4666670000000002</v>
      </c>
      <c r="H1577" s="240">
        <v>0</v>
      </c>
      <c r="I1577" s="240">
        <v>0</v>
      </c>
      <c r="J1577" s="240">
        <v>0</v>
      </c>
      <c r="K1577" s="240">
        <v>0</v>
      </c>
      <c r="L1577" s="240">
        <v>0</v>
      </c>
      <c r="M1577" s="240">
        <v>0</v>
      </c>
      <c r="N1577" s="240">
        <v>0</v>
      </c>
    </row>
    <row r="1578" spans="1:14" x14ac:dyDescent="0.3">
      <c r="A1578" s="135" t="s">
        <v>20</v>
      </c>
      <c r="B1578" s="137" t="s">
        <v>414</v>
      </c>
      <c r="C1578" s="137">
        <v>16</v>
      </c>
      <c r="D1578" s="9">
        <v>22.05</v>
      </c>
      <c r="E1578" s="8">
        <v>3.7616399999999999</v>
      </c>
      <c r="F1578" s="8">
        <v>2.1259839999999999</v>
      </c>
      <c r="G1578" s="18">
        <v>7.640625</v>
      </c>
      <c r="H1578" s="240">
        <v>0</v>
      </c>
      <c r="I1578" s="240">
        <v>0</v>
      </c>
      <c r="J1578" s="240">
        <v>0</v>
      </c>
      <c r="K1578" s="240">
        <v>0</v>
      </c>
      <c r="L1578" s="240">
        <v>0</v>
      </c>
      <c r="M1578" s="240">
        <v>0</v>
      </c>
      <c r="N1578" s="240">
        <v>0</v>
      </c>
    </row>
    <row r="1579" spans="1:14" x14ac:dyDescent="0.3">
      <c r="A1579" s="135" t="s">
        <v>20</v>
      </c>
      <c r="B1579" s="137" t="s">
        <v>414</v>
      </c>
      <c r="C1579" s="137">
        <v>17</v>
      </c>
      <c r="D1579" s="9">
        <v>22.05</v>
      </c>
      <c r="E1579" s="8">
        <v>3.7616399999999999</v>
      </c>
      <c r="F1579" s="8">
        <v>2.2285740000000001</v>
      </c>
      <c r="G1579" s="18">
        <v>7.8088240000000004</v>
      </c>
      <c r="H1579" s="240">
        <v>0</v>
      </c>
      <c r="I1579" s="240">
        <v>0</v>
      </c>
      <c r="J1579" s="240">
        <v>0</v>
      </c>
      <c r="K1579" s="240">
        <v>0</v>
      </c>
      <c r="L1579" s="240">
        <v>0</v>
      </c>
      <c r="M1579" s="240">
        <v>0</v>
      </c>
      <c r="N1579" s="240">
        <v>0</v>
      </c>
    </row>
    <row r="1580" spans="1:14" x14ac:dyDescent="0.3">
      <c r="A1580" s="135" t="s">
        <v>20</v>
      </c>
      <c r="B1580" s="137" t="s">
        <v>414</v>
      </c>
      <c r="C1580" s="137">
        <v>18</v>
      </c>
      <c r="D1580" s="9">
        <v>22.05</v>
      </c>
      <c r="E1580" s="8">
        <v>3.7616399999999999</v>
      </c>
      <c r="F1580" s="8">
        <v>2.3197640000000002</v>
      </c>
      <c r="G1580" s="18">
        <v>7.9861110000000002</v>
      </c>
      <c r="H1580" s="240">
        <v>0</v>
      </c>
      <c r="I1580" s="240">
        <v>0</v>
      </c>
      <c r="J1580" s="240">
        <v>0</v>
      </c>
      <c r="K1580" s="240">
        <v>0</v>
      </c>
      <c r="L1580" s="240">
        <v>0</v>
      </c>
      <c r="M1580" s="240">
        <v>0</v>
      </c>
      <c r="N1580" s="240">
        <v>0</v>
      </c>
    </row>
    <row r="1581" spans="1:14" x14ac:dyDescent="0.3">
      <c r="A1581" s="135" t="s">
        <v>20</v>
      </c>
      <c r="B1581" s="137" t="s">
        <v>414</v>
      </c>
      <c r="C1581" s="137">
        <v>19</v>
      </c>
      <c r="D1581" s="9">
        <v>22.05</v>
      </c>
      <c r="E1581" s="8">
        <v>3.7616399999999999</v>
      </c>
      <c r="F1581" s="8">
        <v>2.4013550000000001</v>
      </c>
      <c r="G1581" s="18">
        <v>8.1578949999999999</v>
      </c>
      <c r="H1581" s="240">
        <v>0</v>
      </c>
      <c r="I1581" s="240">
        <v>0</v>
      </c>
      <c r="J1581" s="240">
        <v>0</v>
      </c>
      <c r="K1581" s="240">
        <v>0</v>
      </c>
      <c r="L1581" s="240">
        <v>0</v>
      </c>
      <c r="M1581" s="240">
        <v>0</v>
      </c>
      <c r="N1581" s="240">
        <v>0</v>
      </c>
    </row>
    <row r="1582" spans="1:14" x14ac:dyDescent="0.3">
      <c r="A1582" s="135" t="s">
        <v>20</v>
      </c>
      <c r="B1582" s="137" t="s">
        <v>414</v>
      </c>
      <c r="C1582" s="137">
        <v>20</v>
      </c>
      <c r="D1582" s="9">
        <v>22.05</v>
      </c>
      <c r="E1582" s="8">
        <v>3.7616399999999999</v>
      </c>
      <c r="F1582" s="8">
        <v>2.5320640000000001</v>
      </c>
      <c r="G1582" s="18">
        <v>8.3249999999999993</v>
      </c>
      <c r="H1582" s="240">
        <v>0</v>
      </c>
      <c r="I1582" s="240">
        <v>0</v>
      </c>
      <c r="J1582" s="240">
        <v>0</v>
      </c>
      <c r="K1582" s="240">
        <v>0</v>
      </c>
      <c r="L1582" s="240">
        <v>0</v>
      </c>
      <c r="M1582" s="240">
        <v>0</v>
      </c>
      <c r="N1582" s="240">
        <v>0</v>
      </c>
    </row>
    <row r="1583" spans="1:14" x14ac:dyDescent="0.3">
      <c r="A1583" s="135" t="s">
        <v>20</v>
      </c>
      <c r="B1583" s="137" t="s">
        <v>414</v>
      </c>
      <c r="C1583" s="137">
        <v>21</v>
      </c>
      <c r="D1583" s="9">
        <v>22.05</v>
      </c>
      <c r="E1583" s="8">
        <v>3.7616399999999999</v>
      </c>
      <c r="F1583" s="8">
        <v>2.6503230000000002</v>
      </c>
      <c r="G1583" s="18">
        <v>8.4880949999999995</v>
      </c>
      <c r="H1583" s="240">
        <v>0</v>
      </c>
      <c r="I1583" s="240">
        <v>0</v>
      </c>
      <c r="J1583" s="240">
        <v>0</v>
      </c>
      <c r="K1583" s="240">
        <v>0</v>
      </c>
      <c r="L1583" s="240">
        <v>0</v>
      </c>
      <c r="M1583" s="240">
        <v>0</v>
      </c>
      <c r="N1583" s="240">
        <v>0</v>
      </c>
    </row>
    <row r="1584" spans="1:14" x14ac:dyDescent="0.3">
      <c r="A1584" s="135" t="s">
        <v>20</v>
      </c>
      <c r="B1584" s="137" t="s">
        <v>414</v>
      </c>
      <c r="C1584" s="137">
        <v>22</v>
      </c>
      <c r="D1584" s="9">
        <v>22.05</v>
      </c>
      <c r="E1584" s="8">
        <v>3.7616399999999999</v>
      </c>
      <c r="F1584" s="8">
        <v>2.7578320000000001</v>
      </c>
      <c r="G1584" s="18">
        <v>8.6590910000000001</v>
      </c>
      <c r="H1584" s="240">
        <v>0</v>
      </c>
      <c r="I1584" s="240">
        <v>0</v>
      </c>
      <c r="J1584" s="240">
        <v>0</v>
      </c>
      <c r="K1584" s="240">
        <v>0</v>
      </c>
      <c r="L1584" s="240">
        <v>0</v>
      </c>
      <c r="M1584" s="240">
        <v>0</v>
      </c>
      <c r="N1584" s="240">
        <v>0</v>
      </c>
    </row>
    <row r="1585" spans="1:14" x14ac:dyDescent="0.3">
      <c r="A1585" s="135" t="s">
        <v>20</v>
      </c>
      <c r="B1585" s="137" t="s">
        <v>414</v>
      </c>
      <c r="C1585" s="137">
        <v>23</v>
      </c>
      <c r="D1585" s="9">
        <v>22.05</v>
      </c>
      <c r="E1585" s="8">
        <v>3.7616399999999999</v>
      </c>
      <c r="F1585" s="8">
        <v>2.8802219999999998</v>
      </c>
      <c r="G1585" s="18">
        <v>8.8152170000000005</v>
      </c>
      <c r="H1585" s="240">
        <v>0</v>
      </c>
      <c r="I1585" s="240">
        <v>0</v>
      </c>
      <c r="J1585" s="240">
        <v>0</v>
      </c>
      <c r="K1585" s="240">
        <v>0</v>
      </c>
      <c r="L1585" s="240">
        <v>0</v>
      </c>
      <c r="M1585" s="240">
        <v>0</v>
      </c>
      <c r="N1585" s="240">
        <v>0</v>
      </c>
    </row>
    <row r="1586" spans="1:14" x14ac:dyDescent="0.3">
      <c r="A1586" s="135" t="s">
        <v>20</v>
      </c>
      <c r="B1586" s="137" t="s">
        <v>414</v>
      </c>
      <c r="C1586" s="137">
        <v>24</v>
      </c>
      <c r="D1586" s="9">
        <v>22.05</v>
      </c>
      <c r="E1586" s="8">
        <v>3.7616399999999999</v>
      </c>
      <c r="F1586" s="8">
        <v>2.992413</v>
      </c>
      <c r="G1586" s="18">
        <v>8.9791670000000003</v>
      </c>
      <c r="H1586" s="240">
        <v>0</v>
      </c>
      <c r="I1586" s="240">
        <v>0</v>
      </c>
      <c r="J1586" s="240">
        <v>0</v>
      </c>
      <c r="K1586" s="240">
        <v>0</v>
      </c>
      <c r="L1586" s="240">
        <v>0</v>
      </c>
      <c r="M1586" s="240">
        <v>0</v>
      </c>
      <c r="N1586" s="240">
        <v>0</v>
      </c>
    </row>
    <row r="1587" spans="1:14" x14ac:dyDescent="0.3">
      <c r="A1587" s="135" t="s">
        <v>20</v>
      </c>
      <c r="B1587" s="137" t="s">
        <v>414</v>
      </c>
      <c r="C1587" s="137">
        <v>25</v>
      </c>
      <c r="D1587" s="9">
        <v>22.05</v>
      </c>
      <c r="E1587" s="8">
        <v>3.7616399999999999</v>
      </c>
      <c r="F1587" s="8">
        <v>3.095628</v>
      </c>
      <c r="G1587" s="18">
        <v>9.14</v>
      </c>
      <c r="H1587" s="240">
        <v>0</v>
      </c>
      <c r="I1587" s="240">
        <v>0</v>
      </c>
      <c r="J1587" s="240">
        <v>0</v>
      </c>
      <c r="K1587" s="240">
        <v>0</v>
      </c>
      <c r="L1587" s="240">
        <v>0</v>
      </c>
      <c r="M1587" s="240">
        <v>0</v>
      </c>
      <c r="N1587" s="240">
        <v>0</v>
      </c>
    </row>
    <row r="1588" spans="1:14" x14ac:dyDescent="0.3">
      <c r="A1588" s="135" t="s">
        <v>20</v>
      </c>
      <c r="B1588" s="137" t="s">
        <v>414</v>
      </c>
      <c r="C1588" s="137">
        <v>26</v>
      </c>
      <c r="D1588" s="9">
        <v>22.05</v>
      </c>
      <c r="E1588" s="8">
        <v>3.7616399999999999</v>
      </c>
      <c r="F1588" s="8">
        <v>3.1909040000000002</v>
      </c>
      <c r="G1588" s="18">
        <v>9.2884620000000009</v>
      </c>
      <c r="H1588" s="240">
        <v>0</v>
      </c>
      <c r="I1588" s="240">
        <v>0</v>
      </c>
      <c r="J1588" s="240">
        <v>0</v>
      </c>
      <c r="K1588" s="240">
        <v>0</v>
      </c>
      <c r="L1588" s="240">
        <v>0</v>
      </c>
      <c r="M1588" s="240">
        <v>0</v>
      </c>
      <c r="N1588" s="240">
        <v>0</v>
      </c>
    </row>
    <row r="1589" spans="1:14" x14ac:dyDescent="0.3">
      <c r="A1589" s="135" t="s">
        <v>20</v>
      </c>
      <c r="B1589" s="137" t="s">
        <v>414</v>
      </c>
      <c r="C1589" s="137">
        <v>27</v>
      </c>
      <c r="D1589" s="9">
        <v>22.05</v>
      </c>
      <c r="E1589" s="8">
        <v>3.7616399999999999</v>
      </c>
      <c r="F1589" s="8">
        <v>3.2791229999999998</v>
      </c>
      <c r="G1589" s="18">
        <v>9.4444440000000007</v>
      </c>
      <c r="H1589" s="240">
        <v>0</v>
      </c>
      <c r="I1589" s="240">
        <v>0</v>
      </c>
      <c r="J1589" s="240">
        <v>0</v>
      </c>
      <c r="K1589" s="240">
        <v>0</v>
      </c>
      <c r="L1589" s="240">
        <v>0</v>
      </c>
      <c r="M1589" s="240">
        <v>0</v>
      </c>
      <c r="N1589" s="240">
        <v>0</v>
      </c>
    </row>
    <row r="1590" spans="1:14" x14ac:dyDescent="0.3">
      <c r="A1590" s="135" t="s">
        <v>20</v>
      </c>
      <c r="B1590" s="137" t="s">
        <v>414</v>
      </c>
      <c r="C1590" s="137">
        <v>28</v>
      </c>
      <c r="D1590" s="9">
        <v>22.05</v>
      </c>
      <c r="E1590" s="8">
        <v>3.7616399999999999</v>
      </c>
      <c r="F1590" s="8">
        <v>3.36104</v>
      </c>
      <c r="G1590" s="18">
        <v>9.5982140000000005</v>
      </c>
      <c r="H1590" s="240">
        <v>0</v>
      </c>
      <c r="I1590" s="240">
        <v>0</v>
      </c>
      <c r="J1590" s="240">
        <v>0</v>
      </c>
      <c r="K1590" s="240">
        <v>0</v>
      </c>
      <c r="L1590" s="240">
        <v>0</v>
      </c>
      <c r="M1590" s="240">
        <v>0</v>
      </c>
      <c r="N1590" s="240">
        <v>0</v>
      </c>
    </row>
    <row r="1591" spans="1:14" x14ac:dyDescent="0.3">
      <c r="A1591" s="135" t="s">
        <v>20</v>
      </c>
      <c r="B1591" s="137" t="s">
        <v>414</v>
      </c>
      <c r="C1591" s="137">
        <v>29</v>
      </c>
      <c r="D1591" s="9">
        <v>22.05</v>
      </c>
      <c r="E1591" s="8">
        <v>3.7616399999999999</v>
      </c>
      <c r="F1591" s="8">
        <v>3.4988000000000001</v>
      </c>
      <c r="G1591" s="18">
        <v>9.75</v>
      </c>
      <c r="H1591" s="240">
        <v>0</v>
      </c>
      <c r="I1591" s="240">
        <v>0</v>
      </c>
      <c r="J1591" s="240">
        <v>0</v>
      </c>
      <c r="K1591" s="240">
        <v>0</v>
      </c>
      <c r="L1591" s="240">
        <v>0</v>
      </c>
      <c r="M1591" s="240">
        <v>0</v>
      </c>
      <c r="N1591" s="240">
        <v>0</v>
      </c>
    </row>
    <row r="1592" spans="1:14" x14ac:dyDescent="0.3">
      <c r="A1592" s="138" t="s">
        <v>20</v>
      </c>
      <c r="B1592" s="137" t="s">
        <v>414</v>
      </c>
      <c r="C1592" s="137">
        <v>30</v>
      </c>
      <c r="D1592" s="9">
        <v>22.05</v>
      </c>
      <c r="E1592" s="8">
        <v>3.7616399999999999</v>
      </c>
      <c r="F1592" s="8">
        <v>3.6273770000000001</v>
      </c>
      <c r="G1592" s="18">
        <v>9.9</v>
      </c>
      <c r="H1592" s="240">
        <v>0</v>
      </c>
      <c r="I1592" s="240">
        <v>0</v>
      </c>
      <c r="J1592" s="240">
        <v>0</v>
      </c>
      <c r="K1592" s="240">
        <v>0</v>
      </c>
      <c r="L1592" s="240">
        <v>0</v>
      </c>
      <c r="M1592" s="240">
        <v>0</v>
      </c>
      <c r="N1592" s="240">
        <v>0</v>
      </c>
    </row>
    <row r="1593" spans="1:14" x14ac:dyDescent="0.3">
      <c r="A1593" s="144" t="s">
        <v>20</v>
      </c>
      <c r="B1593" s="145" t="s">
        <v>415</v>
      </c>
      <c r="C1593" s="143">
        <v>1</v>
      </c>
      <c r="D1593" s="9">
        <v>22.05</v>
      </c>
      <c r="E1593" s="8">
        <v>0</v>
      </c>
      <c r="F1593" s="8">
        <v>4.7628000000000004</v>
      </c>
      <c r="G1593" s="18">
        <v>3.25</v>
      </c>
      <c r="H1593" s="240">
        <v>0</v>
      </c>
      <c r="I1593" s="240">
        <v>0</v>
      </c>
      <c r="J1593" s="240">
        <v>0</v>
      </c>
      <c r="K1593" s="240">
        <v>0</v>
      </c>
      <c r="L1593" s="240">
        <v>0</v>
      </c>
      <c r="M1593" s="240">
        <v>0</v>
      </c>
      <c r="N1593" s="240">
        <v>0</v>
      </c>
    </row>
    <row r="1594" spans="1:14" x14ac:dyDescent="0.3">
      <c r="A1594" s="135" t="s">
        <v>20</v>
      </c>
      <c r="B1594" s="136" t="s">
        <v>415</v>
      </c>
      <c r="C1594" s="137">
        <v>2</v>
      </c>
      <c r="D1594" s="9">
        <v>22.05</v>
      </c>
      <c r="E1594" s="8">
        <v>0</v>
      </c>
      <c r="F1594" s="8">
        <v>5.5566000000000004</v>
      </c>
      <c r="G1594" s="18">
        <v>2.625</v>
      </c>
      <c r="H1594" s="240">
        <v>0</v>
      </c>
      <c r="I1594" s="240">
        <v>0</v>
      </c>
      <c r="J1594" s="240">
        <v>0</v>
      </c>
      <c r="K1594" s="240">
        <v>0</v>
      </c>
      <c r="L1594" s="240">
        <v>0</v>
      </c>
      <c r="M1594" s="240">
        <v>0</v>
      </c>
      <c r="N1594" s="240">
        <v>0</v>
      </c>
    </row>
    <row r="1595" spans="1:14" x14ac:dyDescent="0.3">
      <c r="A1595" s="135" t="s">
        <v>20</v>
      </c>
      <c r="B1595" s="137" t="s">
        <v>415</v>
      </c>
      <c r="C1595" s="137">
        <v>3</v>
      </c>
      <c r="D1595" s="9">
        <v>22.05</v>
      </c>
      <c r="E1595" s="8">
        <v>0</v>
      </c>
      <c r="F1595" s="8">
        <v>6.0857999999999999</v>
      </c>
      <c r="G1595" s="18">
        <v>2.5</v>
      </c>
      <c r="H1595" s="240">
        <v>0</v>
      </c>
      <c r="I1595" s="240">
        <v>0</v>
      </c>
      <c r="J1595" s="240">
        <v>0</v>
      </c>
      <c r="K1595" s="240">
        <v>0</v>
      </c>
      <c r="L1595" s="240">
        <v>0</v>
      </c>
      <c r="M1595" s="240">
        <v>0</v>
      </c>
      <c r="N1595" s="240">
        <v>0</v>
      </c>
    </row>
    <row r="1596" spans="1:14" x14ac:dyDescent="0.3">
      <c r="A1596" s="135" t="s">
        <v>20</v>
      </c>
      <c r="B1596" s="137" t="s">
        <v>415</v>
      </c>
      <c r="C1596" s="137">
        <v>4</v>
      </c>
      <c r="D1596" s="9">
        <v>22.05</v>
      </c>
      <c r="E1596" s="8">
        <v>0</v>
      </c>
      <c r="F1596" s="8">
        <v>6.3503999999999996</v>
      </c>
      <c r="G1596" s="18">
        <v>2.5</v>
      </c>
      <c r="H1596" s="240">
        <v>0</v>
      </c>
      <c r="I1596" s="240">
        <v>0</v>
      </c>
      <c r="J1596" s="240">
        <v>0</v>
      </c>
      <c r="K1596" s="240">
        <v>0</v>
      </c>
      <c r="L1596" s="240">
        <v>0</v>
      </c>
      <c r="M1596" s="240">
        <v>0</v>
      </c>
      <c r="N1596" s="240">
        <v>0</v>
      </c>
    </row>
    <row r="1597" spans="1:14" x14ac:dyDescent="0.3">
      <c r="A1597" s="135" t="s">
        <v>20</v>
      </c>
      <c r="B1597" s="137" t="s">
        <v>415</v>
      </c>
      <c r="C1597" s="137">
        <v>5</v>
      </c>
      <c r="D1597" s="9">
        <v>22.05</v>
      </c>
      <c r="E1597" s="8">
        <v>0</v>
      </c>
      <c r="F1597" s="8">
        <v>6.6679199999999996</v>
      </c>
      <c r="G1597" s="18">
        <v>2.5499999999999998</v>
      </c>
      <c r="H1597" s="240">
        <v>0</v>
      </c>
      <c r="I1597" s="240">
        <v>0</v>
      </c>
      <c r="J1597" s="240">
        <v>0</v>
      </c>
      <c r="K1597" s="240">
        <v>0</v>
      </c>
      <c r="L1597" s="240">
        <v>0</v>
      </c>
      <c r="M1597" s="240">
        <v>0</v>
      </c>
      <c r="N1597" s="240">
        <v>0</v>
      </c>
    </row>
    <row r="1598" spans="1:14" x14ac:dyDescent="0.3">
      <c r="A1598" s="135" t="s">
        <v>20</v>
      </c>
      <c r="B1598" s="137" t="s">
        <v>415</v>
      </c>
      <c r="C1598" s="137">
        <v>6</v>
      </c>
      <c r="D1598" s="9">
        <v>22.05</v>
      </c>
      <c r="E1598" s="8">
        <v>0</v>
      </c>
      <c r="F1598" s="8">
        <v>7.0118999999999998</v>
      </c>
      <c r="G1598" s="18">
        <v>2.5833330000000001</v>
      </c>
      <c r="H1598" s="240">
        <v>0</v>
      </c>
      <c r="I1598" s="240">
        <v>0</v>
      </c>
      <c r="J1598" s="240">
        <v>0</v>
      </c>
      <c r="K1598" s="240">
        <v>0</v>
      </c>
      <c r="L1598" s="240">
        <v>0</v>
      </c>
      <c r="M1598" s="240">
        <v>0</v>
      </c>
      <c r="N1598" s="240">
        <v>0</v>
      </c>
    </row>
    <row r="1599" spans="1:14" x14ac:dyDescent="0.3">
      <c r="A1599" s="135" t="s">
        <v>20</v>
      </c>
      <c r="B1599" s="137" t="s">
        <v>415</v>
      </c>
      <c r="C1599" s="137">
        <v>7</v>
      </c>
      <c r="D1599" s="9">
        <v>22.05</v>
      </c>
      <c r="E1599" s="8">
        <v>0</v>
      </c>
      <c r="F1599" s="8">
        <v>7.2576000000000001</v>
      </c>
      <c r="G1599" s="18">
        <v>2.6785709999999998</v>
      </c>
      <c r="H1599" s="240">
        <v>0</v>
      </c>
      <c r="I1599" s="240">
        <v>0</v>
      </c>
      <c r="J1599" s="240">
        <v>0</v>
      </c>
      <c r="K1599" s="240">
        <v>0</v>
      </c>
      <c r="L1599" s="240">
        <v>0</v>
      </c>
      <c r="M1599" s="240">
        <v>0</v>
      </c>
      <c r="N1599" s="240">
        <v>0</v>
      </c>
    </row>
    <row r="1600" spans="1:14" x14ac:dyDescent="0.3">
      <c r="A1600" s="135" t="s">
        <v>20</v>
      </c>
      <c r="B1600" s="137" t="s">
        <v>415</v>
      </c>
      <c r="C1600" s="137">
        <v>8</v>
      </c>
      <c r="D1600" s="9">
        <v>22.05</v>
      </c>
      <c r="E1600" s="8">
        <v>0</v>
      </c>
      <c r="F1600" s="8">
        <v>7.5411000000000001</v>
      </c>
      <c r="G1600" s="18">
        <v>2.75</v>
      </c>
      <c r="H1600" s="240">
        <v>0</v>
      </c>
      <c r="I1600" s="240">
        <v>0</v>
      </c>
      <c r="J1600" s="240">
        <v>0</v>
      </c>
      <c r="K1600" s="240">
        <v>0</v>
      </c>
      <c r="L1600" s="240">
        <v>0</v>
      </c>
      <c r="M1600" s="240">
        <v>0</v>
      </c>
      <c r="N1600" s="240">
        <v>0</v>
      </c>
    </row>
    <row r="1601" spans="1:14" x14ac:dyDescent="0.3">
      <c r="A1601" s="135" t="s">
        <v>20</v>
      </c>
      <c r="B1601" s="137" t="s">
        <v>415</v>
      </c>
      <c r="C1601" s="137">
        <v>9</v>
      </c>
      <c r="D1601" s="9">
        <v>22.05</v>
      </c>
      <c r="E1601" s="8">
        <v>0</v>
      </c>
      <c r="F1601" s="8">
        <v>7.7615999999999996</v>
      </c>
      <c r="G1601" s="18">
        <v>2.8611110000000002</v>
      </c>
      <c r="H1601" s="240">
        <v>0</v>
      </c>
      <c r="I1601" s="240">
        <v>0</v>
      </c>
      <c r="J1601" s="240">
        <v>0</v>
      </c>
      <c r="K1601" s="240">
        <v>0</v>
      </c>
      <c r="L1601" s="240">
        <v>0</v>
      </c>
      <c r="M1601" s="240">
        <v>0</v>
      </c>
      <c r="N1601" s="240">
        <v>0</v>
      </c>
    </row>
    <row r="1602" spans="1:14" x14ac:dyDescent="0.3">
      <c r="A1602" s="135" t="s">
        <v>20</v>
      </c>
      <c r="B1602" s="137" t="s">
        <v>415</v>
      </c>
      <c r="C1602" s="137">
        <v>10</v>
      </c>
      <c r="D1602" s="9">
        <v>22.05</v>
      </c>
      <c r="E1602" s="8">
        <v>0</v>
      </c>
      <c r="F1602" s="8">
        <v>7.9379999999999997</v>
      </c>
      <c r="G1602" s="18">
        <v>2.95</v>
      </c>
      <c r="H1602" s="240">
        <v>0</v>
      </c>
      <c r="I1602" s="240">
        <v>0</v>
      </c>
      <c r="J1602" s="240">
        <v>0</v>
      </c>
      <c r="K1602" s="240">
        <v>0</v>
      </c>
      <c r="L1602" s="240">
        <v>0</v>
      </c>
      <c r="M1602" s="240">
        <v>0</v>
      </c>
      <c r="N1602" s="240">
        <v>0</v>
      </c>
    </row>
    <row r="1603" spans="1:14" x14ac:dyDescent="0.3">
      <c r="A1603" s="135" t="s">
        <v>20</v>
      </c>
      <c r="B1603" s="137" t="s">
        <v>415</v>
      </c>
      <c r="C1603" s="137">
        <v>11</v>
      </c>
      <c r="D1603" s="9">
        <v>22.05</v>
      </c>
      <c r="E1603" s="8">
        <v>0</v>
      </c>
      <c r="F1603" s="8">
        <v>8.2266549999999992</v>
      </c>
      <c r="G1603" s="18">
        <v>3.0227270000000002</v>
      </c>
      <c r="H1603" s="240">
        <v>0</v>
      </c>
      <c r="I1603" s="240">
        <v>0</v>
      </c>
      <c r="J1603" s="240">
        <v>0</v>
      </c>
      <c r="K1603" s="240">
        <v>0</v>
      </c>
      <c r="L1603" s="240">
        <v>0</v>
      </c>
      <c r="M1603" s="240">
        <v>0</v>
      </c>
      <c r="N1603" s="240">
        <v>0</v>
      </c>
    </row>
    <row r="1604" spans="1:14" x14ac:dyDescent="0.3">
      <c r="A1604" s="135" t="s">
        <v>20</v>
      </c>
      <c r="B1604" s="137" t="s">
        <v>415</v>
      </c>
      <c r="C1604" s="137">
        <v>12</v>
      </c>
      <c r="D1604" s="9">
        <v>22.05</v>
      </c>
      <c r="E1604" s="8">
        <v>0</v>
      </c>
      <c r="F1604" s="8">
        <v>8.4672000000000001</v>
      </c>
      <c r="G1604" s="18">
        <v>3.125</v>
      </c>
      <c r="H1604" s="240">
        <v>0</v>
      </c>
      <c r="I1604" s="240">
        <v>0</v>
      </c>
      <c r="J1604" s="240">
        <v>0</v>
      </c>
      <c r="K1604" s="240">
        <v>0</v>
      </c>
      <c r="L1604" s="240">
        <v>0</v>
      </c>
      <c r="M1604" s="240">
        <v>0</v>
      </c>
      <c r="N1604" s="240">
        <v>0</v>
      </c>
    </row>
    <row r="1605" spans="1:14" x14ac:dyDescent="0.3">
      <c r="A1605" s="135" t="s">
        <v>20</v>
      </c>
      <c r="B1605" s="137" t="s">
        <v>415</v>
      </c>
      <c r="C1605" s="137">
        <v>13</v>
      </c>
      <c r="D1605" s="9">
        <v>22.05</v>
      </c>
      <c r="E1605" s="8">
        <v>0</v>
      </c>
      <c r="F1605" s="8">
        <v>8.6707380000000001</v>
      </c>
      <c r="G1605" s="18">
        <v>3.211538</v>
      </c>
      <c r="H1605" s="240">
        <v>0</v>
      </c>
      <c r="I1605" s="240">
        <v>0</v>
      </c>
      <c r="J1605" s="240">
        <v>0</v>
      </c>
      <c r="K1605" s="240">
        <v>0</v>
      </c>
      <c r="L1605" s="240">
        <v>0</v>
      </c>
      <c r="M1605" s="240">
        <v>0</v>
      </c>
      <c r="N1605" s="240">
        <v>0</v>
      </c>
    </row>
    <row r="1606" spans="1:14" x14ac:dyDescent="0.3">
      <c r="A1606" s="135" t="s">
        <v>20</v>
      </c>
      <c r="B1606" s="137" t="s">
        <v>415</v>
      </c>
      <c r="C1606" s="137">
        <v>14</v>
      </c>
      <c r="D1606" s="9">
        <v>22.05</v>
      </c>
      <c r="E1606" s="8">
        <v>0</v>
      </c>
      <c r="F1606" s="8">
        <v>8.8452000000000002</v>
      </c>
      <c r="G1606" s="18">
        <v>3.285714</v>
      </c>
      <c r="H1606" s="240">
        <v>0</v>
      </c>
      <c r="I1606" s="240">
        <v>0</v>
      </c>
      <c r="J1606" s="240">
        <v>0</v>
      </c>
      <c r="K1606" s="240">
        <v>0</v>
      </c>
      <c r="L1606" s="240">
        <v>0</v>
      </c>
      <c r="M1606" s="240">
        <v>0</v>
      </c>
      <c r="N1606" s="240">
        <v>0</v>
      </c>
    </row>
    <row r="1607" spans="1:14" x14ac:dyDescent="0.3">
      <c r="A1607" s="135" t="s">
        <v>20</v>
      </c>
      <c r="B1607" s="137" t="s">
        <v>415</v>
      </c>
      <c r="C1607" s="137">
        <v>15</v>
      </c>
      <c r="D1607" s="9">
        <v>22.05</v>
      </c>
      <c r="E1607" s="8">
        <v>0</v>
      </c>
      <c r="F1607" s="8">
        <v>8.9963999999999995</v>
      </c>
      <c r="G1607" s="18">
        <v>3.3666670000000001</v>
      </c>
      <c r="H1607" s="240">
        <v>0</v>
      </c>
      <c r="I1607" s="240">
        <v>0</v>
      </c>
      <c r="J1607" s="240">
        <v>0</v>
      </c>
      <c r="K1607" s="240">
        <v>0</v>
      </c>
      <c r="L1607" s="240">
        <v>0</v>
      </c>
      <c r="M1607" s="240">
        <v>0</v>
      </c>
      <c r="N1607" s="240">
        <v>0</v>
      </c>
    </row>
    <row r="1608" spans="1:14" x14ac:dyDescent="0.3">
      <c r="A1608" s="135" t="s">
        <v>20</v>
      </c>
      <c r="B1608" s="137" t="s">
        <v>415</v>
      </c>
      <c r="C1608" s="137">
        <v>16</v>
      </c>
      <c r="D1608" s="9">
        <v>22.05</v>
      </c>
      <c r="E1608" s="8">
        <v>0</v>
      </c>
      <c r="F1608" s="8">
        <v>9.2279250000000008</v>
      </c>
      <c r="G1608" s="18">
        <v>3.453125</v>
      </c>
      <c r="H1608" s="240">
        <v>0</v>
      </c>
      <c r="I1608" s="240">
        <v>0</v>
      </c>
      <c r="J1608" s="240">
        <v>0</v>
      </c>
      <c r="K1608" s="240">
        <v>0</v>
      </c>
      <c r="L1608" s="240">
        <v>0</v>
      </c>
      <c r="M1608" s="240">
        <v>0</v>
      </c>
      <c r="N1608" s="240">
        <v>0</v>
      </c>
    </row>
    <row r="1609" spans="1:14" x14ac:dyDescent="0.3">
      <c r="A1609" s="135" t="s">
        <v>20</v>
      </c>
      <c r="B1609" s="137" t="s">
        <v>415</v>
      </c>
      <c r="C1609" s="137">
        <v>17</v>
      </c>
      <c r="D1609" s="9">
        <v>22.05</v>
      </c>
      <c r="E1609" s="8">
        <v>0</v>
      </c>
      <c r="F1609" s="8">
        <v>9.4322119999999998</v>
      </c>
      <c r="G1609" s="18">
        <v>3.5441180000000001</v>
      </c>
      <c r="H1609" s="240">
        <v>0</v>
      </c>
      <c r="I1609" s="240">
        <v>0</v>
      </c>
      <c r="J1609" s="240">
        <v>0</v>
      </c>
      <c r="K1609" s="240">
        <v>0</v>
      </c>
      <c r="L1609" s="240">
        <v>0</v>
      </c>
      <c r="M1609" s="240">
        <v>0</v>
      </c>
      <c r="N1609" s="240">
        <v>0</v>
      </c>
    </row>
    <row r="1610" spans="1:14" x14ac:dyDescent="0.3">
      <c r="A1610" s="135" t="s">
        <v>20</v>
      </c>
      <c r="B1610" s="137" t="s">
        <v>415</v>
      </c>
      <c r="C1610" s="137">
        <v>18</v>
      </c>
      <c r="D1610" s="9">
        <v>22.05</v>
      </c>
      <c r="E1610" s="8">
        <v>0</v>
      </c>
      <c r="F1610" s="8">
        <v>9.6137999999999995</v>
      </c>
      <c r="G1610" s="18">
        <v>3.625</v>
      </c>
      <c r="H1610" s="240">
        <v>0</v>
      </c>
      <c r="I1610" s="240">
        <v>0</v>
      </c>
      <c r="J1610" s="240">
        <v>0</v>
      </c>
      <c r="K1610" s="240">
        <v>0</v>
      </c>
      <c r="L1610" s="240">
        <v>0</v>
      </c>
      <c r="M1610" s="240">
        <v>0</v>
      </c>
      <c r="N1610" s="240">
        <v>0</v>
      </c>
    </row>
    <row r="1611" spans="1:14" x14ac:dyDescent="0.3">
      <c r="A1611" s="135" t="s">
        <v>20</v>
      </c>
      <c r="B1611" s="137" t="s">
        <v>415</v>
      </c>
      <c r="C1611" s="137">
        <v>19</v>
      </c>
      <c r="D1611" s="9">
        <v>22.05</v>
      </c>
      <c r="E1611" s="8">
        <v>0</v>
      </c>
      <c r="F1611" s="8">
        <v>9.7762740000000008</v>
      </c>
      <c r="G1611" s="18">
        <v>3.697368</v>
      </c>
      <c r="H1611" s="240">
        <v>0</v>
      </c>
      <c r="I1611" s="240">
        <v>0</v>
      </c>
      <c r="J1611" s="240">
        <v>0</v>
      </c>
      <c r="K1611" s="240">
        <v>0</v>
      </c>
      <c r="L1611" s="240">
        <v>0</v>
      </c>
      <c r="M1611" s="240">
        <v>0</v>
      </c>
      <c r="N1611" s="240">
        <v>0</v>
      </c>
    </row>
    <row r="1612" spans="1:14" x14ac:dyDescent="0.3">
      <c r="A1612" s="135" t="s">
        <v>20</v>
      </c>
      <c r="B1612" s="137" t="s">
        <v>415</v>
      </c>
      <c r="C1612" s="137">
        <v>20</v>
      </c>
      <c r="D1612" s="9">
        <v>22.05</v>
      </c>
      <c r="E1612" s="8">
        <v>0</v>
      </c>
      <c r="F1612" s="8">
        <v>9.9224999999999994</v>
      </c>
      <c r="G1612" s="18">
        <v>3.7749999999999999</v>
      </c>
      <c r="H1612" s="240">
        <v>0</v>
      </c>
      <c r="I1612" s="240">
        <v>0</v>
      </c>
      <c r="J1612" s="240">
        <v>0</v>
      </c>
      <c r="K1612" s="240">
        <v>0</v>
      </c>
      <c r="L1612" s="240">
        <v>0</v>
      </c>
      <c r="M1612" s="240">
        <v>0</v>
      </c>
      <c r="N1612" s="240">
        <v>0</v>
      </c>
    </row>
    <row r="1613" spans="1:14" x14ac:dyDescent="0.3">
      <c r="A1613" s="135" t="s">
        <v>20</v>
      </c>
      <c r="B1613" s="137" t="s">
        <v>415</v>
      </c>
      <c r="C1613" s="137">
        <v>21</v>
      </c>
      <c r="D1613" s="9">
        <v>22.05</v>
      </c>
      <c r="E1613" s="8">
        <v>0</v>
      </c>
      <c r="F1613" s="8">
        <v>10.0548</v>
      </c>
      <c r="G1613" s="18">
        <v>3.8571430000000002</v>
      </c>
      <c r="H1613" s="240">
        <v>0</v>
      </c>
      <c r="I1613" s="240">
        <v>0</v>
      </c>
      <c r="J1613" s="240">
        <v>0</v>
      </c>
      <c r="K1613" s="240">
        <v>0</v>
      </c>
      <c r="L1613" s="240">
        <v>0</v>
      </c>
      <c r="M1613" s="240">
        <v>0</v>
      </c>
      <c r="N1613" s="240">
        <v>0</v>
      </c>
    </row>
    <row r="1614" spans="1:14" x14ac:dyDescent="0.3">
      <c r="A1614" s="135" t="s">
        <v>20</v>
      </c>
      <c r="B1614" s="137" t="s">
        <v>415</v>
      </c>
      <c r="C1614" s="137">
        <v>22</v>
      </c>
      <c r="D1614" s="9">
        <v>22.05</v>
      </c>
      <c r="E1614" s="8">
        <v>0</v>
      </c>
      <c r="F1614" s="8">
        <v>10.175072999999999</v>
      </c>
      <c r="G1614" s="18">
        <v>3.9318179999999998</v>
      </c>
      <c r="H1614" s="240">
        <v>0</v>
      </c>
      <c r="I1614" s="240">
        <v>0</v>
      </c>
      <c r="J1614" s="240">
        <v>0</v>
      </c>
      <c r="K1614" s="240">
        <v>0</v>
      </c>
      <c r="L1614" s="240">
        <v>0</v>
      </c>
      <c r="M1614" s="240">
        <v>0</v>
      </c>
      <c r="N1614" s="240">
        <v>0</v>
      </c>
    </row>
    <row r="1615" spans="1:14" x14ac:dyDescent="0.3">
      <c r="A1615" s="135" t="s">
        <v>20</v>
      </c>
      <c r="B1615" s="137" t="s">
        <v>415</v>
      </c>
      <c r="C1615" s="137">
        <v>23</v>
      </c>
      <c r="D1615" s="9">
        <v>22.05</v>
      </c>
      <c r="E1615" s="8">
        <v>0</v>
      </c>
      <c r="F1615" s="8">
        <v>10.491965</v>
      </c>
      <c r="G1615" s="18">
        <v>4.0108699999999997</v>
      </c>
      <c r="H1615" s="240">
        <v>0</v>
      </c>
      <c r="I1615" s="240">
        <v>0</v>
      </c>
      <c r="J1615" s="240">
        <v>0</v>
      </c>
      <c r="K1615" s="240">
        <v>0</v>
      </c>
      <c r="L1615" s="240">
        <v>0</v>
      </c>
      <c r="M1615" s="240">
        <v>0</v>
      </c>
      <c r="N1615" s="240">
        <v>0</v>
      </c>
    </row>
    <row r="1616" spans="1:14" x14ac:dyDescent="0.3">
      <c r="A1616" s="135" t="s">
        <v>20</v>
      </c>
      <c r="B1616" s="137" t="s">
        <v>415</v>
      </c>
      <c r="C1616" s="137">
        <v>24</v>
      </c>
      <c r="D1616" s="9">
        <v>22.05</v>
      </c>
      <c r="E1616" s="8">
        <v>0</v>
      </c>
      <c r="F1616" s="8">
        <v>10.782450000000001</v>
      </c>
      <c r="G1616" s="18">
        <v>4.09375</v>
      </c>
      <c r="H1616" s="240">
        <v>0</v>
      </c>
      <c r="I1616" s="240">
        <v>0</v>
      </c>
      <c r="J1616" s="240">
        <v>0</v>
      </c>
      <c r="K1616" s="240">
        <v>0</v>
      </c>
      <c r="L1616" s="240">
        <v>0</v>
      </c>
      <c r="M1616" s="240">
        <v>0</v>
      </c>
      <c r="N1616" s="240">
        <v>0</v>
      </c>
    </row>
    <row r="1617" spans="1:14" x14ac:dyDescent="0.3">
      <c r="A1617" s="135" t="s">
        <v>20</v>
      </c>
      <c r="B1617" s="137" t="s">
        <v>415</v>
      </c>
      <c r="C1617" s="137">
        <v>25</v>
      </c>
      <c r="D1617" s="9">
        <v>22.05</v>
      </c>
      <c r="E1617" s="8">
        <v>0</v>
      </c>
      <c r="F1617" s="8">
        <v>11.049696000000001</v>
      </c>
      <c r="G1617" s="18">
        <v>4.18</v>
      </c>
      <c r="H1617" s="240">
        <v>0</v>
      </c>
      <c r="I1617" s="240">
        <v>0</v>
      </c>
      <c r="J1617" s="240">
        <v>0</v>
      </c>
      <c r="K1617" s="240">
        <v>0</v>
      </c>
      <c r="L1617" s="240">
        <v>0</v>
      </c>
      <c r="M1617" s="240">
        <v>0</v>
      </c>
      <c r="N1617" s="240">
        <v>0</v>
      </c>
    </row>
    <row r="1618" spans="1:14" x14ac:dyDescent="0.3">
      <c r="A1618" s="135" t="s">
        <v>20</v>
      </c>
      <c r="B1618" s="137" t="s">
        <v>415</v>
      </c>
      <c r="C1618" s="137">
        <v>26</v>
      </c>
      <c r="D1618" s="9">
        <v>22.05</v>
      </c>
      <c r="E1618" s="8">
        <v>0</v>
      </c>
      <c r="F1618" s="8">
        <v>11.296385000000001</v>
      </c>
      <c r="G1618" s="18">
        <v>4.25</v>
      </c>
      <c r="H1618" s="240">
        <v>0</v>
      </c>
      <c r="I1618" s="240">
        <v>0</v>
      </c>
      <c r="J1618" s="240">
        <v>0</v>
      </c>
      <c r="K1618" s="240">
        <v>0</v>
      </c>
      <c r="L1618" s="240">
        <v>0</v>
      </c>
      <c r="M1618" s="240">
        <v>0</v>
      </c>
      <c r="N1618" s="240">
        <v>0</v>
      </c>
    </row>
    <row r="1619" spans="1:14" x14ac:dyDescent="0.3">
      <c r="A1619" s="135" t="s">
        <v>20</v>
      </c>
      <c r="B1619" s="137" t="s">
        <v>415</v>
      </c>
      <c r="C1619" s="137">
        <v>27</v>
      </c>
      <c r="D1619" s="9">
        <v>22.05</v>
      </c>
      <c r="E1619" s="8">
        <v>0</v>
      </c>
      <c r="F1619" s="8">
        <v>11.524800000000001</v>
      </c>
      <c r="G1619" s="18">
        <v>4.3333329999999997</v>
      </c>
      <c r="H1619" s="240">
        <v>0</v>
      </c>
      <c r="I1619" s="240">
        <v>0</v>
      </c>
      <c r="J1619" s="240">
        <v>0</v>
      </c>
      <c r="K1619" s="240">
        <v>0</v>
      </c>
      <c r="L1619" s="240">
        <v>0</v>
      </c>
      <c r="M1619" s="240">
        <v>0</v>
      </c>
      <c r="N1619" s="240">
        <v>0</v>
      </c>
    </row>
    <row r="1620" spans="1:14" x14ac:dyDescent="0.3">
      <c r="A1620" s="135" t="s">
        <v>20</v>
      </c>
      <c r="B1620" s="137" t="s">
        <v>415</v>
      </c>
      <c r="C1620" s="137">
        <v>28</v>
      </c>
      <c r="D1620" s="9">
        <v>22.05</v>
      </c>
      <c r="E1620" s="8">
        <v>0</v>
      </c>
      <c r="F1620" s="8">
        <v>11.7369</v>
      </c>
      <c r="G1620" s="18">
        <v>4.4017860000000004</v>
      </c>
      <c r="H1620" s="240">
        <v>0</v>
      </c>
      <c r="I1620" s="240">
        <v>0</v>
      </c>
      <c r="J1620" s="240">
        <v>0</v>
      </c>
      <c r="K1620" s="240">
        <v>0</v>
      </c>
      <c r="L1620" s="240">
        <v>0</v>
      </c>
      <c r="M1620" s="240">
        <v>0</v>
      </c>
      <c r="N1620" s="240">
        <v>0</v>
      </c>
    </row>
    <row r="1621" spans="1:14" x14ac:dyDescent="0.3">
      <c r="A1621" s="135" t="s">
        <v>20</v>
      </c>
      <c r="B1621" s="137" t="s">
        <v>415</v>
      </c>
      <c r="C1621" s="137">
        <v>29</v>
      </c>
      <c r="D1621" s="9">
        <v>22.05</v>
      </c>
      <c r="E1621" s="8">
        <v>0</v>
      </c>
      <c r="F1621" s="8">
        <v>11.934372</v>
      </c>
      <c r="G1621" s="18">
        <v>4.4827589999999997</v>
      </c>
      <c r="H1621" s="240">
        <v>0</v>
      </c>
      <c r="I1621" s="240">
        <v>0</v>
      </c>
      <c r="J1621" s="240">
        <v>0</v>
      </c>
      <c r="K1621" s="240">
        <v>0</v>
      </c>
      <c r="L1621" s="240">
        <v>0</v>
      </c>
      <c r="M1621" s="240">
        <v>0</v>
      </c>
      <c r="N1621" s="240">
        <v>0</v>
      </c>
    </row>
    <row r="1622" spans="1:14" x14ac:dyDescent="0.3">
      <c r="A1622" s="138" t="s">
        <v>20</v>
      </c>
      <c r="B1622" s="137" t="s">
        <v>415</v>
      </c>
      <c r="C1622" s="137">
        <v>30</v>
      </c>
      <c r="D1622" s="9">
        <v>22.05</v>
      </c>
      <c r="E1622" s="8">
        <v>0</v>
      </c>
      <c r="F1622" s="8">
        <v>12.118679999999999</v>
      </c>
      <c r="G1622" s="18">
        <v>4.55</v>
      </c>
      <c r="H1622" s="240">
        <v>0</v>
      </c>
      <c r="I1622" s="240">
        <v>0</v>
      </c>
      <c r="J1622" s="240">
        <v>0</v>
      </c>
      <c r="K1622" s="240">
        <v>0</v>
      </c>
      <c r="L1622" s="240">
        <v>0</v>
      </c>
      <c r="M1622" s="240">
        <v>0</v>
      </c>
      <c r="N1622" s="240">
        <v>0</v>
      </c>
    </row>
    <row r="1623" spans="1:14" x14ac:dyDescent="0.3">
      <c r="A1623" s="144" t="s">
        <v>20</v>
      </c>
      <c r="B1623" s="145" t="s">
        <v>422</v>
      </c>
      <c r="C1623" s="143">
        <v>1</v>
      </c>
      <c r="D1623" s="9">
        <v>9.5039999999999996</v>
      </c>
      <c r="E1623" s="8">
        <v>2.9257200000000001</v>
      </c>
      <c r="F1623" s="8">
        <v>0.459756</v>
      </c>
      <c r="G1623" s="18">
        <v>7.5</v>
      </c>
      <c r="H1623" s="240">
        <v>0</v>
      </c>
      <c r="I1623" s="240">
        <v>0</v>
      </c>
      <c r="J1623" s="240">
        <v>0</v>
      </c>
      <c r="K1623" s="240">
        <v>0</v>
      </c>
      <c r="L1623" s="240">
        <v>0</v>
      </c>
      <c r="M1623" s="240">
        <v>0</v>
      </c>
      <c r="N1623" s="240">
        <v>0</v>
      </c>
    </row>
    <row r="1624" spans="1:14" x14ac:dyDescent="0.3">
      <c r="A1624" s="135" t="s">
        <v>20</v>
      </c>
      <c r="B1624" s="136" t="s">
        <v>422</v>
      </c>
      <c r="C1624" s="137">
        <v>2</v>
      </c>
      <c r="D1624" s="9">
        <v>9.5039999999999996</v>
      </c>
      <c r="E1624" s="8">
        <v>2.9257200000000001</v>
      </c>
      <c r="F1624" s="8">
        <v>0.60430099999999998</v>
      </c>
      <c r="G1624" s="18">
        <v>5.625</v>
      </c>
      <c r="H1624" s="240">
        <v>0</v>
      </c>
      <c r="I1624" s="240">
        <v>0</v>
      </c>
      <c r="J1624" s="240">
        <v>0</v>
      </c>
      <c r="K1624" s="240">
        <v>0</v>
      </c>
      <c r="L1624" s="240">
        <v>0</v>
      </c>
      <c r="M1624" s="240">
        <v>0</v>
      </c>
      <c r="N1624" s="240">
        <v>0</v>
      </c>
    </row>
    <row r="1625" spans="1:14" x14ac:dyDescent="0.3">
      <c r="A1625" s="135" t="s">
        <v>20</v>
      </c>
      <c r="B1625" s="137" t="s">
        <v>422</v>
      </c>
      <c r="C1625" s="137">
        <v>3</v>
      </c>
      <c r="D1625" s="9">
        <v>9.5039999999999996</v>
      </c>
      <c r="E1625" s="8">
        <v>2.9257200000000001</v>
      </c>
      <c r="F1625" s="8">
        <v>0.70240499999999995</v>
      </c>
      <c r="G1625" s="18">
        <v>5.25</v>
      </c>
      <c r="H1625" s="240">
        <v>0</v>
      </c>
      <c r="I1625" s="240">
        <v>0</v>
      </c>
      <c r="J1625" s="240">
        <v>0</v>
      </c>
      <c r="K1625" s="240">
        <v>0</v>
      </c>
      <c r="L1625" s="240">
        <v>0</v>
      </c>
      <c r="M1625" s="240">
        <v>0</v>
      </c>
      <c r="N1625" s="240">
        <v>0</v>
      </c>
    </row>
    <row r="1626" spans="1:14" x14ac:dyDescent="0.3">
      <c r="A1626" s="135" t="s">
        <v>20</v>
      </c>
      <c r="B1626" s="137" t="s">
        <v>422</v>
      </c>
      <c r="C1626" s="137">
        <v>4</v>
      </c>
      <c r="D1626" s="9">
        <v>9.5039999999999996</v>
      </c>
      <c r="E1626" s="8">
        <v>2.9257200000000001</v>
      </c>
      <c r="F1626" s="8">
        <v>0.78889900000000002</v>
      </c>
      <c r="G1626" s="18">
        <v>5.125</v>
      </c>
      <c r="H1626" s="240">
        <v>0</v>
      </c>
      <c r="I1626" s="240">
        <v>0</v>
      </c>
      <c r="J1626" s="240">
        <v>0</v>
      </c>
      <c r="K1626" s="240">
        <v>0</v>
      </c>
      <c r="L1626" s="240">
        <v>0</v>
      </c>
      <c r="M1626" s="240">
        <v>0</v>
      </c>
      <c r="N1626" s="240">
        <v>0</v>
      </c>
    </row>
    <row r="1627" spans="1:14" x14ac:dyDescent="0.3">
      <c r="A1627" s="135" t="s">
        <v>20</v>
      </c>
      <c r="B1627" s="137" t="s">
        <v>422</v>
      </c>
      <c r="C1627" s="137">
        <v>5</v>
      </c>
      <c r="D1627" s="9">
        <v>9.5039999999999996</v>
      </c>
      <c r="E1627" s="8">
        <v>2.9257200000000001</v>
      </c>
      <c r="F1627" s="8">
        <v>0.90070399999999995</v>
      </c>
      <c r="G1627" s="18">
        <v>5.15</v>
      </c>
      <c r="H1627" s="240">
        <v>0</v>
      </c>
      <c r="I1627" s="240">
        <v>0</v>
      </c>
      <c r="J1627" s="240">
        <v>0</v>
      </c>
      <c r="K1627" s="240">
        <v>0</v>
      </c>
      <c r="L1627" s="240">
        <v>0</v>
      </c>
      <c r="M1627" s="240">
        <v>0</v>
      </c>
      <c r="N1627" s="240">
        <v>0</v>
      </c>
    </row>
    <row r="1628" spans="1:14" x14ac:dyDescent="0.3">
      <c r="A1628" s="135" t="s">
        <v>20</v>
      </c>
      <c r="B1628" s="137" t="s">
        <v>422</v>
      </c>
      <c r="C1628" s="137">
        <v>6</v>
      </c>
      <c r="D1628" s="9">
        <v>9.5039999999999996</v>
      </c>
      <c r="E1628" s="8">
        <v>2.9257200000000001</v>
      </c>
      <c r="F1628" s="8">
        <v>1.0292269999999999</v>
      </c>
      <c r="G1628" s="18">
        <v>5.25</v>
      </c>
      <c r="H1628" s="240">
        <v>0</v>
      </c>
      <c r="I1628" s="240">
        <v>0</v>
      </c>
      <c r="J1628" s="240">
        <v>0</v>
      </c>
      <c r="K1628" s="240">
        <v>0</v>
      </c>
      <c r="L1628" s="240">
        <v>0</v>
      </c>
      <c r="M1628" s="240">
        <v>0</v>
      </c>
      <c r="N1628" s="240">
        <v>0</v>
      </c>
    </row>
    <row r="1629" spans="1:14" x14ac:dyDescent="0.3">
      <c r="A1629" s="135" t="s">
        <v>20</v>
      </c>
      <c r="B1629" s="137" t="s">
        <v>422</v>
      </c>
      <c r="C1629" s="137">
        <v>7</v>
      </c>
      <c r="D1629" s="9">
        <v>9.5039999999999996</v>
      </c>
      <c r="E1629" s="8">
        <v>2.9257200000000001</v>
      </c>
      <c r="F1629" s="8">
        <v>1.1210279999999999</v>
      </c>
      <c r="G1629" s="18">
        <v>5.3571429999999998</v>
      </c>
      <c r="H1629" s="240">
        <v>0</v>
      </c>
      <c r="I1629" s="240">
        <v>0</v>
      </c>
      <c r="J1629" s="240">
        <v>0</v>
      </c>
      <c r="K1629" s="240">
        <v>0</v>
      </c>
      <c r="L1629" s="240">
        <v>0</v>
      </c>
      <c r="M1629" s="240">
        <v>0</v>
      </c>
      <c r="N1629" s="240">
        <v>0</v>
      </c>
    </row>
    <row r="1630" spans="1:14" x14ac:dyDescent="0.3">
      <c r="A1630" s="135" t="s">
        <v>20</v>
      </c>
      <c r="B1630" s="137" t="s">
        <v>422</v>
      </c>
      <c r="C1630" s="137">
        <v>8</v>
      </c>
      <c r="D1630" s="9">
        <v>9.5039999999999996</v>
      </c>
      <c r="E1630" s="8">
        <v>2.9257200000000001</v>
      </c>
      <c r="F1630" s="8">
        <v>1.2734719999999999</v>
      </c>
      <c r="G1630" s="18">
        <v>5.46875</v>
      </c>
      <c r="H1630" s="240">
        <v>0</v>
      </c>
      <c r="I1630" s="240">
        <v>0</v>
      </c>
      <c r="J1630" s="240">
        <v>0</v>
      </c>
      <c r="K1630" s="240">
        <v>0</v>
      </c>
      <c r="L1630" s="240">
        <v>0</v>
      </c>
      <c r="M1630" s="240">
        <v>0</v>
      </c>
      <c r="N1630" s="240">
        <v>0</v>
      </c>
    </row>
    <row r="1631" spans="1:14" x14ac:dyDescent="0.3">
      <c r="A1631" s="135" t="s">
        <v>20</v>
      </c>
      <c r="B1631" s="137" t="s">
        <v>422</v>
      </c>
      <c r="C1631" s="137">
        <v>9</v>
      </c>
      <c r="D1631" s="9">
        <v>9.5039999999999996</v>
      </c>
      <c r="E1631" s="8">
        <v>2.9257200000000001</v>
      </c>
      <c r="F1631" s="8">
        <v>1.392039</v>
      </c>
      <c r="G1631" s="18">
        <v>5.6111110000000002</v>
      </c>
      <c r="H1631" s="240">
        <v>0</v>
      </c>
      <c r="I1631" s="240">
        <v>0</v>
      </c>
      <c r="J1631" s="240">
        <v>0</v>
      </c>
      <c r="K1631" s="240">
        <v>0</v>
      </c>
      <c r="L1631" s="240">
        <v>0</v>
      </c>
      <c r="M1631" s="240">
        <v>0</v>
      </c>
      <c r="N1631" s="240">
        <v>0</v>
      </c>
    </row>
    <row r="1632" spans="1:14" x14ac:dyDescent="0.3">
      <c r="A1632" s="135" t="s">
        <v>20</v>
      </c>
      <c r="B1632" s="137" t="s">
        <v>422</v>
      </c>
      <c r="C1632" s="137">
        <v>10</v>
      </c>
      <c r="D1632" s="9">
        <v>9.5039999999999996</v>
      </c>
      <c r="E1632" s="8">
        <v>2.9257200000000001</v>
      </c>
      <c r="F1632" s="8">
        <v>1.486893</v>
      </c>
      <c r="G1632" s="18">
        <v>5.75</v>
      </c>
      <c r="H1632" s="240">
        <v>0</v>
      </c>
      <c r="I1632" s="240">
        <v>0</v>
      </c>
      <c r="J1632" s="240">
        <v>0</v>
      </c>
      <c r="K1632" s="240">
        <v>0</v>
      </c>
      <c r="L1632" s="240">
        <v>0</v>
      </c>
      <c r="M1632" s="240">
        <v>0</v>
      </c>
      <c r="N1632" s="240">
        <v>0</v>
      </c>
    </row>
    <row r="1633" spans="1:14" x14ac:dyDescent="0.3">
      <c r="A1633" s="135" t="s">
        <v>20</v>
      </c>
      <c r="B1633" s="137" t="s">
        <v>422</v>
      </c>
      <c r="C1633" s="137">
        <v>11</v>
      </c>
      <c r="D1633" s="9">
        <v>9.5039999999999996</v>
      </c>
      <c r="E1633" s="8">
        <v>2.9257200000000001</v>
      </c>
      <c r="F1633" s="8">
        <v>1.5645</v>
      </c>
      <c r="G1633" s="18">
        <v>5.9090910000000001</v>
      </c>
      <c r="H1633" s="240">
        <v>0</v>
      </c>
      <c r="I1633" s="240">
        <v>0</v>
      </c>
      <c r="J1633" s="240">
        <v>0</v>
      </c>
      <c r="K1633" s="240">
        <v>0</v>
      </c>
      <c r="L1633" s="240">
        <v>0</v>
      </c>
      <c r="M1633" s="240">
        <v>0</v>
      </c>
      <c r="N1633" s="240">
        <v>0</v>
      </c>
    </row>
    <row r="1634" spans="1:14" x14ac:dyDescent="0.3">
      <c r="A1634" s="135" t="s">
        <v>20</v>
      </c>
      <c r="B1634" s="137" t="s">
        <v>422</v>
      </c>
      <c r="C1634" s="137">
        <v>12</v>
      </c>
      <c r="D1634" s="9">
        <v>9.5039999999999996</v>
      </c>
      <c r="E1634" s="8">
        <v>2.9257200000000001</v>
      </c>
      <c r="F1634" s="8">
        <v>1.640525</v>
      </c>
      <c r="G1634" s="18">
        <v>6.0416670000000003</v>
      </c>
      <c r="H1634" s="240">
        <v>0</v>
      </c>
      <c r="I1634" s="240">
        <v>0</v>
      </c>
      <c r="J1634" s="240">
        <v>0</v>
      </c>
      <c r="K1634" s="240">
        <v>0</v>
      </c>
      <c r="L1634" s="240">
        <v>0</v>
      </c>
      <c r="M1634" s="240">
        <v>0</v>
      </c>
      <c r="N1634" s="240">
        <v>0</v>
      </c>
    </row>
    <row r="1635" spans="1:14" x14ac:dyDescent="0.3">
      <c r="A1635" s="135" t="s">
        <v>20</v>
      </c>
      <c r="B1635" s="137" t="s">
        <v>422</v>
      </c>
      <c r="C1635" s="137">
        <v>13</v>
      </c>
      <c r="D1635" s="9">
        <v>9.5039999999999996</v>
      </c>
      <c r="E1635" s="8">
        <v>2.9257200000000001</v>
      </c>
      <c r="F1635" s="8">
        <v>1.7048540000000001</v>
      </c>
      <c r="G1635" s="18">
        <v>6.1923079999999997</v>
      </c>
      <c r="H1635" s="240">
        <v>0</v>
      </c>
      <c r="I1635" s="240">
        <v>0</v>
      </c>
      <c r="J1635" s="240">
        <v>0</v>
      </c>
      <c r="K1635" s="240">
        <v>0</v>
      </c>
      <c r="L1635" s="240">
        <v>0</v>
      </c>
      <c r="M1635" s="240">
        <v>0</v>
      </c>
      <c r="N1635" s="240">
        <v>0</v>
      </c>
    </row>
    <row r="1636" spans="1:14" x14ac:dyDescent="0.3">
      <c r="A1636" s="135" t="s">
        <v>20</v>
      </c>
      <c r="B1636" s="137" t="s">
        <v>422</v>
      </c>
      <c r="C1636" s="137">
        <v>14</v>
      </c>
      <c r="D1636" s="9">
        <v>9.5039999999999996</v>
      </c>
      <c r="E1636" s="8">
        <v>2.9257200000000001</v>
      </c>
      <c r="F1636" s="8">
        <v>1.79803</v>
      </c>
      <c r="G1636" s="18">
        <v>6.3214290000000002</v>
      </c>
      <c r="H1636" s="240">
        <v>0</v>
      </c>
      <c r="I1636" s="240">
        <v>0</v>
      </c>
      <c r="J1636" s="240">
        <v>0</v>
      </c>
      <c r="K1636" s="240">
        <v>0</v>
      </c>
      <c r="L1636" s="240">
        <v>0</v>
      </c>
      <c r="M1636" s="240">
        <v>0</v>
      </c>
      <c r="N1636" s="240">
        <v>0</v>
      </c>
    </row>
    <row r="1637" spans="1:14" x14ac:dyDescent="0.3">
      <c r="A1637" s="135" t="s">
        <v>20</v>
      </c>
      <c r="B1637" s="137" t="s">
        <v>422</v>
      </c>
      <c r="C1637" s="137">
        <v>15</v>
      </c>
      <c r="D1637" s="9">
        <v>9.5039999999999996</v>
      </c>
      <c r="E1637" s="8">
        <v>2.9257200000000001</v>
      </c>
      <c r="F1637" s="8">
        <v>1.9233640000000001</v>
      </c>
      <c r="G1637" s="18">
        <v>6.483333</v>
      </c>
      <c r="H1637" s="240">
        <v>0</v>
      </c>
      <c r="I1637" s="240">
        <v>0</v>
      </c>
      <c r="J1637" s="240">
        <v>0</v>
      </c>
      <c r="K1637" s="240">
        <v>0</v>
      </c>
      <c r="L1637" s="240">
        <v>0</v>
      </c>
      <c r="M1637" s="240">
        <v>0</v>
      </c>
      <c r="N1637" s="240">
        <v>0</v>
      </c>
    </row>
    <row r="1638" spans="1:14" x14ac:dyDescent="0.3">
      <c r="A1638" s="135" t="s">
        <v>20</v>
      </c>
      <c r="B1638" s="137" t="s">
        <v>422</v>
      </c>
      <c r="C1638" s="137">
        <v>16</v>
      </c>
      <c r="D1638" s="9">
        <v>9.5039999999999996</v>
      </c>
      <c r="E1638" s="8">
        <v>2.9257200000000001</v>
      </c>
      <c r="F1638" s="8">
        <v>2.033032</v>
      </c>
      <c r="G1638" s="18">
        <v>6.625</v>
      </c>
      <c r="H1638" s="240">
        <v>0</v>
      </c>
      <c r="I1638" s="240">
        <v>0</v>
      </c>
      <c r="J1638" s="240">
        <v>0</v>
      </c>
      <c r="K1638" s="240">
        <v>0</v>
      </c>
      <c r="L1638" s="240">
        <v>0</v>
      </c>
      <c r="M1638" s="240">
        <v>0</v>
      </c>
      <c r="N1638" s="240">
        <v>0</v>
      </c>
    </row>
    <row r="1639" spans="1:14" x14ac:dyDescent="0.3">
      <c r="A1639" s="135" t="s">
        <v>20</v>
      </c>
      <c r="B1639" s="137" t="s">
        <v>422</v>
      </c>
      <c r="C1639" s="137">
        <v>17</v>
      </c>
      <c r="D1639" s="9">
        <v>9.5039999999999996</v>
      </c>
      <c r="E1639" s="8">
        <v>2.9257200000000001</v>
      </c>
      <c r="F1639" s="8">
        <v>2.1297980000000001</v>
      </c>
      <c r="G1639" s="18">
        <v>6.7647060000000003</v>
      </c>
      <c r="H1639" s="240">
        <v>0</v>
      </c>
      <c r="I1639" s="240">
        <v>0</v>
      </c>
      <c r="J1639" s="240">
        <v>0</v>
      </c>
      <c r="K1639" s="240">
        <v>0</v>
      </c>
      <c r="L1639" s="240">
        <v>0</v>
      </c>
      <c r="M1639" s="240">
        <v>0</v>
      </c>
      <c r="N1639" s="240">
        <v>0</v>
      </c>
    </row>
    <row r="1640" spans="1:14" x14ac:dyDescent="0.3">
      <c r="A1640" s="135" t="s">
        <v>20</v>
      </c>
      <c r="B1640" s="137" t="s">
        <v>422</v>
      </c>
      <c r="C1640" s="137">
        <v>18</v>
      </c>
      <c r="D1640" s="9">
        <v>9.5039999999999996</v>
      </c>
      <c r="E1640" s="8">
        <v>2.9257200000000001</v>
      </c>
      <c r="F1640" s="8">
        <v>2.2158120000000001</v>
      </c>
      <c r="G1640" s="18">
        <v>6.9027779999999996</v>
      </c>
      <c r="H1640" s="240">
        <v>0</v>
      </c>
      <c r="I1640" s="240">
        <v>0</v>
      </c>
      <c r="J1640" s="240">
        <v>0</v>
      </c>
      <c r="K1640" s="240">
        <v>0</v>
      </c>
      <c r="L1640" s="240">
        <v>0</v>
      </c>
      <c r="M1640" s="240">
        <v>0</v>
      </c>
      <c r="N1640" s="240">
        <v>0</v>
      </c>
    </row>
    <row r="1641" spans="1:14" x14ac:dyDescent="0.3">
      <c r="A1641" s="135" t="s">
        <v>20</v>
      </c>
      <c r="B1641" s="137" t="s">
        <v>422</v>
      </c>
      <c r="C1641" s="137">
        <v>19</v>
      </c>
      <c r="D1641" s="9">
        <v>9.5039999999999996</v>
      </c>
      <c r="E1641" s="8">
        <v>2.9257200000000001</v>
      </c>
      <c r="F1641" s="8">
        <v>2.3028740000000001</v>
      </c>
      <c r="G1641" s="18">
        <v>7.0394740000000002</v>
      </c>
      <c r="H1641" s="240">
        <v>0</v>
      </c>
      <c r="I1641" s="240">
        <v>0</v>
      </c>
      <c r="J1641" s="240">
        <v>0</v>
      </c>
      <c r="K1641" s="240">
        <v>0</v>
      </c>
      <c r="L1641" s="240">
        <v>0</v>
      </c>
      <c r="M1641" s="240">
        <v>0</v>
      </c>
      <c r="N1641" s="240">
        <v>0</v>
      </c>
    </row>
    <row r="1642" spans="1:14" x14ac:dyDescent="0.3">
      <c r="A1642" s="135" t="s">
        <v>20</v>
      </c>
      <c r="B1642" s="137" t="s">
        <v>422</v>
      </c>
      <c r="C1642" s="137">
        <v>20</v>
      </c>
      <c r="D1642" s="9">
        <v>9.5039999999999996</v>
      </c>
      <c r="E1642" s="8">
        <v>2.9257200000000001</v>
      </c>
      <c r="F1642" s="8">
        <v>2.38123</v>
      </c>
      <c r="G1642" s="18">
        <v>7.1749999999999998</v>
      </c>
      <c r="H1642" s="240">
        <v>0</v>
      </c>
      <c r="I1642" s="240">
        <v>0</v>
      </c>
      <c r="J1642" s="240">
        <v>0</v>
      </c>
      <c r="K1642" s="240">
        <v>0</v>
      </c>
      <c r="L1642" s="240">
        <v>0</v>
      </c>
      <c r="M1642" s="240">
        <v>0</v>
      </c>
      <c r="N1642" s="240">
        <v>0</v>
      </c>
    </row>
    <row r="1643" spans="1:14" x14ac:dyDescent="0.3">
      <c r="A1643" s="135" t="s">
        <v>20</v>
      </c>
      <c r="B1643" s="137" t="s">
        <v>422</v>
      </c>
      <c r="C1643" s="137">
        <v>21</v>
      </c>
      <c r="D1643" s="9">
        <v>9.5039999999999996</v>
      </c>
      <c r="E1643" s="8">
        <v>2.9257200000000001</v>
      </c>
      <c r="F1643" s="8">
        <v>2.452124</v>
      </c>
      <c r="G1643" s="18">
        <v>7.3095239999999997</v>
      </c>
      <c r="H1643" s="240">
        <v>0</v>
      </c>
      <c r="I1643" s="240">
        <v>0</v>
      </c>
      <c r="J1643" s="240">
        <v>0</v>
      </c>
      <c r="K1643" s="240">
        <v>0</v>
      </c>
      <c r="L1643" s="240">
        <v>0</v>
      </c>
      <c r="M1643" s="240">
        <v>0</v>
      </c>
      <c r="N1643" s="240">
        <v>0</v>
      </c>
    </row>
    <row r="1644" spans="1:14" x14ac:dyDescent="0.3">
      <c r="A1644" s="135" t="s">
        <v>20</v>
      </c>
      <c r="B1644" s="137" t="s">
        <v>422</v>
      </c>
      <c r="C1644" s="137">
        <v>22</v>
      </c>
      <c r="D1644" s="9">
        <v>9.5039999999999996</v>
      </c>
      <c r="E1644" s="8">
        <v>2.9257200000000001</v>
      </c>
      <c r="F1644" s="8">
        <v>2.5165730000000002</v>
      </c>
      <c r="G1644" s="18">
        <v>7.4431820000000002</v>
      </c>
      <c r="H1644" s="240">
        <v>0</v>
      </c>
      <c r="I1644" s="240">
        <v>0</v>
      </c>
      <c r="J1644" s="240">
        <v>0</v>
      </c>
      <c r="K1644" s="240">
        <v>0</v>
      </c>
      <c r="L1644" s="240">
        <v>0</v>
      </c>
      <c r="M1644" s="240">
        <v>0</v>
      </c>
      <c r="N1644" s="240">
        <v>0</v>
      </c>
    </row>
    <row r="1645" spans="1:14" x14ac:dyDescent="0.3">
      <c r="A1645" s="135" t="s">
        <v>20</v>
      </c>
      <c r="B1645" s="137" t="s">
        <v>422</v>
      </c>
      <c r="C1645" s="137">
        <v>23</v>
      </c>
      <c r="D1645" s="9">
        <v>9.5039999999999996</v>
      </c>
      <c r="E1645" s="8">
        <v>2.9257200000000001</v>
      </c>
      <c r="F1645" s="8">
        <v>2.6252230000000001</v>
      </c>
      <c r="G1645" s="18">
        <v>7.5760870000000002</v>
      </c>
      <c r="H1645" s="240">
        <v>0</v>
      </c>
      <c r="I1645" s="240">
        <v>0</v>
      </c>
      <c r="J1645" s="240">
        <v>0</v>
      </c>
      <c r="K1645" s="240">
        <v>0</v>
      </c>
      <c r="L1645" s="240">
        <v>0</v>
      </c>
      <c r="M1645" s="240">
        <v>0</v>
      </c>
      <c r="N1645" s="240">
        <v>0</v>
      </c>
    </row>
    <row r="1646" spans="1:14" x14ac:dyDescent="0.3">
      <c r="A1646" s="135" t="s">
        <v>20</v>
      </c>
      <c r="B1646" s="137" t="s">
        <v>422</v>
      </c>
      <c r="C1646" s="137">
        <v>24</v>
      </c>
      <c r="D1646" s="9">
        <v>9.5039999999999996</v>
      </c>
      <c r="E1646" s="8">
        <v>2.9257200000000001</v>
      </c>
      <c r="F1646" s="8">
        <v>2.7248190000000001</v>
      </c>
      <c r="G1646" s="18">
        <v>7.7083329999999997</v>
      </c>
      <c r="H1646" s="240">
        <v>0</v>
      </c>
      <c r="I1646" s="240">
        <v>0</v>
      </c>
      <c r="J1646" s="240">
        <v>0</v>
      </c>
      <c r="K1646" s="240">
        <v>0</v>
      </c>
      <c r="L1646" s="240">
        <v>0</v>
      </c>
      <c r="M1646" s="240">
        <v>0</v>
      </c>
      <c r="N1646" s="240">
        <v>0</v>
      </c>
    </row>
    <row r="1647" spans="1:14" x14ac:dyDescent="0.3">
      <c r="A1647" s="135" t="s">
        <v>20</v>
      </c>
      <c r="B1647" s="137" t="s">
        <v>422</v>
      </c>
      <c r="C1647" s="137">
        <v>25</v>
      </c>
      <c r="D1647" s="9">
        <v>9.5039999999999996</v>
      </c>
      <c r="E1647" s="8">
        <v>2.9257200000000001</v>
      </c>
      <c r="F1647" s="8">
        <v>2.8387380000000002</v>
      </c>
      <c r="G1647" s="18">
        <v>7.84</v>
      </c>
      <c r="H1647" s="240">
        <v>0</v>
      </c>
      <c r="I1647" s="240">
        <v>0</v>
      </c>
      <c r="J1647" s="240">
        <v>0</v>
      </c>
      <c r="K1647" s="240">
        <v>0</v>
      </c>
      <c r="L1647" s="240">
        <v>0</v>
      </c>
      <c r="M1647" s="240">
        <v>0</v>
      </c>
      <c r="N1647" s="240">
        <v>0</v>
      </c>
    </row>
    <row r="1648" spans="1:14" x14ac:dyDescent="0.3">
      <c r="A1648" s="135" t="s">
        <v>20</v>
      </c>
      <c r="B1648" s="137" t="s">
        <v>422</v>
      </c>
      <c r="C1648" s="137">
        <v>26</v>
      </c>
      <c r="D1648" s="9">
        <v>9.5039999999999996</v>
      </c>
      <c r="E1648" s="8">
        <v>2.9257200000000001</v>
      </c>
      <c r="F1648" s="8">
        <v>2.9438939999999998</v>
      </c>
      <c r="G1648" s="18">
        <v>7.9711540000000003</v>
      </c>
      <c r="H1648" s="240">
        <v>0</v>
      </c>
      <c r="I1648" s="240">
        <v>0</v>
      </c>
      <c r="J1648" s="240">
        <v>0</v>
      </c>
      <c r="K1648" s="240">
        <v>0</v>
      </c>
      <c r="L1648" s="240">
        <v>0</v>
      </c>
      <c r="M1648" s="240">
        <v>0</v>
      </c>
      <c r="N1648" s="240">
        <v>0</v>
      </c>
    </row>
    <row r="1649" spans="1:14" x14ac:dyDescent="0.3">
      <c r="A1649" s="135" t="s">
        <v>20</v>
      </c>
      <c r="B1649" s="137" t="s">
        <v>422</v>
      </c>
      <c r="C1649" s="137">
        <v>27</v>
      </c>
      <c r="D1649" s="9">
        <v>9.5039999999999996</v>
      </c>
      <c r="E1649" s="8">
        <v>2.9257200000000001</v>
      </c>
      <c r="F1649" s="8">
        <v>3.041261</v>
      </c>
      <c r="G1649" s="18">
        <v>8.0925930000000008</v>
      </c>
      <c r="H1649" s="240">
        <v>0</v>
      </c>
      <c r="I1649" s="240">
        <v>0</v>
      </c>
      <c r="J1649" s="240">
        <v>0</v>
      </c>
      <c r="K1649" s="240">
        <v>0</v>
      </c>
      <c r="L1649" s="240">
        <v>0</v>
      </c>
      <c r="M1649" s="240">
        <v>0</v>
      </c>
      <c r="N1649" s="240">
        <v>0</v>
      </c>
    </row>
    <row r="1650" spans="1:14" x14ac:dyDescent="0.3">
      <c r="A1650" s="135" t="s">
        <v>20</v>
      </c>
      <c r="B1650" s="137" t="s">
        <v>422</v>
      </c>
      <c r="C1650" s="137">
        <v>28</v>
      </c>
      <c r="D1650" s="9">
        <v>9.5039999999999996</v>
      </c>
      <c r="E1650" s="8">
        <v>2.9257200000000001</v>
      </c>
      <c r="F1650" s="8">
        <v>3.1316730000000002</v>
      </c>
      <c r="G1650" s="18">
        <v>8.2232140000000005</v>
      </c>
      <c r="H1650" s="240">
        <v>0</v>
      </c>
      <c r="I1650" s="240">
        <v>0</v>
      </c>
      <c r="J1650" s="240">
        <v>0</v>
      </c>
      <c r="K1650" s="240">
        <v>0</v>
      </c>
      <c r="L1650" s="240">
        <v>0</v>
      </c>
      <c r="M1650" s="240">
        <v>0</v>
      </c>
      <c r="N1650" s="240">
        <v>0</v>
      </c>
    </row>
    <row r="1651" spans="1:14" x14ac:dyDescent="0.3">
      <c r="A1651" s="135" t="s">
        <v>20</v>
      </c>
      <c r="B1651" s="137" t="s">
        <v>422</v>
      </c>
      <c r="C1651" s="137">
        <v>29</v>
      </c>
      <c r="D1651" s="9">
        <v>9.5039999999999996</v>
      </c>
      <c r="E1651" s="8">
        <v>2.9257200000000001</v>
      </c>
      <c r="F1651" s="8">
        <v>3.2158500000000001</v>
      </c>
      <c r="G1651" s="18">
        <v>8.3448279999999997</v>
      </c>
      <c r="H1651" s="240">
        <v>0</v>
      </c>
      <c r="I1651" s="240">
        <v>0</v>
      </c>
      <c r="J1651" s="240">
        <v>0</v>
      </c>
      <c r="K1651" s="240">
        <v>0</v>
      </c>
      <c r="L1651" s="240">
        <v>0</v>
      </c>
      <c r="M1651" s="240">
        <v>0</v>
      </c>
      <c r="N1651" s="240">
        <v>0</v>
      </c>
    </row>
    <row r="1652" spans="1:14" x14ac:dyDescent="0.3">
      <c r="A1652" s="138" t="s">
        <v>20</v>
      </c>
      <c r="B1652" s="137" t="s">
        <v>422</v>
      </c>
      <c r="C1652" s="137">
        <v>30</v>
      </c>
      <c r="D1652" s="9">
        <v>9.5039999999999996</v>
      </c>
      <c r="E1652" s="8">
        <v>2.9257200000000001</v>
      </c>
      <c r="F1652" s="8">
        <v>3.2944149999999999</v>
      </c>
      <c r="G1652" s="18">
        <v>8.4666669999999993</v>
      </c>
      <c r="H1652" s="240">
        <v>0</v>
      </c>
      <c r="I1652" s="240">
        <v>0</v>
      </c>
      <c r="J1652" s="240">
        <v>0</v>
      </c>
      <c r="K1652" s="240">
        <v>0</v>
      </c>
      <c r="L1652" s="240">
        <v>0</v>
      </c>
      <c r="M1652" s="240">
        <v>0</v>
      </c>
      <c r="N1652" s="240">
        <v>0</v>
      </c>
    </row>
    <row r="1653" spans="1:14" x14ac:dyDescent="0.3">
      <c r="A1653" s="144" t="s">
        <v>464</v>
      </c>
      <c r="B1653" s="145" t="s">
        <v>412</v>
      </c>
      <c r="C1653" s="143">
        <v>1</v>
      </c>
      <c r="D1653" s="9">
        <v>70.2</v>
      </c>
      <c r="E1653" s="8">
        <v>0</v>
      </c>
      <c r="F1653" s="8">
        <v>55.125</v>
      </c>
      <c r="G1653" s="18">
        <v>5</v>
      </c>
      <c r="H1653" s="240">
        <v>0</v>
      </c>
      <c r="I1653" s="240">
        <v>0</v>
      </c>
      <c r="J1653" s="240">
        <v>0</v>
      </c>
      <c r="K1653" s="240">
        <v>0</v>
      </c>
      <c r="L1653" s="240">
        <v>0</v>
      </c>
      <c r="M1653" s="240">
        <v>0</v>
      </c>
      <c r="N1653" s="240">
        <v>0</v>
      </c>
    </row>
    <row r="1654" spans="1:14" x14ac:dyDescent="0.3">
      <c r="A1654" s="135" t="s">
        <v>464</v>
      </c>
      <c r="B1654" s="136" t="s">
        <v>412</v>
      </c>
      <c r="C1654" s="137">
        <v>2</v>
      </c>
      <c r="D1654" s="9">
        <v>70.2</v>
      </c>
      <c r="E1654" s="8">
        <v>0</v>
      </c>
      <c r="F1654" s="8">
        <v>55.125</v>
      </c>
      <c r="G1654" s="18">
        <v>5</v>
      </c>
      <c r="H1654" s="240">
        <v>0</v>
      </c>
      <c r="I1654" s="240">
        <v>0</v>
      </c>
      <c r="J1654" s="240">
        <v>0</v>
      </c>
      <c r="K1654" s="240">
        <v>0</v>
      </c>
      <c r="L1654" s="240">
        <v>0</v>
      </c>
      <c r="M1654" s="240">
        <v>0</v>
      </c>
      <c r="N1654" s="240">
        <v>0</v>
      </c>
    </row>
    <row r="1655" spans="1:14" x14ac:dyDescent="0.3">
      <c r="A1655" s="135" t="s">
        <v>464</v>
      </c>
      <c r="B1655" s="137" t="s">
        <v>412</v>
      </c>
      <c r="C1655" s="137">
        <v>3</v>
      </c>
      <c r="D1655" s="9">
        <v>70.2</v>
      </c>
      <c r="E1655" s="8">
        <v>0</v>
      </c>
      <c r="F1655" s="8">
        <v>55.125</v>
      </c>
      <c r="G1655" s="18">
        <v>5.3333329999999997</v>
      </c>
      <c r="H1655" s="240">
        <v>0</v>
      </c>
      <c r="I1655" s="240">
        <v>0</v>
      </c>
      <c r="J1655" s="240">
        <v>0</v>
      </c>
      <c r="K1655" s="240">
        <v>0</v>
      </c>
      <c r="L1655" s="240">
        <v>0</v>
      </c>
      <c r="M1655" s="240">
        <v>0</v>
      </c>
      <c r="N1655" s="240">
        <v>0</v>
      </c>
    </row>
    <row r="1656" spans="1:14" x14ac:dyDescent="0.3">
      <c r="A1656" s="135" t="s">
        <v>464</v>
      </c>
      <c r="B1656" s="137" t="s">
        <v>412</v>
      </c>
      <c r="C1656" s="137">
        <v>4</v>
      </c>
      <c r="D1656" s="9">
        <v>70.2</v>
      </c>
      <c r="E1656" s="8">
        <v>0</v>
      </c>
      <c r="F1656" s="8">
        <v>55.125</v>
      </c>
      <c r="G1656" s="18">
        <v>5.75</v>
      </c>
      <c r="H1656" s="240">
        <v>0</v>
      </c>
      <c r="I1656" s="240">
        <v>0</v>
      </c>
      <c r="J1656" s="240">
        <v>0</v>
      </c>
      <c r="K1656" s="240">
        <v>0</v>
      </c>
      <c r="L1656" s="240">
        <v>0</v>
      </c>
      <c r="M1656" s="240">
        <v>0</v>
      </c>
      <c r="N1656" s="240">
        <v>0</v>
      </c>
    </row>
    <row r="1657" spans="1:14" x14ac:dyDescent="0.3">
      <c r="A1657" s="135" t="s">
        <v>464</v>
      </c>
      <c r="B1657" s="137" t="s">
        <v>412</v>
      </c>
      <c r="C1657" s="137">
        <v>5</v>
      </c>
      <c r="D1657" s="9">
        <v>70.2</v>
      </c>
      <c r="E1657" s="8">
        <v>0</v>
      </c>
      <c r="F1657" s="8">
        <v>55.125</v>
      </c>
      <c r="G1657" s="18">
        <v>6.1</v>
      </c>
      <c r="H1657" s="240">
        <v>0</v>
      </c>
      <c r="I1657" s="240">
        <v>0</v>
      </c>
      <c r="J1657" s="240">
        <v>0</v>
      </c>
      <c r="K1657" s="240">
        <v>0</v>
      </c>
      <c r="L1657" s="240">
        <v>0</v>
      </c>
      <c r="M1657" s="240">
        <v>0</v>
      </c>
      <c r="N1657" s="240">
        <v>0</v>
      </c>
    </row>
    <row r="1658" spans="1:14" x14ac:dyDescent="0.3">
      <c r="A1658" s="135" t="s">
        <v>464</v>
      </c>
      <c r="B1658" s="137" t="s">
        <v>412</v>
      </c>
      <c r="C1658" s="137">
        <v>6</v>
      </c>
      <c r="D1658" s="9">
        <v>70.2</v>
      </c>
      <c r="E1658" s="8">
        <v>0</v>
      </c>
      <c r="F1658" s="8">
        <v>55.125</v>
      </c>
      <c r="G1658" s="18">
        <v>6.4583329999999997</v>
      </c>
      <c r="H1658" s="240">
        <v>0</v>
      </c>
      <c r="I1658" s="240">
        <v>0</v>
      </c>
      <c r="J1658" s="240">
        <v>0</v>
      </c>
      <c r="K1658" s="240">
        <v>0</v>
      </c>
      <c r="L1658" s="240">
        <v>0</v>
      </c>
      <c r="M1658" s="240">
        <v>0</v>
      </c>
      <c r="N1658" s="240">
        <v>0</v>
      </c>
    </row>
    <row r="1659" spans="1:14" x14ac:dyDescent="0.3">
      <c r="A1659" s="135" t="s">
        <v>464</v>
      </c>
      <c r="B1659" s="137" t="s">
        <v>412</v>
      </c>
      <c r="C1659" s="137">
        <v>7</v>
      </c>
      <c r="D1659" s="9">
        <v>70.2</v>
      </c>
      <c r="E1659" s="8">
        <v>0</v>
      </c>
      <c r="F1659" s="8">
        <v>57.75</v>
      </c>
      <c r="G1659" s="18">
        <v>6.9285709999999998</v>
      </c>
      <c r="H1659" s="240">
        <v>0</v>
      </c>
      <c r="I1659" s="240">
        <v>0</v>
      </c>
      <c r="J1659" s="240">
        <v>0</v>
      </c>
      <c r="K1659" s="240">
        <v>0</v>
      </c>
      <c r="L1659" s="240">
        <v>0</v>
      </c>
      <c r="M1659" s="240">
        <v>0</v>
      </c>
      <c r="N1659" s="240">
        <v>0</v>
      </c>
    </row>
    <row r="1660" spans="1:14" x14ac:dyDescent="0.3">
      <c r="A1660" s="135" t="s">
        <v>464</v>
      </c>
      <c r="B1660" s="137" t="s">
        <v>412</v>
      </c>
      <c r="C1660" s="137">
        <v>8</v>
      </c>
      <c r="D1660" s="9">
        <v>70.2</v>
      </c>
      <c r="E1660" s="8">
        <v>0</v>
      </c>
      <c r="F1660" s="8">
        <v>59.71875</v>
      </c>
      <c r="G1660" s="18">
        <v>7.34375</v>
      </c>
      <c r="H1660" s="240">
        <v>0</v>
      </c>
      <c r="I1660" s="240">
        <v>0</v>
      </c>
      <c r="J1660" s="240">
        <v>0</v>
      </c>
      <c r="K1660" s="240">
        <v>0</v>
      </c>
      <c r="L1660" s="240">
        <v>0</v>
      </c>
      <c r="M1660" s="240">
        <v>0</v>
      </c>
      <c r="N1660" s="240">
        <v>0</v>
      </c>
    </row>
    <row r="1661" spans="1:14" x14ac:dyDescent="0.3">
      <c r="A1661" s="135" t="s">
        <v>464</v>
      </c>
      <c r="B1661" s="137" t="s">
        <v>412</v>
      </c>
      <c r="C1661" s="137">
        <v>9</v>
      </c>
      <c r="D1661" s="9">
        <v>70.2</v>
      </c>
      <c r="E1661" s="8">
        <v>0</v>
      </c>
      <c r="F1661" s="8">
        <v>61.25</v>
      </c>
      <c r="G1661" s="18">
        <v>7.75</v>
      </c>
      <c r="H1661" s="240">
        <v>0</v>
      </c>
      <c r="I1661" s="240">
        <v>0</v>
      </c>
      <c r="J1661" s="240">
        <v>0</v>
      </c>
      <c r="K1661" s="240">
        <v>0</v>
      </c>
      <c r="L1661" s="240">
        <v>0</v>
      </c>
      <c r="M1661" s="240">
        <v>0</v>
      </c>
      <c r="N1661" s="240">
        <v>0</v>
      </c>
    </row>
    <row r="1662" spans="1:14" x14ac:dyDescent="0.3">
      <c r="A1662" s="135" t="s">
        <v>464</v>
      </c>
      <c r="B1662" s="137" t="s">
        <v>412</v>
      </c>
      <c r="C1662" s="137">
        <v>10</v>
      </c>
      <c r="D1662" s="9">
        <v>70.2</v>
      </c>
      <c r="E1662" s="8">
        <v>0</v>
      </c>
      <c r="F1662" s="8">
        <v>62.475000000000001</v>
      </c>
      <c r="G1662" s="18">
        <v>8.15</v>
      </c>
      <c r="H1662" s="240">
        <v>0</v>
      </c>
      <c r="I1662" s="240">
        <v>0</v>
      </c>
      <c r="J1662" s="240">
        <v>0</v>
      </c>
      <c r="K1662" s="240">
        <v>0</v>
      </c>
      <c r="L1662" s="240">
        <v>0</v>
      </c>
      <c r="M1662" s="240">
        <v>0</v>
      </c>
      <c r="N1662" s="240">
        <v>0</v>
      </c>
    </row>
    <row r="1663" spans="1:14" x14ac:dyDescent="0.3">
      <c r="A1663" s="135" t="s">
        <v>464</v>
      </c>
      <c r="B1663" s="137" t="s">
        <v>412</v>
      </c>
      <c r="C1663" s="137">
        <v>11</v>
      </c>
      <c r="D1663" s="9">
        <v>70.2</v>
      </c>
      <c r="E1663" s="8">
        <v>0</v>
      </c>
      <c r="F1663" s="8">
        <v>63.477272999999997</v>
      </c>
      <c r="G1663" s="18">
        <v>8.5227269999999997</v>
      </c>
      <c r="H1663" s="240">
        <v>0</v>
      </c>
      <c r="I1663" s="240">
        <v>0</v>
      </c>
      <c r="J1663" s="240">
        <v>0</v>
      </c>
      <c r="K1663" s="240">
        <v>0</v>
      </c>
      <c r="L1663" s="240">
        <v>0</v>
      </c>
      <c r="M1663" s="240">
        <v>0</v>
      </c>
      <c r="N1663" s="240">
        <v>0</v>
      </c>
    </row>
    <row r="1664" spans="1:14" x14ac:dyDescent="0.3">
      <c r="A1664" s="135" t="s">
        <v>464</v>
      </c>
      <c r="B1664" s="137" t="s">
        <v>412</v>
      </c>
      <c r="C1664" s="137">
        <v>12</v>
      </c>
      <c r="D1664" s="9">
        <v>70.2</v>
      </c>
      <c r="E1664" s="8">
        <v>0</v>
      </c>
      <c r="F1664" s="8">
        <v>64.3125</v>
      </c>
      <c r="G1664" s="18">
        <v>8.875</v>
      </c>
      <c r="H1664" s="240">
        <v>0</v>
      </c>
      <c r="I1664" s="240">
        <v>0</v>
      </c>
      <c r="J1664" s="240">
        <v>0</v>
      </c>
      <c r="K1664" s="240">
        <v>0</v>
      </c>
      <c r="L1664" s="240">
        <v>0</v>
      </c>
      <c r="M1664" s="240">
        <v>0</v>
      </c>
      <c r="N1664" s="240">
        <v>0</v>
      </c>
    </row>
    <row r="1665" spans="1:14" x14ac:dyDescent="0.3">
      <c r="A1665" s="135" t="s">
        <v>464</v>
      </c>
      <c r="B1665" s="137" t="s">
        <v>412</v>
      </c>
      <c r="C1665" s="137">
        <v>13</v>
      </c>
      <c r="D1665" s="9">
        <v>70.2</v>
      </c>
      <c r="E1665" s="8">
        <v>0</v>
      </c>
      <c r="F1665" s="8">
        <v>65.019231000000005</v>
      </c>
      <c r="G1665" s="18">
        <v>9.2115379999999991</v>
      </c>
      <c r="H1665" s="240">
        <v>0</v>
      </c>
      <c r="I1665" s="240">
        <v>0</v>
      </c>
      <c r="J1665" s="240">
        <v>0</v>
      </c>
      <c r="K1665" s="240">
        <v>0</v>
      </c>
      <c r="L1665" s="240">
        <v>0</v>
      </c>
      <c r="M1665" s="240">
        <v>0</v>
      </c>
      <c r="N1665" s="240">
        <v>0</v>
      </c>
    </row>
    <row r="1666" spans="1:14" x14ac:dyDescent="0.3">
      <c r="A1666" s="135" t="s">
        <v>464</v>
      </c>
      <c r="B1666" s="137" t="s">
        <v>412</v>
      </c>
      <c r="C1666" s="137">
        <v>14</v>
      </c>
      <c r="D1666" s="9">
        <v>70.2</v>
      </c>
      <c r="E1666" s="8">
        <v>0</v>
      </c>
      <c r="F1666" s="8">
        <v>65.625</v>
      </c>
      <c r="G1666" s="18">
        <v>9.5357140000000005</v>
      </c>
      <c r="H1666" s="240">
        <v>0</v>
      </c>
      <c r="I1666" s="240">
        <v>0</v>
      </c>
      <c r="J1666" s="240">
        <v>0</v>
      </c>
      <c r="K1666" s="240">
        <v>0</v>
      </c>
      <c r="L1666" s="240">
        <v>0</v>
      </c>
      <c r="M1666" s="240">
        <v>0</v>
      </c>
      <c r="N1666" s="240">
        <v>0</v>
      </c>
    </row>
    <row r="1667" spans="1:14" x14ac:dyDescent="0.3">
      <c r="A1667" s="135" t="s">
        <v>464</v>
      </c>
      <c r="B1667" s="137" t="s">
        <v>412</v>
      </c>
      <c r="C1667" s="137">
        <v>15</v>
      </c>
      <c r="D1667" s="9">
        <v>70.2</v>
      </c>
      <c r="E1667" s="8">
        <v>0</v>
      </c>
      <c r="F1667" s="8">
        <v>66.150000000000006</v>
      </c>
      <c r="G1667" s="18">
        <v>9.85</v>
      </c>
      <c r="H1667" s="240">
        <v>0</v>
      </c>
      <c r="I1667" s="240">
        <v>0</v>
      </c>
      <c r="J1667" s="240">
        <v>0</v>
      </c>
      <c r="K1667" s="240">
        <v>0</v>
      </c>
      <c r="L1667" s="240">
        <v>0</v>
      </c>
      <c r="M1667" s="240">
        <v>0</v>
      </c>
      <c r="N1667" s="240">
        <v>0</v>
      </c>
    </row>
    <row r="1668" spans="1:14" x14ac:dyDescent="0.3">
      <c r="A1668" s="135" t="s">
        <v>464</v>
      </c>
      <c r="B1668" s="137" t="s">
        <v>412</v>
      </c>
      <c r="C1668" s="137">
        <v>16</v>
      </c>
      <c r="D1668" s="9">
        <v>70.2</v>
      </c>
      <c r="E1668" s="8">
        <v>0</v>
      </c>
      <c r="F1668" s="8">
        <v>67.757812000000001</v>
      </c>
      <c r="G1668" s="18">
        <v>10.234375</v>
      </c>
      <c r="H1668" s="240">
        <v>0</v>
      </c>
      <c r="I1668" s="240">
        <v>0</v>
      </c>
      <c r="J1668" s="240">
        <v>0</v>
      </c>
      <c r="K1668" s="240">
        <v>0</v>
      </c>
      <c r="L1668" s="240">
        <v>0</v>
      </c>
      <c r="M1668" s="240">
        <v>0</v>
      </c>
      <c r="N1668" s="240">
        <v>0</v>
      </c>
    </row>
    <row r="1669" spans="1:14" x14ac:dyDescent="0.3">
      <c r="A1669" s="135" t="s">
        <v>464</v>
      </c>
      <c r="B1669" s="137" t="s">
        <v>412</v>
      </c>
      <c r="C1669" s="137">
        <v>17</v>
      </c>
      <c r="D1669" s="9">
        <v>70.2</v>
      </c>
      <c r="E1669" s="8">
        <v>0</v>
      </c>
      <c r="F1669" s="8">
        <v>69.176471000000006</v>
      </c>
      <c r="G1669" s="18">
        <v>10.588234999999999</v>
      </c>
      <c r="H1669" s="240">
        <v>0</v>
      </c>
      <c r="I1669" s="240">
        <v>0</v>
      </c>
      <c r="J1669" s="240">
        <v>0</v>
      </c>
      <c r="K1669" s="240">
        <v>0</v>
      </c>
      <c r="L1669" s="240">
        <v>0</v>
      </c>
      <c r="M1669" s="240">
        <v>0</v>
      </c>
      <c r="N1669" s="240">
        <v>0</v>
      </c>
    </row>
    <row r="1670" spans="1:14" x14ac:dyDescent="0.3">
      <c r="A1670" s="135" t="s">
        <v>464</v>
      </c>
      <c r="B1670" s="137" t="s">
        <v>412</v>
      </c>
      <c r="C1670" s="137">
        <v>18</v>
      </c>
      <c r="D1670" s="9">
        <v>70.2</v>
      </c>
      <c r="E1670" s="8">
        <v>0</v>
      </c>
      <c r="F1670" s="8">
        <v>70.4375</v>
      </c>
      <c r="G1670" s="18">
        <v>10.930555999999999</v>
      </c>
      <c r="H1670" s="240">
        <v>0</v>
      </c>
      <c r="I1670" s="240">
        <v>0</v>
      </c>
      <c r="J1670" s="240">
        <v>0</v>
      </c>
      <c r="K1670" s="240">
        <v>0</v>
      </c>
      <c r="L1670" s="240">
        <v>0</v>
      </c>
      <c r="M1670" s="240">
        <v>0</v>
      </c>
      <c r="N1670" s="240">
        <v>0</v>
      </c>
    </row>
    <row r="1671" spans="1:14" x14ac:dyDescent="0.3">
      <c r="A1671" s="135" t="s">
        <v>464</v>
      </c>
      <c r="B1671" s="137" t="s">
        <v>412</v>
      </c>
      <c r="C1671" s="137">
        <v>19</v>
      </c>
      <c r="D1671" s="9">
        <v>70.2</v>
      </c>
      <c r="E1671" s="8">
        <v>0</v>
      </c>
      <c r="F1671" s="8">
        <v>71.565788999999995</v>
      </c>
      <c r="G1671" s="18">
        <v>11.276316</v>
      </c>
      <c r="H1671" s="240">
        <v>0</v>
      </c>
      <c r="I1671" s="240">
        <v>0</v>
      </c>
      <c r="J1671" s="240">
        <v>0</v>
      </c>
      <c r="K1671" s="240">
        <v>0</v>
      </c>
      <c r="L1671" s="240">
        <v>0</v>
      </c>
      <c r="M1671" s="240">
        <v>0</v>
      </c>
      <c r="N1671" s="240">
        <v>0</v>
      </c>
    </row>
    <row r="1672" spans="1:14" x14ac:dyDescent="0.3">
      <c r="A1672" s="135" t="s">
        <v>464</v>
      </c>
      <c r="B1672" s="137" t="s">
        <v>412</v>
      </c>
      <c r="C1672" s="137">
        <v>20</v>
      </c>
      <c r="D1672" s="9">
        <v>70.2</v>
      </c>
      <c r="E1672" s="8">
        <v>0</v>
      </c>
      <c r="F1672" s="8">
        <v>72.581249999999997</v>
      </c>
      <c r="G1672" s="18">
        <v>11.6</v>
      </c>
      <c r="H1672" s="240">
        <v>0</v>
      </c>
      <c r="I1672" s="240">
        <v>0</v>
      </c>
      <c r="J1672" s="240">
        <v>0</v>
      </c>
      <c r="K1672" s="240">
        <v>0</v>
      </c>
      <c r="L1672" s="240">
        <v>0</v>
      </c>
      <c r="M1672" s="240">
        <v>0</v>
      </c>
      <c r="N1672" s="240">
        <v>0</v>
      </c>
    </row>
    <row r="1673" spans="1:14" x14ac:dyDescent="0.3">
      <c r="A1673" s="135" t="s">
        <v>464</v>
      </c>
      <c r="B1673" s="137" t="s">
        <v>412</v>
      </c>
      <c r="C1673" s="137">
        <v>21</v>
      </c>
      <c r="D1673" s="9">
        <v>70.2</v>
      </c>
      <c r="E1673" s="8">
        <v>0</v>
      </c>
      <c r="F1673" s="8">
        <v>73.5</v>
      </c>
      <c r="G1673" s="18">
        <v>11.916667</v>
      </c>
      <c r="H1673" s="240">
        <v>0</v>
      </c>
      <c r="I1673" s="240">
        <v>0</v>
      </c>
      <c r="J1673" s="240">
        <v>0</v>
      </c>
      <c r="K1673" s="240">
        <v>0</v>
      </c>
      <c r="L1673" s="240">
        <v>0</v>
      </c>
      <c r="M1673" s="240">
        <v>0</v>
      </c>
      <c r="N1673" s="240">
        <v>0</v>
      </c>
    </row>
    <row r="1674" spans="1:14" x14ac:dyDescent="0.3">
      <c r="A1674" s="135" t="s">
        <v>464</v>
      </c>
      <c r="B1674" s="137" t="s">
        <v>412</v>
      </c>
      <c r="C1674" s="137">
        <v>22</v>
      </c>
      <c r="D1674" s="9">
        <v>70.2</v>
      </c>
      <c r="E1674" s="8">
        <v>0</v>
      </c>
      <c r="F1674" s="8">
        <v>74.335227000000003</v>
      </c>
      <c r="G1674" s="18">
        <v>12.227273</v>
      </c>
      <c r="H1674" s="240">
        <v>0</v>
      </c>
      <c r="I1674" s="240">
        <v>0</v>
      </c>
      <c r="J1674" s="240">
        <v>0</v>
      </c>
      <c r="K1674" s="240">
        <v>0</v>
      </c>
      <c r="L1674" s="240">
        <v>0</v>
      </c>
      <c r="M1674" s="240">
        <v>0</v>
      </c>
      <c r="N1674" s="240">
        <v>0</v>
      </c>
    </row>
    <row r="1675" spans="1:14" x14ac:dyDescent="0.3">
      <c r="A1675" s="135" t="s">
        <v>464</v>
      </c>
      <c r="B1675" s="137" t="s">
        <v>412</v>
      </c>
      <c r="C1675" s="137">
        <v>23</v>
      </c>
      <c r="D1675" s="9">
        <v>70.2</v>
      </c>
      <c r="E1675" s="8">
        <v>0</v>
      </c>
      <c r="F1675" s="8">
        <v>75.097825999999998</v>
      </c>
      <c r="G1675" s="18">
        <v>12.532609000000001</v>
      </c>
      <c r="H1675" s="240">
        <v>0</v>
      </c>
      <c r="I1675" s="240">
        <v>0</v>
      </c>
      <c r="J1675" s="240">
        <v>0</v>
      </c>
      <c r="K1675" s="240">
        <v>0</v>
      </c>
      <c r="L1675" s="240">
        <v>0</v>
      </c>
      <c r="M1675" s="240">
        <v>0</v>
      </c>
      <c r="N1675" s="240">
        <v>0</v>
      </c>
    </row>
    <row r="1676" spans="1:14" x14ac:dyDescent="0.3">
      <c r="A1676" s="135" t="s">
        <v>464</v>
      </c>
      <c r="B1676" s="137" t="s">
        <v>412</v>
      </c>
      <c r="C1676" s="137">
        <v>24</v>
      </c>
      <c r="D1676" s="9">
        <v>70.2</v>
      </c>
      <c r="E1676" s="8">
        <v>0</v>
      </c>
      <c r="F1676" s="8">
        <v>75.796875</v>
      </c>
      <c r="G1676" s="18">
        <v>12.822917</v>
      </c>
      <c r="H1676" s="240">
        <v>0</v>
      </c>
      <c r="I1676" s="240">
        <v>0</v>
      </c>
      <c r="J1676" s="240">
        <v>0</v>
      </c>
      <c r="K1676" s="240">
        <v>0</v>
      </c>
      <c r="L1676" s="240">
        <v>0</v>
      </c>
      <c r="M1676" s="240">
        <v>0</v>
      </c>
      <c r="N1676" s="240">
        <v>0</v>
      </c>
    </row>
    <row r="1677" spans="1:14" x14ac:dyDescent="0.3">
      <c r="A1677" s="135" t="s">
        <v>464</v>
      </c>
      <c r="B1677" s="137" t="s">
        <v>412</v>
      </c>
      <c r="C1677" s="137">
        <v>25</v>
      </c>
      <c r="D1677" s="9">
        <v>70.2</v>
      </c>
      <c r="E1677" s="8">
        <v>0</v>
      </c>
      <c r="F1677" s="8">
        <v>76.44</v>
      </c>
      <c r="G1677" s="18">
        <v>13.12</v>
      </c>
      <c r="H1677" s="240">
        <v>0</v>
      </c>
      <c r="I1677" s="240">
        <v>0</v>
      </c>
      <c r="J1677" s="240">
        <v>0</v>
      </c>
      <c r="K1677" s="240">
        <v>0</v>
      </c>
      <c r="L1677" s="240">
        <v>0</v>
      </c>
      <c r="M1677" s="240">
        <v>0</v>
      </c>
      <c r="N1677" s="240">
        <v>0</v>
      </c>
    </row>
    <row r="1678" spans="1:14" x14ac:dyDescent="0.3">
      <c r="A1678" s="135" t="s">
        <v>464</v>
      </c>
      <c r="B1678" s="137" t="s">
        <v>412</v>
      </c>
      <c r="C1678" s="137">
        <v>26</v>
      </c>
      <c r="D1678" s="9">
        <v>70.2</v>
      </c>
      <c r="E1678" s="8">
        <v>0</v>
      </c>
      <c r="F1678" s="8">
        <v>77.033653999999999</v>
      </c>
      <c r="G1678" s="18">
        <v>13.403846</v>
      </c>
      <c r="H1678" s="240">
        <v>0</v>
      </c>
      <c r="I1678" s="240">
        <v>0</v>
      </c>
      <c r="J1678" s="240">
        <v>0</v>
      </c>
      <c r="K1678" s="240">
        <v>0</v>
      </c>
      <c r="L1678" s="240">
        <v>0</v>
      </c>
      <c r="M1678" s="240">
        <v>0</v>
      </c>
      <c r="N1678" s="240">
        <v>0</v>
      </c>
    </row>
    <row r="1679" spans="1:14" x14ac:dyDescent="0.3">
      <c r="A1679" s="135" t="s">
        <v>464</v>
      </c>
      <c r="B1679" s="137" t="s">
        <v>412</v>
      </c>
      <c r="C1679" s="137">
        <v>27</v>
      </c>
      <c r="D1679" s="9">
        <v>70.2</v>
      </c>
      <c r="E1679" s="8">
        <v>0</v>
      </c>
      <c r="F1679" s="8">
        <v>77.583332999999996</v>
      </c>
      <c r="G1679" s="18">
        <v>13.675926</v>
      </c>
      <c r="H1679" s="240">
        <v>0</v>
      </c>
      <c r="I1679" s="240">
        <v>0</v>
      </c>
      <c r="J1679" s="240">
        <v>0</v>
      </c>
      <c r="K1679" s="240">
        <v>0</v>
      </c>
      <c r="L1679" s="240">
        <v>0</v>
      </c>
      <c r="M1679" s="240">
        <v>0</v>
      </c>
      <c r="N1679" s="240">
        <v>0</v>
      </c>
    </row>
    <row r="1680" spans="1:14" x14ac:dyDescent="0.3">
      <c r="A1680" s="135" t="s">
        <v>464</v>
      </c>
      <c r="B1680" s="137" t="s">
        <v>412</v>
      </c>
      <c r="C1680" s="137">
        <v>28</v>
      </c>
      <c r="D1680" s="9">
        <v>70.2</v>
      </c>
      <c r="E1680" s="8">
        <v>0</v>
      </c>
      <c r="F1680" s="8">
        <v>78.09375</v>
      </c>
      <c r="G1680" s="18">
        <v>13.946429</v>
      </c>
      <c r="H1680" s="240">
        <v>0</v>
      </c>
      <c r="I1680" s="240">
        <v>0</v>
      </c>
      <c r="J1680" s="240">
        <v>0</v>
      </c>
      <c r="K1680" s="240">
        <v>0</v>
      </c>
      <c r="L1680" s="240">
        <v>0</v>
      </c>
      <c r="M1680" s="240">
        <v>0</v>
      </c>
      <c r="N1680" s="240">
        <v>0</v>
      </c>
    </row>
    <row r="1681" spans="1:14" x14ac:dyDescent="0.3">
      <c r="A1681" s="135" t="s">
        <v>464</v>
      </c>
      <c r="B1681" s="137" t="s">
        <v>412</v>
      </c>
      <c r="C1681" s="137">
        <v>29</v>
      </c>
      <c r="D1681" s="9">
        <v>70.2</v>
      </c>
      <c r="E1681" s="8">
        <v>0</v>
      </c>
      <c r="F1681" s="8">
        <v>79.202585999999997</v>
      </c>
      <c r="G1681" s="18">
        <v>14.267241</v>
      </c>
      <c r="H1681" s="240">
        <v>0</v>
      </c>
      <c r="I1681" s="240">
        <v>0</v>
      </c>
      <c r="J1681" s="240">
        <v>0</v>
      </c>
      <c r="K1681" s="240">
        <v>0</v>
      </c>
      <c r="L1681" s="240">
        <v>0</v>
      </c>
      <c r="M1681" s="240">
        <v>0</v>
      </c>
      <c r="N1681" s="240">
        <v>0</v>
      </c>
    </row>
    <row r="1682" spans="1:14" x14ac:dyDescent="0.3">
      <c r="A1682" s="138" t="s">
        <v>464</v>
      </c>
      <c r="B1682" s="137" t="s">
        <v>412</v>
      </c>
      <c r="C1682" s="137">
        <v>30</v>
      </c>
      <c r="D1682" s="9">
        <v>70.2</v>
      </c>
      <c r="E1682" s="8">
        <v>0</v>
      </c>
      <c r="F1682" s="8">
        <v>80.237499999999997</v>
      </c>
      <c r="G1682" s="18">
        <v>14.574999999999999</v>
      </c>
      <c r="H1682" s="240">
        <v>0</v>
      </c>
      <c r="I1682" s="240">
        <v>0</v>
      </c>
      <c r="J1682" s="240">
        <v>0</v>
      </c>
      <c r="K1682" s="240">
        <v>0</v>
      </c>
      <c r="L1682" s="240">
        <v>0</v>
      </c>
      <c r="M1682" s="240">
        <v>0</v>
      </c>
      <c r="N1682" s="240">
        <v>0</v>
      </c>
    </row>
    <row r="1683" spans="1:14" x14ac:dyDescent="0.3">
      <c r="A1683" s="144" t="s">
        <v>464</v>
      </c>
      <c r="B1683" s="145" t="s">
        <v>413</v>
      </c>
      <c r="C1683" s="143">
        <v>1</v>
      </c>
      <c r="D1683" s="9">
        <v>70.2</v>
      </c>
      <c r="E1683" s="8">
        <v>19.285</v>
      </c>
      <c r="F1683" s="8">
        <v>5.4880000000000004</v>
      </c>
      <c r="G1683" s="18">
        <v>10</v>
      </c>
      <c r="H1683" s="240">
        <v>0</v>
      </c>
      <c r="I1683" s="240">
        <v>0</v>
      </c>
      <c r="J1683" s="240">
        <v>0</v>
      </c>
      <c r="K1683" s="240">
        <v>0</v>
      </c>
      <c r="L1683" s="240">
        <v>0</v>
      </c>
      <c r="M1683" s="240">
        <v>0</v>
      </c>
      <c r="N1683" s="240">
        <v>0</v>
      </c>
    </row>
    <row r="1684" spans="1:14" x14ac:dyDescent="0.3">
      <c r="A1684" s="135" t="s">
        <v>464</v>
      </c>
      <c r="B1684" s="136" t="s">
        <v>413</v>
      </c>
      <c r="C1684" s="137">
        <v>2</v>
      </c>
      <c r="D1684" s="9">
        <v>70.2</v>
      </c>
      <c r="E1684" s="8">
        <v>20.947500000000002</v>
      </c>
      <c r="F1684" s="8">
        <v>5.4880000000000004</v>
      </c>
      <c r="G1684" s="18">
        <v>10.3</v>
      </c>
      <c r="H1684" s="240">
        <v>0</v>
      </c>
      <c r="I1684" s="240">
        <v>0</v>
      </c>
      <c r="J1684" s="240">
        <v>0</v>
      </c>
      <c r="K1684" s="240">
        <v>0</v>
      </c>
      <c r="L1684" s="240">
        <v>0</v>
      </c>
      <c r="M1684" s="240">
        <v>0</v>
      </c>
      <c r="N1684" s="240">
        <v>0</v>
      </c>
    </row>
    <row r="1685" spans="1:14" x14ac:dyDescent="0.3">
      <c r="A1685" s="135" t="s">
        <v>464</v>
      </c>
      <c r="B1685" s="137" t="s">
        <v>413</v>
      </c>
      <c r="C1685" s="137">
        <v>3</v>
      </c>
      <c r="D1685" s="9">
        <v>70.2</v>
      </c>
      <c r="E1685" s="8">
        <v>21.501667000000001</v>
      </c>
      <c r="F1685" s="8">
        <v>7.0279999999999996</v>
      </c>
      <c r="G1685" s="18">
        <v>10.666667</v>
      </c>
      <c r="H1685" s="240">
        <v>0</v>
      </c>
      <c r="I1685" s="240">
        <v>0</v>
      </c>
      <c r="J1685" s="240">
        <v>0</v>
      </c>
      <c r="K1685" s="240">
        <v>0</v>
      </c>
      <c r="L1685" s="240">
        <v>0</v>
      </c>
      <c r="M1685" s="240">
        <v>0</v>
      </c>
      <c r="N1685" s="240">
        <v>0</v>
      </c>
    </row>
    <row r="1686" spans="1:14" x14ac:dyDescent="0.3">
      <c r="A1686" s="135" t="s">
        <v>464</v>
      </c>
      <c r="B1686" s="137" t="s">
        <v>413</v>
      </c>
      <c r="C1686" s="137">
        <v>4</v>
      </c>
      <c r="D1686" s="9">
        <v>70.2</v>
      </c>
      <c r="E1686" s="8">
        <v>21.778749999999999</v>
      </c>
      <c r="F1686" s="8">
        <v>7.798</v>
      </c>
      <c r="G1686" s="18">
        <v>11.4375</v>
      </c>
      <c r="H1686" s="240">
        <v>0</v>
      </c>
      <c r="I1686" s="240">
        <v>0</v>
      </c>
      <c r="J1686" s="240">
        <v>0</v>
      </c>
      <c r="K1686" s="240">
        <v>0</v>
      </c>
      <c r="L1686" s="240">
        <v>0</v>
      </c>
      <c r="M1686" s="240">
        <v>0</v>
      </c>
      <c r="N1686" s="240">
        <v>0</v>
      </c>
    </row>
    <row r="1687" spans="1:14" x14ac:dyDescent="0.3">
      <c r="A1687" s="135" t="s">
        <v>464</v>
      </c>
      <c r="B1687" s="137" t="s">
        <v>413</v>
      </c>
      <c r="C1687" s="137">
        <v>5</v>
      </c>
      <c r="D1687" s="9">
        <v>70.2</v>
      </c>
      <c r="E1687" s="8">
        <v>21.945</v>
      </c>
      <c r="F1687" s="8">
        <v>8.26</v>
      </c>
      <c r="G1687" s="18">
        <v>12.15</v>
      </c>
      <c r="H1687" s="240">
        <v>0</v>
      </c>
      <c r="I1687" s="240">
        <v>0</v>
      </c>
      <c r="J1687" s="240">
        <v>0</v>
      </c>
      <c r="K1687" s="240">
        <v>0</v>
      </c>
      <c r="L1687" s="240">
        <v>0</v>
      </c>
      <c r="M1687" s="240">
        <v>0</v>
      </c>
      <c r="N1687" s="240">
        <v>0</v>
      </c>
    </row>
    <row r="1688" spans="1:14" x14ac:dyDescent="0.3">
      <c r="A1688" s="135" t="s">
        <v>464</v>
      </c>
      <c r="B1688" s="137" t="s">
        <v>413</v>
      </c>
      <c r="C1688" s="137">
        <v>6</v>
      </c>
      <c r="D1688" s="9">
        <v>70.2</v>
      </c>
      <c r="E1688" s="8">
        <v>22.055833</v>
      </c>
      <c r="F1688" s="8">
        <v>8.5679999999999996</v>
      </c>
      <c r="G1688" s="18">
        <v>12.916667</v>
      </c>
      <c r="H1688" s="240">
        <v>0</v>
      </c>
      <c r="I1688" s="240">
        <v>0</v>
      </c>
      <c r="J1688" s="240">
        <v>0</v>
      </c>
      <c r="K1688" s="240">
        <v>0</v>
      </c>
      <c r="L1688" s="240">
        <v>0</v>
      </c>
      <c r="M1688" s="240">
        <v>0</v>
      </c>
      <c r="N1688" s="240">
        <v>0</v>
      </c>
    </row>
    <row r="1689" spans="1:14" x14ac:dyDescent="0.3">
      <c r="A1689" s="135" t="s">
        <v>464</v>
      </c>
      <c r="B1689" s="137" t="s">
        <v>413</v>
      </c>
      <c r="C1689" s="137">
        <v>7</v>
      </c>
      <c r="D1689" s="9">
        <v>70.2</v>
      </c>
      <c r="E1689" s="8">
        <v>22.135000000000002</v>
      </c>
      <c r="F1689" s="8">
        <v>9.6479999999999997</v>
      </c>
      <c r="G1689" s="18">
        <v>13.678571</v>
      </c>
      <c r="H1689" s="240">
        <v>0</v>
      </c>
      <c r="I1689" s="240">
        <v>0</v>
      </c>
      <c r="J1689" s="240">
        <v>0</v>
      </c>
      <c r="K1689" s="240">
        <v>0</v>
      </c>
      <c r="L1689" s="240">
        <v>0</v>
      </c>
      <c r="M1689" s="240">
        <v>0</v>
      </c>
      <c r="N1689" s="240">
        <v>0</v>
      </c>
    </row>
    <row r="1690" spans="1:14" x14ac:dyDescent="0.3">
      <c r="A1690" s="135" t="s">
        <v>464</v>
      </c>
      <c r="B1690" s="137" t="s">
        <v>413</v>
      </c>
      <c r="C1690" s="137">
        <v>8</v>
      </c>
      <c r="D1690" s="9">
        <v>70.2</v>
      </c>
      <c r="E1690" s="8">
        <v>22.194375000000001</v>
      </c>
      <c r="F1690" s="8">
        <v>10.458</v>
      </c>
      <c r="G1690" s="18">
        <v>14.40625</v>
      </c>
      <c r="H1690" s="240">
        <v>0</v>
      </c>
      <c r="I1690" s="240">
        <v>0</v>
      </c>
      <c r="J1690" s="240">
        <v>0</v>
      </c>
      <c r="K1690" s="240">
        <v>0</v>
      </c>
      <c r="L1690" s="240">
        <v>0</v>
      </c>
      <c r="M1690" s="240">
        <v>0</v>
      </c>
      <c r="N1690" s="240">
        <v>0</v>
      </c>
    </row>
    <row r="1691" spans="1:14" x14ac:dyDescent="0.3">
      <c r="A1691" s="135" t="s">
        <v>464</v>
      </c>
      <c r="B1691" s="137" t="s">
        <v>413</v>
      </c>
      <c r="C1691" s="137">
        <v>9</v>
      </c>
      <c r="D1691" s="9">
        <v>70.2</v>
      </c>
      <c r="E1691" s="8">
        <v>22.240556000000002</v>
      </c>
      <c r="F1691" s="8">
        <v>11.087999999999999</v>
      </c>
      <c r="G1691" s="18">
        <v>15.111110999999999</v>
      </c>
      <c r="H1691" s="240">
        <v>0</v>
      </c>
      <c r="I1691" s="240">
        <v>0</v>
      </c>
      <c r="J1691" s="240">
        <v>0</v>
      </c>
      <c r="K1691" s="240">
        <v>0</v>
      </c>
      <c r="L1691" s="240">
        <v>0</v>
      </c>
      <c r="M1691" s="240">
        <v>0</v>
      </c>
      <c r="N1691" s="240">
        <v>0</v>
      </c>
    </row>
    <row r="1692" spans="1:14" x14ac:dyDescent="0.3">
      <c r="A1692" s="135" t="s">
        <v>464</v>
      </c>
      <c r="B1692" s="137" t="s">
        <v>413</v>
      </c>
      <c r="C1692" s="137">
        <v>10</v>
      </c>
      <c r="D1692" s="9">
        <v>70.2</v>
      </c>
      <c r="E1692" s="8">
        <v>22.2775</v>
      </c>
      <c r="F1692" s="8">
        <v>11.592000000000001</v>
      </c>
      <c r="G1692" s="18">
        <v>15.8</v>
      </c>
      <c r="H1692" s="240">
        <v>0</v>
      </c>
      <c r="I1692" s="240">
        <v>0</v>
      </c>
      <c r="J1692" s="240">
        <v>0</v>
      </c>
      <c r="K1692" s="240">
        <v>0</v>
      </c>
      <c r="L1692" s="240">
        <v>0</v>
      </c>
      <c r="M1692" s="240">
        <v>0</v>
      </c>
      <c r="N1692" s="240">
        <v>0</v>
      </c>
    </row>
    <row r="1693" spans="1:14" x14ac:dyDescent="0.3">
      <c r="A1693" s="135" t="s">
        <v>464</v>
      </c>
      <c r="B1693" s="137" t="s">
        <v>413</v>
      </c>
      <c r="C1693" s="137">
        <v>11</v>
      </c>
      <c r="D1693" s="9">
        <v>70.2</v>
      </c>
      <c r="E1693" s="8">
        <v>22.307727</v>
      </c>
      <c r="F1693" s="8">
        <v>12.004364000000001</v>
      </c>
      <c r="G1693" s="18">
        <v>16.454545</v>
      </c>
      <c r="H1693" s="240">
        <v>0</v>
      </c>
      <c r="I1693" s="240">
        <v>0</v>
      </c>
      <c r="J1693" s="240">
        <v>0</v>
      </c>
      <c r="K1693" s="240">
        <v>0</v>
      </c>
      <c r="L1693" s="240">
        <v>0</v>
      </c>
      <c r="M1693" s="240">
        <v>0</v>
      </c>
      <c r="N1693" s="240">
        <v>0</v>
      </c>
    </row>
    <row r="1694" spans="1:14" x14ac:dyDescent="0.3">
      <c r="A1694" s="135" t="s">
        <v>464</v>
      </c>
      <c r="B1694" s="137" t="s">
        <v>413</v>
      </c>
      <c r="C1694" s="137">
        <v>12</v>
      </c>
      <c r="D1694" s="9">
        <v>70.2</v>
      </c>
      <c r="E1694" s="8">
        <v>22.332916999999998</v>
      </c>
      <c r="F1694" s="8">
        <v>12.966333000000001</v>
      </c>
      <c r="G1694" s="18">
        <v>17.145833</v>
      </c>
      <c r="H1694" s="240">
        <v>0</v>
      </c>
      <c r="I1694" s="240">
        <v>0</v>
      </c>
      <c r="J1694" s="240">
        <v>0</v>
      </c>
      <c r="K1694" s="240">
        <v>0</v>
      </c>
      <c r="L1694" s="240">
        <v>0</v>
      </c>
      <c r="M1694" s="240">
        <v>0</v>
      </c>
      <c r="N1694" s="240">
        <v>0</v>
      </c>
    </row>
    <row r="1695" spans="1:14" x14ac:dyDescent="0.3">
      <c r="A1695" s="135" t="s">
        <v>464</v>
      </c>
      <c r="B1695" s="137" t="s">
        <v>413</v>
      </c>
      <c r="C1695" s="137">
        <v>13</v>
      </c>
      <c r="D1695" s="9">
        <v>70.2</v>
      </c>
      <c r="E1695" s="8">
        <v>22.354230999999999</v>
      </c>
      <c r="F1695" s="8">
        <v>13.780308</v>
      </c>
      <c r="G1695" s="18">
        <v>17.807691999999999</v>
      </c>
      <c r="H1695" s="240">
        <v>0</v>
      </c>
      <c r="I1695" s="240">
        <v>0</v>
      </c>
      <c r="J1695" s="240">
        <v>0</v>
      </c>
      <c r="K1695" s="240">
        <v>0</v>
      </c>
      <c r="L1695" s="240">
        <v>0</v>
      </c>
      <c r="M1695" s="240">
        <v>0</v>
      </c>
      <c r="N1695" s="240">
        <v>0</v>
      </c>
    </row>
    <row r="1696" spans="1:14" x14ac:dyDescent="0.3">
      <c r="A1696" s="135" t="s">
        <v>464</v>
      </c>
      <c r="B1696" s="137" t="s">
        <v>413</v>
      </c>
      <c r="C1696" s="137">
        <v>14</v>
      </c>
      <c r="D1696" s="9">
        <v>70.2</v>
      </c>
      <c r="E1696" s="8">
        <v>22.372499999999999</v>
      </c>
      <c r="F1696" s="8">
        <v>14.478</v>
      </c>
      <c r="G1696" s="18">
        <v>18.446428999999998</v>
      </c>
      <c r="H1696" s="240">
        <v>0</v>
      </c>
      <c r="I1696" s="240">
        <v>0</v>
      </c>
      <c r="J1696" s="240">
        <v>0</v>
      </c>
      <c r="K1696" s="240">
        <v>0</v>
      </c>
      <c r="L1696" s="240">
        <v>0</v>
      </c>
      <c r="M1696" s="240">
        <v>0</v>
      </c>
      <c r="N1696" s="240">
        <v>0</v>
      </c>
    </row>
    <row r="1697" spans="1:14" x14ac:dyDescent="0.3">
      <c r="A1697" s="135" t="s">
        <v>464</v>
      </c>
      <c r="B1697" s="137" t="s">
        <v>413</v>
      </c>
      <c r="C1697" s="137">
        <v>15</v>
      </c>
      <c r="D1697" s="9">
        <v>70.2</v>
      </c>
      <c r="E1697" s="8">
        <v>22.388332999999999</v>
      </c>
      <c r="F1697" s="8">
        <v>15.082667000000001</v>
      </c>
      <c r="G1697" s="18">
        <v>19.066666999999999</v>
      </c>
      <c r="H1697" s="240">
        <v>0</v>
      </c>
      <c r="I1697" s="240">
        <v>0</v>
      </c>
      <c r="J1697" s="240">
        <v>0</v>
      </c>
      <c r="K1697" s="240">
        <v>0</v>
      </c>
      <c r="L1697" s="240">
        <v>0</v>
      </c>
      <c r="M1697" s="240">
        <v>0</v>
      </c>
      <c r="N1697" s="240">
        <v>0</v>
      </c>
    </row>
    <row r="1698" spans="1:14" x14ac:dyDescent="0.3">
      <c r="A1698" s="135" t="s">
        <v>464</v>
      </c>
      <c r="B1698" s="137" t="s">
        <v>413</v>
      </c>
      <c r="C1698" s="137">
        <v>16</v>
      </c>
      <c r="D1698" s="9">
        <v>70.2</v>
      </c>
      <c r="E1698" s="8">
        <v>22.402187000000001</v>
      </c>
      <c r="F1698" s="8">
        <v>15.611750000000001</v>
      </c>
      <c r="G1698" s="18">
        <v>19.671875</v>
      </c>
      <c r="H1698" s="240">
        <v>0</v>
      </c>
      <c r="I1698" s="240">
        <v>0</v>
      </c>
      <c r="J1698" s="240">
        <v>0</v>
      </c>
      <c r="K1698" s="240">
        <v>0</v>
      </c>
      <c r="L1698" s="240">
        <v>0</v>
      </c>
      <c r="M1698" s="240">
        <v>0</v>
      </c>
      <c r="N1698" s="240">
        <v>0</v>
      </c>
    </row>
    <row r="1699" spans="1:14" x14ac:dyDescent="0.3">
      <c r="A1699" s="135" t="s">
        <v>464</v>
      </c>
      <c r="B1699" s="137" t="s">
        <v>413</v>
      </c>
      <c r="C1699" s="137">
        <v>17</v>
      </c>
      <c r="D1699" s="9">
        <v>70.2</v>
      </c>
      <c r="E1699" s="8">
        <v>22.414411999999999</v>
      </c>
      <c r="F1699" s="8">
        <v>16.078588</v>
      </c>
      <c r="G1699" s="18">
        <v>20.25</v>
      </c>
      <c r="H1699" s="240">
        <v>0</v>
      </c>
      <c r="I1699" s="240">
        <v>0</v>
      </c>
      <c r="J1699" s="240">
        <v>0</v>
      </c>
      <c r="K1699" s="240">
        <v>0</v>
      </c>
      <c r="L1699" s="240">
        <v>0</v>
      </c>
      <c r="M1699" s="240">
        <v>0</v>
      </c>
      <c r="N1699" s="240">
        <v>0</v>
      </c>
    </row>
    <row r="1700" spans="1:14" x14ac:dyDescent="0.3">
      <c r="A1700" s="135" t="s">
        <v>464</v>
      </c>
      <c r="B1700" s="137" t="s">
        <v>413</v>
      </c>
      <c r="C1700" s="137">
        <v>18</v>
      </c>
      <c r="D1700" s="9">
        <v>70.2</v>
      </c>
      <c r="E1700" s="8">
        <v>22.425277999999999</v>
      </c>
      <c r="F1700" s="8">
        <v>16.983556</v>
      </c>
      <c r="G1700" s="18">
        <v>20.888888999999999</v>
      </c>
      <c r="H1700" s="240">
        <v>0</v>
      </c>
      <c r="I1700" s="240">
        <v>0</v>
      </c>
      <c r="J1700" s="240">
        <v>0</v>
      </c>
      <c r="K1700" s="240">
        <v>0</v>
      </c>
      <c r="L1700" s="240">
        <v>0</v>
      </c>
      <c r="M1700" s="240">
        <v>0</v>
      </c>
      <c r="N1700" s="240">
        <v>0</v>
      </c>
    </row>
    <row r="1701" spans="1:14" x14ac:dyDescent="0.3">
      <c r="A1701" s="135" t="s">
        <v>464</v>
      </c>
      <c r="B1701" s="137" t="s">
        <v>413</v>
      </c>
      <c r="C1701" s="137">
        <v>19</v>
      </c>
      <c r="D1701" s="9">
        <v>70.2</v>
      </c>
      <c r="E1701" s="8">
        <v>22.434999999999999</v>
      </c>
      <c r="F1701" s="8">
        <v>17.793263</v>
      </c>
      <c r="G1701" s="18">
        <v>21.5</v>
      </c>
      <c r="H1701" s="240">
        <v>0</v>
      </c>
      <c r="I1701" s="240">
        <v>0</v>
      </c>
      <c r="J1701" s="240">
        <v>0</v>
      </c>
      <c r="K1701" s="240">
        <v>0</v>
      </c>
      <c r="L1701" s="240">
        <v>0</v>
      </c>
      <c r="M1701" s="240">
        <v>0</v>
      </c>
      <c r="N1701" s="240">
        <v>0</v>
      </c>
    </row>
    <row r="1702" spans="1:14" x14ac:dyDescent="0.3">
      <c r="A1702" s="135" t="s">
        <v>464</v>
      </c>
      <c r="B1702" s="137" t="s">
        <v>413</v>
      </c>
      <c r="C1702" s="137">
        <v>20</v>
      </c>
      <c r="D1702" s="9">
        <v>70.2</v>
      </c>
      <c r="E1702" s="8">
        <v>22.443750000000001</v>
      </c>
      <c r="F1702" s="8">
        <v>18.521999999999998</v>
      </c>
      <c r="G1702" s="18">
        <v>22.087499999999999</v>
      </c>
      <c r="H1702" s="240">
        <v>0</v>
      </c>
      <c r="I1702" s="240">
        <v>0</v>
      </c>
      <c r="J1702" s="240">
        <v>0</v>
      </c>
      <c r="K1702" s="240">
        <v>0</v>
      </c>
      <c r="L1702" s="240">
        <v>0</v>
      </c>
      <c r="M1702" s="240">
        <v>0</v>
      </c>
      <c r="N1702" s="240">
        <v>0</v>
      </c>
    </row>
    <row r="1703" spans="1:14" x14ac:dyDescent="0.3">
      <c r="A1703" s="135" t="s">
        <v>464</v>
      </c>
      <c r="B1703" s="137" t="s">
        <v>413</v>
      </c>
      <c r="C1703" s="137">
        <v>21</v>
      </c>
      <c r="D1703" s="9">
        <v>70.2</v>
      </c>
      <c r="E1703" s="8">
        <v>22.451667</v>
      </c>
      <c r="F1703" s="8">
        <v>19.181332999999999</v>
      </c>
      <c r="G1703" s="18">
        <v>22.666667</v>
      </c>
      <c r="H1703" s="240">
        <v>0</v>
      </c>
      <c r="I1703" s="240">
        <v>0</v>
      </c>
      <c r="J1703" s="240">
        <v>0</v>
      </c>
      <c r="K1703" s="240">
        <v>0</v>
      </c>
      <c r="L1703" s="240">
        <v>0</v>
      </c>
      <c r="M1703" s="240">
        <v>0</v>
      </c>
      <c r="N1703" s="240">
        <v>0</v>
      </c>
    </row>
    <row r="1704" spans="1:14" x14ac:dyDescent="0.3">
      <c r="A1704" s="135" t="s">
        <v>464</v>
      </c>
      <c r="B1704" s="137" t="s">
        <v>413</v>
      </c>
      <c r="C1704" s="137">
        <v>22</v>
      </c>
      <c r="D1704" s="9">
        <v>70.2</v>
      </c>
      <c r="E1704" s="8">
        <v>22.458863999999998</v>
      </c>
      <c r="F1704" s="8">
        <v>19.780726999999999</v>
      </c>
      <c r="G1704" s="18">
        <v>23.238636</v>
      </c>
      <c r="H1704" s="240">
        <v>0</v>
      </c>
      <c r="I1704" s="240">
        <v>0</v>
      </c>
      <c r="J1704" s="240">
        <v>0</v>
      </c>
      <c r="K1704" s="240">
        <v>0</v>
      </c>
      <c r="L1704" s="240">
        <v>0</v>
      </c>
      <c r="M1704" s="240">
        <v>0</v>
      </c>
      <c r="N1704" s="240">
        <v>0</v>
      </c>
    </row>
    <row r="1705" spans="1:14" x14ac:dyDescent="0.3">
      <c r="A1705" s="135" t="s">
        <v>464</v>
      </c>
      <c r="B1705" s="137" t="s">
        <v>413</v>
      </c>
      <c r="C1705" s="137">
        <v>23</v>
      </c>
      <c r="D1705" s="9">
        <v>70.2</v>
      </c>
      <c r="E1705" s="8">
        <v>22.465434999999999</v>
      </c>
      <c r="F1705" s="8">
        <v>20.327999999999999</v>
      </c>
      <c r="G1705" s="18">
        <v>23.782609000000001</v>
      </c>
      <c r="H1705" s="240">
        <v>0</v>
      </c>
      <c r="I1705" s="240">
        <v>0</v>
      </c>
      <c r="J1705" s="240">
        <v>0</v>
      </c>
      <c r="K1705" s="240">
        <v>0</v>
      </c>
      <c r="L1705" s="240">
        <v>0</v>
      </c>
      <c r="M1705" s="240">
        <v>0</v>
      </c>
      <c r="N1705" s="240">
        <v>0</v>
      </c>
    </row>
    <row r="1706" spans="1:14" x14ac:dyDescent="0.3">
      <c r="A1706" s="135" t="s">
        <v>464</v>
      </c>
      <c r="B1706" s="137" t="s">
        <v>413</v>
      </c>
      <c r="C1706" s="137">
        <v>24</v>
      </c>
      <c r="D1706" s="9">
        <v>70.2</v>
      </c>
      <c r="E1706" s="8">
        <v>22.471457999999998</v>
      </c>
      <c r="F1706" s="8">
        <v>20.829667000000001</v>
      </c>
      <c r="G1706" s="18">
        <v>24.322917</v>
      </c>
      <c r="H1706" s="240">
        <v>0</v>
      </c>
      <c r="I1706" s="240">
        <v>0</v>
      </c>
      <c r="J1706" s="240">
        <v>0</v>
      </c>
      <c r="K1706" s="240">
        <v>0</v>
      </c>
      <c r="L1706" s="240">
        <v>0</v>
      </c>
      <c r="M1706" s="240">
        <v>0</v>
      </c>
      <c r="N1706" s="240">
        <v>0</v>
      </c>
    </row>
    <row r="1707" spans="1:14" x14ac:dyDescent="0.3">
      <c r="A1707" s="135" t="s">
        <v>464</v>
      </c>
      <c r="B1707" s="137" t="s">
        <v>413</v>
      </c>
      <c r="C1707" s="137">
        <v>25</v>
      </c>
      <c r="D1707" s="9">
        <v>70.2</v>
      </c>
      <c r="E1707" s="8">
        <v>22.477</v>
      </c>
      <c r="F1707" s="8">
        <v>21.7</v>
      </c>
      <c r="G1707" s="18">
        <v>24.92</v>
      </c>
      <c r="H1707" s="240">
        <v>0</v>
      </c>
      <c r="I1707" s="240">
        <v>0</v>
      </c>
      <c r="J1707" s="240">
        <v>0</v>
      </c>
      <c r="K1707" s="240">
        <v>0</v>
      </c>
      <c r="L1707" s="240">
        <v>0</v>
      </c>
      <c r="M1707" s="240">
        <v>0</v>
      </c>
      <c r="N1707" s="240">
        <v>0</v>
      </c>
    </row>
    <row r="1708" spans="1:14" x14ac:dyDescent="0.3">
      <c r="A1708" s="135" t="s">
        <v>464</v>
      </c>
      <c r="B1708" s="137" t="s">
        <v>413</v>
      </c>
      <c r="C1708" s="137">
        <v>26</v>
      </c>
      <c r="D1708" s="9">
        <v>70.2</v>
      </c>
      <c r="E1708" s="8">
        <v>22.482115</v>
      </c>
      <c r="F1708" s="8">
        <v>22.503385000000002</v>
      </c>
      <c r="G1708" s="18">
        <v>25.490385</v>
      </c>
      <c r="H1708" s="240">
        <v>0</v>
      </c>
      <c r="I1708" s="240">
        <v>0</v>
      </c>
      <c r="J1708" s="240">
        <v>0</v>
      </c>
      <c r="K1708" s="240">
        <v>0</v>
      </c>
      <c r="L1708" s="240">
        <v>0</v>
      </c>
      <c r="M1708" s="240">
        <v>0</v>
      </c>
      <c r="N1708" s="240">
        <v>0</v>
      </c>
    </row>
    <row r="1709" spans="1:14" x14ac:dyDescent="0.3">
      <c r="A1709" s="135" t="s">
        <v>464</v>
      </c>
      <c r="B1709" s="137" t="s">
        <v>413</v>
      </c>
      <c r="C1709" s="137">
        <v>27</v>
      </c>
      <c r="D1709" s="9">
        <v>70.2</v>
      </c>
      <c r="E1709" s="8">
        <v>22.486851999999999</v>
      </c>
      <c r="F1709" s="8">
        <v>23.247259</v>
      </c>
      <c r="G1709" s="18">
        <v>26.055555999999999</v>
      </c>
      <c r="H1709" s="240">
        <v>0</v>
      </c>
      <c r="I1709" s="240">
        <v>0</v>
      </c>
      <c r="J1709" s="240">
        <v>0</v>
      </c>
      <c r="K1709" s="240">
        <v>0</v>
      </c>
      <c r="L1709" s="240">
        <v>0</v>
      </c>
      <c r="M1709" s="240">
        <v>0</v>
      </c>
      <c r="N1709" s="240">
        <v>0</v>
      </c>
    </row>
    <row r="1710" spans="1:14" x14ac:dyDescent="0.3">
      <c r="A1710" s="135" t="s">
        <v>464</v>
      </c>
      <c r="B1710" s="137" t="s">
        <v>413</v>
      </c>
      <c r="C1710" s="137">
        <v>28</v>
      </c>
      <c r="D1710" s="9">
        <v>70.2</v>
      </c>
      <c r="E1710" s="8">
        <v>22.491250000000001</v>
      </c>
      <c r="F1710" s="8">
        <v>23.937999999999999</v>
      </c>
      <c r="G1710" s="18">
        <v>26.607143000000001</v>
      </c>
      <c r="H1710" s="240">
        <v>0</v>
      </c>
      <c r="I1710" s="240">
        <v>0</v>
      </c>
      <c r="J1710" s="240">
        <v>0</v>
      </c>
      <c r="K1710" s="240">
        <v>0</v>
      </c>
      <c r="L1710" s="240">
        <v>0</v>
      </c>
      <c r="M1710" s="240">
        <v>0</v>
      </c>
      <c r="N1710" s="240">
        <v>0</v>
      </c>
    </row>
    <row r="1711" spans="1:14" x14ac:dyDescent="0.3">
      <c r="A1711" s="135" t="s">
        <v>464</v>
      </c>
      <c r="B1711" s="137" t="s">
        <v>413</v>
      </c>
      <c r="C1711" s="137">
        <v>29</v>
      </c>
      <c r="D1711" s="9">
        <v>70.2</v>
      </c>
      <c r="E1711" s="8">
        <v>22.495345</v>
      </c>
      <c r="F1711" s="8">
        <v>24.581102999999999</v>
      </c>
      <c r="G1711" s="18">
        <v>27.155172</v>
      </c>
      <c r="H1711" s="240">
        <v>0</v>
      </c>
      <c r="I1711" s="240">
        <v>0</v>
      </c>
      <c r="J1711" s="240">
        <v>0</v>
      </c>
      <c r="K1711" s="240">
        <v>0</v>
      </c>
      <c r="L1711" s="240">
        <v>0</v>
      </c>
      <c r="M1711" s="240">
        <v>0</v>
      </c>
      <c r="N1711" s="240">
        <v>0</v>
      </c>
    </row>
    <row r="1712" spans="1:14" x14ac:dyDescent="0.3">
      <c r="A1712" s="138" t="s">
        <v>464</v>
      </c>
      <c r="B1712" s="137" t="s">
        <v>413</v>
      </c>
      <c r="C1712" s="137">
        <v>30</v>
      </c>
      <c r="D1712" s="9">
        <v>70.2</v>
      </c>
      <c r="E1712" s="8">
        <v>22.499167</v>
      </c>
      <c r="F1712" s="8">
        <v>25.181332999999999</v>
      </c>
      <c r="G1712" s="18">
        <v>27.683333000000001</v>
      </c>
      <c r="H1712" s="240">
        <v>0</v>
      </c>
      <c r="I1712" s="240">
        <v>0</v>
      </c>
      <c r="J1712" s="240">
        <v>0</v>
      </c>
      <c r="K1712" s="240">
        <v>0</v>
      </c>
      <c r="L1712" s="240">
        <v>0</v>
      </c>
      <c r="M1712" s="240">
        <v>0</v>
      </c>
      <c r="N1712" s="240">
        <v>0</v>
      </c>
    </row>
    <row r="1713" spans="1:14" x14ac:dyDescent="0.3">
      <c r="A1713" s="144" t="s">
        <v>464</v>
      </c>
      <c r="B1713" s="145" t="s">
        <v>414</v>
      </c>
      <c r="C1713" s="145">
        <v>1</v>
      </c>
      <c r="D1713" s="9">
        <v>28.664999999999999</v>
      </c>
      <c r="E1713" s="8">
        <v>2.9257200000000001</v>
      </c>
      <c r="F1713" s="8">
        <v>0.41176800000000002</v>
      </c>
      <c r="G1713" s="18">
        <v>9.5</v>
      </c>
      <c r="H1713" s="240">
        <v>0</v>
      </c>
      <c r="I1713" s="240">
        <v>0</v>
      </c>
      <c r="J1713" s="240">
        <v>0</v>
      </c>
      <c r="K1713" s="240">
        <v>0</v>
      </c>
      <c r="L1713" s="240">
        <v>0</v>
      </c>
      <c r="M1713" s="240">
        <v>0</v>
      </c>
      <c r="N1713" s="240">
        <v>0</v>
      </c>
    </row>
    <row r="1714" spans="1:14" x14ac:dyDescent="0.3">
      <c r="A1714" s="135" t="s">
        <v>464</v>
      </c>
      <c r="B1714" s="136" t="s">
        <v>414</v>
      </c>
      <c r="C1714" s="136">
        <v>2</v>
      </c>
      <c r="D1714" s="9">
        <v>29.767499999999998</v>
      </c>
      <c r="E1714" s="8">
        <v>2.9257200000000001</v>
      </c>
      <c r="F1714" s="8">
        <v>0.61358900000000005</v>
      </c>
      <c r="G1714" s="18">
        <v>8.125</v>
      </c>
      <c r="H1714" s="240">
        <v>0</v>
      </c>
      <c r="I1714" s="240">
        <v>0</v>
      </c>
      <c r="J1714" s="240">
        <v>0</v>
      </c>
      <c r="K1714" s="240">
        <v>0</v>
      </c>
      <c r="L1714" s="240">
        <v>0</v>
      </c>
      <c r="M1714" s="240">
        <v>0</v>
      </c>
      <c r="N1714" s="240">
        <v>0</v>
      </c>
    </row>
    <row r="1715" spans="1:14" x14ac:dyDescent="0.3">
      <c r="A1715" s="135" t="s">
        <v>464</v>
      </c>
      <c r="B1715" s="137" t="s">
        <v>414</v>
      </c>
      <c r="C1715" s="137">
        <v>3</v>
      </c>
      <c r="D1715" s="9">
        <v>30.135000000000002</v>
      </c>
      <c r="E1715" s="8">
        <v>2.9257200000000001</v>
      </c>
      <c r="F1715" s="8">
        <v>0.842499</v>
      </c>
      <c r="G1715" s="18">
        <v>8</v>
      </c>
      <c r="H1715" s="240">
        <v>0</v>
      </c>
      <c r="I1715" s="240">
        <v>0</v>
      </c>
      <c r="J1715" s="240">
        <v>0</v>
      </c>
      <c r="K1715" s="240">
        <v>0</v>
      </c>
      <c r="L1715" s="240">
        <v>0</v>
      </c>
      <c r="M1715" s="240">
        <v>0</v>
      </c>
      <c r="N1715" s="240">
        <v>0</v>
      </c>
    </row>
    <row r="1716" spans="1:14" x14ac:dyDescent="0.3">
      <c r="A1716" s="135" t="s">
        <v>464</v>
      </c>
      <c r="B1716" s="137" t="s">
        <v>414</v>
      </c>
      <c r="C1716" s="137">
        <v>4</v>
      </c>
      <c r="D1716" s="9">
        <v>30.318750000000001</v>
      </c>
      <c r="E1716" s="8">
        <v>2.9257200000000001</v>
      </c>
      <c r="F1716" s="8">
        <v>0.95695399999999997</v>
      </c>
      <c r="G1716" s="18">
        <v>8.1875</v>
      </c>
      <c r="H1716" s="240">
        <v>0</v>
      </c>
      <c r="I1716" s="240">
        <v>0</v>
      </c>
      <c r="J1716" s="240">
        <v>0</v>
      </c>
      <c r="K1716" s="240">
        <v>0</v>
      </c>
      <c r="L1716" s="240">
        <v>0</v>
      </c>
      <c r="M1716" s="240">
        <v>0</v>
      </c>
      <c r="N1716" s="240">
        <v>0</v>
      </c>
    </row>
    <row r="1717" spans="1:14" x14ac:dyDescent="0.3">
      <c r="A1717" s="135" t="s">
        <v>464</v>
      </c>
      <c r="B1717" s="137" t="s">
        <v>414</v>
      </c>
      <c r="C1717" s="137">
        <v>5</v>
      </c>
      <c r="D1717" s="9">
        <v>30.428999999999998</v>
      </c>
      <c r="E1717" s="8">
        <v>2.9257200000000001</v>
      </c>
      <c r="F1717" s="8">
        <v>1.129653</v>
      </c>
      <c r="G1717" s="18">
        <v>8.5</v>
      </c>
      <c r="H1717" s="240">
        <v>0</v>
      </c>
      <c r="I1717" s="240">
        <v>0</v>
      </c>
      <c r="J1717" s="240">
        <v>0</v>
      </c>
      <c r="K1717" s="240">
        <v>0</v>
      </c>
      <c r="L1717" s="240">
        <v>0</v>
      </c>
      <c r="M1717" s="240">
        <v>0</v>
      </c>
      <c r="N1717" s="240">
        <v>0</v>
      </c>
    </row>
    <row r="1718" spans="1:14" x14ac:dyDescent="0.3">
      <c r="A1718" s="135" t="s">
        <v>464</v>
      </c>
      <c r="B1718" s="137" t="s">
        <v>414</v>
      </c>
      <c r="C1718" s="137">
        <v>6</v>
      </c>
      <c r="D1718" s="9">
        <v>30.502500000000001</v>
      </c>
      <c r="E1718" s="8">
        <v>2.9257200000000001</v>
      </c>
      <c r="F1718" s="8">
        <v>1.2624439999999999</v>
      </c>
      <c r="G1718" s="18">
        <v>8.8333329999999997</v>
      </c>
      <c r="H1718" s="240">
        <v>0</v>
      </c>
      <c r="I1718" s="240">
        <v>0</v>
      </c>
      <c r="J1718" s="240">
        <v>0</v>
      </c>
      <c r="K1718" s="240">
        <v>0</v>
      </c>
      <c r="L1718" s="240">
        <v>0</v>
      </c>
      <c r="M1718" s="240">
        <v>0</v>
      </c>
      <c r="N1718" s="240">
        <v>0</v>
      </c>
    </row>
    <row r="1719" spans="1:14" x14ac:dyDescent="0.3">
      <c r="A1719" s="135" t="s">
        <v>464</v>
      </c>
      <c r="B1719" s="137" t="s">
        <v>414</v>
      </c>
      <c r="C1719" s="137">
        <v>7</v>
      </c>
      <c r="D1719" s="9">
        <v>30.555</v>
      </c>
      <c r="E1719" s="8">
        <v>2.9257200000000001</v>
      </c>
      <c r="F1719" s="8">
        <v>1.3572949999999999</v>
      </c>
      <c r="G1719" s="18">
        <v>9.1785709999999998</v>
      </c>
      <c r="H1719" s="240">
        <v>0</v>
      </c>
      <c r="I1719" s="240">
        <v>0</v>
      </c>
      <c r="J1719" s="240">
        <v>0</v>
      </c>
      <c r="K1719" s="240">
        <v>0</v>
      </c>
      <c r="L1719" s="240">
        <v>0</v>
      </c>
      <c r="M1719" s="240">
        <v>0</v>
      </c>
      <c r="N1719" s="240">
        <v>0</v>
      </c>
    </row>
    <row r="1720" spans="1:14" x14ac:dyDescent="0.3">
      <c r="A1720" s="135" t="s">
        <v>464</v>
      </c>
      <c r="B1720" s="137" t="s">
        <v>414</v>
      </c>
      <c r="C1720" s="137">
        <v>8</v>
      </c>
      <c r="D1720" s="9">
        <v>30.594374999999999</v>
      </c>
      <c r="E1720" s="8">
        <v>2.9257200000000001</v>
      </c>
      <c r="F1720" s="8">
        <v>1.545221</v>
      </c>
      <c r="G1720" s="18">
        <v>9.53125</v>
      </c>
      <c r="H1720" s="240">
        <v>0</v>
      </c>
      <c r="I1720" s="240">
        <v>0</v>
      </c>
      <c r="J1720" s="240">
        <v>0</v>
      </c>
      <c r="K1720" s="240">
        <v>0</v>
      </c>
      <c r="L1720" s="240">
        <v>0</v>
      </c>
      <c r="M1720" s="240">
        <v>0</v>
      </c>
      <c r="N1720" s="240">
        <v>0</v>
      </c>
    </row>
    <row r="1721" spans="1:14" x14ac:dyDescent="0.3">
      <c r="A1721" s="135" t="s">
        <v>464</v>
      </c>
      <c r="B1721" s="137" t="s">
        <v>414</v>
      </c>
      <c r="C1721" s="137">
        <v>9</v>
      </c>
      <c r="D1721" s="9">
        <v>30.625</v>
      </c>
      <c r="E1721" s="8">
        <v>2.9257200000000001</v>
      </c>
      <c r="F1721" s="8">
        <v>1.6913860000000001</v>
      </c>
      <c r="G1721" s="18">
        <v>9.8888890000000007</v>
      </c>
      <c r="H1721" s="240">
        <v>0</v>
      </c>
      <c r="I1721" s="240">
        <v>0</v>
      </c>
      <c r="J1721" s="240">
        <v>0</v>
      </c>
      <c r="K1721" s="240">
        <v>0</v>
      </c>
      <c r="L1721" s="240">
        <v>0</v>
      </c>
      <c r="M1721" s="240">
        <v>0</v>
      </c>
      <c r="N1721" s="240">
        <v>0</v>
      </c>
    </row>
    <row r="1722" spans="1:14" x14ac:dyDescent="0.3">
      <c r="A1722" s="135" t="s">
        <v>464</v>
      </c>
      <c r="B1722" s="137" t="s">
        <v>414</v>
      </c>
      <c r="C1722" s="137">
        <v>10</v>
      </c>
      <c r="D1722" s="9">
        <v>30.6495</v>
      </c>
      <c r="E1722" s="8">
        <v>2.9257200000000001</v>
      </c>
      <c r="F1722" s="8">
        <v>1.8232470000000001</v>
      </c>
      <c r="G1722" s="18">
        <v>10.225</v>
      </c>
      <c r="H1722" s="240">
        <v>0</v>
      </c>
      <c r="I1722" s="240">
        <v>0</v>
      </c>
      <c r="J1722" s="240">
        <v>0</v>
      </c>
      <c r="K1722" s="240">
        <v>0</v>
      </c>
      <c r="L1722" s="240">
        <v>0</v>
      </c>
      <c r="M1722" s="240">
        <v>0</v>
      </c>
      <c r="N1722" s="240">
        <v>0</v>
      </c>
    </row>
    <row r="1723" spans="1:14" x14ac:dyDescent="0.3">
      <c r="A1723" s="135" t="s">
        <v>464</v>
      </c>
      <c r="B1723" s="137" t="s">
        <v>414</v>
      </c>
      <c r="C1723" s="137">
        <v>11</v>
      </c>
      <c r="D1723" s="9">
        <v>30.669544999999999</v>
      </c>
      <c r="E1723" s="8">
        <v>2.9257200000000001</v>
      </c>
      <c r="F1723" s="8">
        <v>1.9311339999999999</v>
      </c>
      <c r="G1723" s="18">
        <v>10.568182</v>
      </c>
      <c r="H1723" s="240">
        <v>0</v>
      </c>
      <c r="I1723" s="240">
        <v>0</v>
      </c>
      <c r="J1723" s="240">
        <v>0</v>
      </c>
      <c r="K1723" s="240">
        <v>0</v>
      </c>
      <c r="L1723" s="240">
        <v>0</v>
      </c>
      <c r="M1723" s="240">
        <v>0</v>
      </c>
      <c r="N1723" s="240">
        <v>0</v>
      </c>
    </row>
    <row r="1724" spans="1:14" x14ac:dyDescent="0.3">
      <c r="A1724" s="135" t="s">
        <v>464</v>
      </c>
      <c r="B1724" s="137" t="s">
        <v>414</v>
      </c>
      <c r="C1724" s="137">
        <v>12</v>
      </c>
      <c r="D1724" s="9">
        <v>30.686250000000001</v>
      </c>
      <c r="E1724" s="8">
        <v>2.9257200000000001</v>
      </c>
      <c r="F1724" s="8">
        <v>2.0952860000000002</v>
      </c>
      <c r="G1724" s="18">
        <v>10.895833</v>
      </c>
      <c r="H1724" s="240">
        <v>0</v>
      </c>
      <c r="I1724" s="240">
        <v>0</v>
      </c>
      <c r="J1724" s="240">
        <v>0</v>
      </c>
      <c r="K1724" s="240">
        <v>0</v>
      </c>
      <c r="L1724" s="240">
        <v>0</v>
      </c>
      <c r="M1724" s="240">
        <v>0</v>
      </c>
      <c r="N1724" s="240">
        <v>0</v>
      </c>
    </row>
    <row r="1725" spans="1:14" x14ac:dyDescent="0.3">
      <c r="A1725" s="135" t="s">
        <v>464</v>
      </c>
      <c r="B1725" s="137" t="s">
        <v>414</v>
      </c>
      <c r="C1725" s="137">
        <v>13</v>
      </c>
      <c r="D1725" s="9">
        <v>30.700385000000001</v>
      </c>
      <c r="E1725" s="8">
        <v>2.9257200000000001</v>
      </c>
      <c r="F1725" s="8">
        <v>2.2341839999999999</v>
      </c>
      <c r="G1725" s="18">
        <v>11.230769</v>
      </c>
      <c r="H1725" s="240">
        <v>0</v>
      </c>
      <c r="I1725" s="240">
        <v>0</v>
      </c>
      <c r="J1725" s="240">
        <v>0</v>
      </c>
      <c r="K1725" s="240">
        <v>0</v>
      </c>
      <c r="L1725" s="240">
        <v>0</v>
      </c>
      <c r="M1725" s="240">
        <v>0</v>
      </c>
      <c r="N1725" s="240">
        <v>0</v>
      </c>
    </row>
    <row r="1726" spans="1:14" x14ac:dyDescent="0.3">
      <c r="A1726" s="135" t="s">
        <v>464</v>
      </c>
      <c r="B1726" s="137" t="s">
        <v>414</v>
      </c>
      <c r="C1726" s="137">
        <v>14</v>
      </c>
      <c r="D1726" s="9">
        <v>30.712499999999999</v>
      </c>
      <c r="E1726" s="8">
        <v>2.9257200000000001</v>
      </c>
      <c r="F1726" s="8">
        <v>2.3841999999999999</v>
      </c>
      <c r="G1726" s="18">
        <v>11.535714</v>
      </c>
      <c r="H1726" s="240">
        <v>0</v>
      </c>
      <c r="I1726" s="240">
        <v>0</v>
      </c>
      <c r="J1726" s="240">
        <v>0</v>
      </c>
      <c r="K1726" s="240">
        <v>0</v>
      </c>
      <c r="L1726" s="240">
        <v>0</v>
      </c>
      <c r="M1726" s="240">
        <v>0</v>
      </c>
      <c r="N1726" s="240">
        <v>0</v>
      </c>
    </row>
    <row r="1727" spans="1:14" x14ac:dyDescent="0.3">
      <c r="A1727" s="135" t="s">
        <v>464</v>
      </c>
      <c r="B1727" s="137" t="s">
        <v>414</v>
      </c>
      <c r="C1727" s="137">
        <v>15</v>
      </c>
      <c r="D1727" s="9">
        <v>30.722999999999999</v>
      </c>
      <c r="E1727" s="8">
        <v>2.9257200000000001</v>
      </c>
      <c r="F1727" s="8">
        <v>2.5142129999999998</v>
      </c>
      <c r="G1727" s="18">
        <v>11.866667</v>
      </c>
      <c r="H1727" s="240">
        <v>0</v>
      </c>
      <c r="I1727" s="240">
        <v>0</v>
      </c>
      <c r="J1727" s="240">
        <v>0</v>
      </c>
      <c r="K1727" s="240">
        <v>0</v>
      </c>
      <c r="L1727" s="240">
        <v>0</v>
      </c>
      <c r="M1727" s="240">
        <v>0</v>
      </c>
      <c r="N1727" s="240">
        <v>0</v>
      </c>
    </row>
    <row r="1728" spans="1:14" x14ac:dyDescent="0.3">
      <c r="A1728" s="135" t="s">
        <v>464</v>
      </c>
      <c r="B1728" s="137" t="s">
        <v>414</v>
      </c>
      <c r="C1728" s="137">
        <v>16</v>
      </c>
      <c r="D1728" s="9">
        <v>30.732187</v>
      </c>
      <c r="E1728" s="8">
        <v>2.9257200000000001</v>
      </c>
      <c r="F1728" s="8">
        <v>2.6279750000000002</v>
      </c>
      <c r="G1728" s="18">
        <v>12.171875</v>
      </c>
      <c r="H1728" s="240">
        <v>0</v>
      </c>
      <c r="I1728" s="240">
        <v>0</v>
      </c>
      <c r="J1728" s="240">
        <v>0</v>
      </c>
      <c r="K1728" s="240">
        <v>0</v>
      </c>
      <c r="L1728" s="240">
        <v>0</v>
      </c>
      <c r="M1728" s="240">
        <v>0</v>
      </c>
      <c r="N1728" s="240">
        <v>0</v>
      </c>
    </row>
    <row r="1729" spans="1:14" x14ac:dyDescent="0.3">
      <c r="A1729" s="135" t="s">
        <v>464</v>
      </c>
      <c r="B1729" s="137" t="s">
        <v>414</v>
      </c>
      <c r="C1729" s="137">
        <v>17</v>
      </c>
      <c r="D1729" s="9">
        <v>30.740293999999999</v>
      </c>
      <c r="E1729" s="8">
        <v>2.9257200000000001</v>
      </c>
      <c r="F1729" s="8">
        <v>2.7283529999999998</v>
      </c>
      <c r="G1729" s="18">
        <v>12.470587999999999</v>
      </c>
      <c r="H1729" s="240">
        <v>0</v>
      </c>
      <c r="I1729" s="240">
        <v>0</v>
      </c>
      <c r="J1729" s="240">
        <v>0</v>
      </c>
      <c r="K1729" s="240">
        <v>0</v>
      </c>
      <c r="L1729" s="240">
        <v>0</v>
      </c>
      <c r="M1729" s="240">
        <v>0</v>
      </c>
      <c r="N1729" s="240">
        <v>0</v>
      </c>
    </row>
    <row r="1730" spans="1:14" x14ac:dyDescent="0.3">
      <c r="A1730" s="135" t="s">
        <v>464</v>
      </c>
      <c r="B1730" s="137" t="s">
        <v>414</v>
      </c>
      <c r="C1730" s="137">
        <v>18</v>
      </c>
      <c r="D1730" s="9">
        <v>30.747499999999999</v>
      </c>
      <c r="E1730" s="8">
        <v>2.9257200000000001</v>
      </c>
      <c r="F1730" s="8">
        <v>2.8946329999999998</v>
      </c>
      <c r="G1730" s="18">
        <v>12.763889000000001</v>
      </c>
      <c r="H1730" s="240">
        <v>0</v>
      </c>
      <c r="I1730" s="240">
        <v>0</v>
      </c>
      <c r="J1730" s="240">
        <v>0</v>
      </c>
      <c r="K1730" s="240">
        <v>0</v>
      </c>
      <c r="L1730" s="240">
        <v>0</v>
      </c>
      <c r="M1730" s="240">
        <v>0</v>
      </c>
      <c r="N1730" s="240">
        <v>0</v>
      </c>
    </row>
    <row r="1731" spans="1:14" x14ac:dyDescent="0.3">
      <c r="A1731" s="135" t="s">
        <v>464</v>
      </c>
      <c r="B1731" s="137" t="s">
        <v>414</v>
      </c>
      <c r="C1731" s="137">
        <v>19</v>
      </c>
      <c r="D1731" s="9">
        <v>30.753947</v>
      </c>
      <c r="E1731" s="8">
        <v>2.9257200000000001</v>
      </c>
      <c r="F1731" s="8">
        <v>3.0434109999999999</v>
      </c>
      <c r="G1731" s="18">
        <v>13.065789000000001</v>
      </c>
      <c r="H1731" s="240">
        <v>0</v>
      </c>
      <c r="I1731" s="240">
        <v>0</v>
      </c>
      <c r="J1731" s="240">
        <v>0</v>
      </c>
      <c r="K1731" s="240">
        <v>0</v>
      </c>
      <c r="L1731" s="240">
        <v>0</v>
      </c>
      <c r="M1731" s="240">
        <v>0</v>
      </c>
      <c r="N1731" s="240">
        <v>0</v>
      </c>
    </row>
    <row r="1732" spans="1:14" x14ac:dyDescent="0.3">
      <c r="A1732" s="135" t="s">
        <v>464</v>
      </c>
      <c r="B1732" s="137" t="s">
        <v>414</v>
      </c>
      <c r="C1732" s="137">
        <v>20</v>
      </c>
      <c r="D1732" s="9">
        <v>30.993052656940602</v>
      </c>
      <c r="E1732" s="8">
        <v>2.9257200000000001</v>
      </c>
      <c r="F1732" s="8">
        <v>3.1135999999999999</v>
      </c>
      <c r="G1732" s="18">
        <v>13.808299999999999</v>
      </c>
      <c r="H1732" s="240">
        <v>0</v>
      </c>
      <c r="I1732" s="240">
        <v>0</v>
      </c>
      <c r="J1732" s="240">
        <v>0</v>
      </c>
      <c r="K1732" s="240">
        <v>0</v>
      </c>
      <c r="L1732" s="240">
        <v>0</v>
      </c>
      <c r="M1732" s="240">
        <v>0</v>
      </c>
      <c r="N1732" s="240">
        <v>0</v>
      </c>
    </row>
    <row r="1733" spans="1:14" x14ac:dyDescent="0.3">
      <c r="A1733" s="135" t="s">
        <v>464</v>
      </c>
      <c r="B1733" s="137" t="s">
        <v>414</v>
      </c>
      <c r="C1733" s="137">
        <v>21</v>
      </c>
      <c r="D1733" s="9">
        <v>31.021645588978252</v>
      </c>
      <c r="E1733" s="8">
        <v>2.9257200000000001</v>
      </c>
      <c r="F1733" s="8">
        <v>3.2307999999999999</v>
      </c>
      <c r="G1733" s="18">
        <v>14.284099999999999</v>
      </c>
      <c r="H1733" s="240">
        <v>0</v>
      </c>
      <c r="I1733" s="240">
        <v>0</v>
      </c>
      <c r="J1733" s="240">
        <v>0</v>
      </c>
      <c r="K1733" s="240">
        <v>0</v>
      </c>
      <c r="L1733" s="240">
        <v>0</v>
      </c>
      <c r="M1733" s="240">
        <v>0</v>
      </c>
      <c r="N1733" s="240">
        <v>0</v>
      </c>
    </row>
    <row r="1734" spans="1:14" x14ac:dyDescent="0.3">
      <c r="A1734" s="135" t="s">
        <v>464</v>
      </c>
      <c r="B1734" s="137" t="s">
        <v>414</v>
      </c>
      <c r="C1734" s="137">
        <v>22</v>
      </c>
      <c r="D1734" s="9">
        <v>31.048932691591556</v>
      </c>
      <c r="E1734" s="8">
        <v>2.9257200000000001</v>
      </c>
      <c r="F1734" s="8">
        <v>3.3457999999999997</v>
      </c>
      <c r="G1734" s="18">
        <v>14.7783</v>
      </c>
      <c r="H1734" s="240">
        <v>0</v>
      </c>
      <c r="I1734" s="240">
        <v>0</v>
      </c>
      <c r="J1734" s="240">
        <v>0</v>
      </c>
      <c r="K1734" s="240">
        <v>0</v>
      </c>
      <c r="L1734" s="240">
        <v>0</v>
      </c>
      <c r="M1734" s="240">
        <v>0</v>
      </c>
      <c r="N1734" s="240">
        <v>0</v>
      </c>
    </row>
    <row r="1735" spans="1:14" x14ac:dyDescent="0.3">
      <c r="A1735" s="135" t="s">
        <v>464</v>
      </c>
      <c r="B1735" s="137" t="s">
        <v>414</v>
      </c>
      <c r="C1735" s="137">
        <v>23</v>
      </c>
      <c r="D1735" s="9">
        <v>31.075029050251153</v>
      </c>
      <c r="E1735" s="8">
        <v>2.9257200000000001</v>
      </c>
      <c r="F1735" s="8">
        <v>3.4585999999999997</v>
      </c>
      <c r="G1735" s="18">
        <v>15.290899999999999</v>
      </c>
      <c r="H1735" s="240">
        <v>0</v>
      </c>
      <c r="I1735" s="240">
        <v>0</v>
      </c>
      <c r="J1735" s="240">
        <v>0</v>
      </c>
      <c r="K1735" s="240">
        <v>0</v>
      </c>
      <c r="L1735" s="240">
        <v>0</v>
      </c>
      <c r="M1735" s="240">
        <v>0</v>
      </c>
      <c r="N1735" s="240">
        <v>0</v>
      </c>
    </row>
    <row r="1736" spans="1:14" x14ac:dyDescent="0.3">
      <c r="A1736" s="135" t="s">
        <v>464</v>
      </c>
      <c r="B1736" s="137" t="s">
        <v>414</v>
      </c>
      <c r="C1736" s="137">
        <v>24</v>
      </c>
      <c r="D1736" s="9">
        <v>31.100035135768042</v>
      </c>
      <c r="E1736" s="8">
        <v>2.9257200000000001</v>
      </c>
      <c r="F1736" s="8">
        <v>3.5691999999999999</v>
      </c>
      <c r="G1736" s="18">
        <v>15.821899999999999</v>
      </c>
      <c r="H1736" s="240">
        <v>0</v>
      </c>
      <c r="I1736" s="240">
        <v>0</v>
      </c>
      <c r="J1736" s="240">
        <v>0</v>
      </c>
      <c r="K1736" s="240">
        <v>0</v>
      </c>
      <c r="L1736" s="240">
        <v>0</v>
      </c>
      <c r="M1736" s="240">
        <v>0</v>
      </c>
      <c r="N1736" s="240">
        <v>0</v>
      </c>
    </row>
    <row r="1737" spans="1:14" x14ac:dyDescent="0.3">
      <c r="A1737" s="135" t="s">
        <v>464</v>
      </c>
      <c r="B1737" s="137" t="s">
        <v>414</v>
      </c>
      <c r="C1737" s="137">
        <v>25</v>
      </c>
      <c r="D1737" s="9">
        <v>31.124039181834071</v>
      </c>
      <c r="E1737" s="8">
        <v>2.9257200000000001</v>
      </c>
      <c r="F1737" s="8">
        <v>3.6776</v>
      </c>
      <c r="G1737" s="18">
        <v>16.371299999999998</v>
      </c>
      <c r="H1737" s="240">
        <v>0</v>
      </c>
      <c r="I1737" s="240">
        <v>0</v>
      </c>
      <c r="J1737" s="240">
        <v>0</v>
      </c>
      <c r="K1737" s="240">
        <v>0</v>
      </c>
      <c r="L1737" s="240">
        <v>0</v>
      </c>
      <c r="M1737" s="240">
        <v>0</v>
      </c>
      <c r="N1737" s="240">
        <v>0</v>
      </c>
    </row>
    <row r="1738" spans="1:14" x14ac:dyDescent="0.3">
      <c r="A1738" s="135" t="s">
        <v>464</v>
      </c>
      <c r="B1738" s="137" t="s">
        <v>414</v>
      </c>
      <c r="C1738" s="137">
        <v>26</v>
      </c>
      <c r="D1738" s="9">
        <v>31.147119097563095</v>
      </c>
      <c r="E1738" s="8">
        <v>2.9257200000000001</v>
      </c>
      <c r="F1738" s="8">
        <v>3.7838000000000003</v>
      </c>
      <c r="G1738" s="18">
        <v>16.9391</v>
      </c>
      <c r="H1738" s="240">
        <v>0</v>
      </c>
      <c r="I1738" s="240">
        <v>0</v>
      </c>
      <c r="J1738" s="240">
        <v>0</v>
      </c>
      <c r="K1738" s="240">
        <v>0</v>
      </c>
      <c r="L1738" s="240">
        <v>0</v>
      </c>
      <c r="M1738" s="240">
        <v>0</v>
      </c>
      <c r="N1738" s="240">
        <v>0</v>
      </c>
    </row>
    <row r="1739" spans="1:14" x14ac:dyDescent="0.3">
      <c r="A1739" s="135" t="s">
        <v>464</v>
      </c>
      <c r="B1739" s="137" t="s">
        <v>414</v>
      </c>
      <c r="C1739" s="137">
        <v>27</v>
      </c>
      <c r="D1739" s="9">
        <v>31.169344020122473</v>
      </c>
      <c r="E1739" s="8">
        <v>2.9257200000000001</v>
      </c>
      <c r="F1739" s="8">
        <v>3.8878000000000004</v>
      </c>
      <c r="G1739" s="18">
        <v>17.525300000000001</v>
      </c>
      <c r="H1739" s="240">
        <v>0</v>
      </c>
      <c r="I1739" s="240">
        <v>0</v>
      </c>
      <c r="J1739" s="240">
        <v>0</v>
      </c>
      <c r="K1739" s="240">
        <v>0</v>
      </c>
      <c r="L1739" s="240">
        <v>0</v>
      </c>
      <c r="M1739" s="240">
        <v>0</v>
      </c>
      <c r="N1739" s="240">
        <v>0</v>
      </c>
    </row>
    <row r="1740" spans="1:14" x14ac:dyDescent="0.3">
      <c r="A1740" s="135" t="s">
        <v>464</v>
      </c>
      <c r="B1740" s="137" t="s">
        <v>414</v>
      </c>
      <c r="C1740" s="137">
        <v>28</v>
      </c>
      <c r="D1740" s="9">
        <v>31.190775585829368</v>
      </c>
      <c r="E1740" s="8">
        <v>2.9257200000000001</v>
      </c>
      <c r="F1740" s="8">
        <v>3.9895999999999994</v>
      </c>
      <c r="G1740" s="18">
        <v>18.129899999999999</v>
      </c>
      <c r="H1740" s="240">
        <v>0</v>
      </c>
      <c r="I1740" s="240">
        <v>0</v>
      </c>
      <c r="J1740" s="240">
        <v>0</v>
      </c>
      <c r="K1740" s="240">
        <v>0</v>
      </c>
      <c r="L1740" s="240">
        <v>0</v>
      </c>
      <c r="M1740" s="240">
        <v>0</v>
      </c>
      <c r="N1740" s="240">
        <v>0</v>
      </c>
    </row>
    <row r="1741" spans="1:14" x14ac:dyDescent="0.3">
      <c r="A1741" s="135" t="s">
        <v>464</v>
      </c>
      <c r="B1741" s="137" t="s">
        <v>414</v>
      </c>
      <c r="C1741" s="137">
        <v>29</v>
      </c>
      <c r="D1741" s="9">
        <v>31.211468978863913</v>
      </c>
      <c r="E1741" s="8">
        <v>2.9257200000000001</v>
      </c>
      <c r="F1741" s="8">
        <v>4.0891999999999999</v>
      </c>
      <c r="G1741" s="18">
        <v>18.752899999999997</v>
      </c>
      <c r="H1741" s="240">
        <v>0</v>
      </c>
      <c r="I1741" s="240">
        <v>0</v>
      </c>
      <c r="J1741" s="240">
        <v>0</v>
      </c>
      <c r="K1741" s="240">
        <v>0</v>
      </c>
      <c r="L1741" s="240">
        <v>0</v>
      </c>
      <c r="M1741" s="240">
        <v>0</v>
      </c>
      <c r="N1741" s="240">
        <v>0</v>
      </c>
    </row>
    <row r="1742" spans="1:14" x14ac:dyDescent="0.3">
      <c r="A1742" s="138" t="s">
        <v>464</v>
      </c>
      <c r="B1742" s="137" t="s">
        <v>414</v>
      </c>
      <c r="C1742" s="137">
        <v>30</v>
      </c>
      <c r="D1742" s="9">
        <v>31.231473802736101</v>
      </c>
      <c r="E1742" s="8">
        <v>2.9257200000000001</v>
      </c>
      <c r="F1742" s="8">
        <v>4.1865999999999994</v>
      </c>
      <c r="G1742" s="18">
        <v>19.394300000000001</v>
      </c>
      <c r="H1742" s="240">
        <v>0</v>
      </c>
      <c r="I1742" s="240">
        <v>0</v>
      </c>
      <c r="J1742" s="240">
        <v>0</v>
      </c>
      <c r="K1742" s="240">
        <v>0</v>
      </c>
      <c r="L1742" s="240">
        <v>0</v>
      </c>
      <c r="M1742" s="240">
        <v>0</v>
      </c>
      <c r="N1742" s="240">
        <v>0</v>
      </c>
    </row>
    <row r="1743" spans="1:14" x14ac:dyDescent="0.3">
      <c r="A1743" s="144" t="s">
        <v>464</v>
      </c>
      <c r="B1743" s="145" t="s">
        <v>415</v>
      </c>
      <c r="C1743" s="145">
        <v>1</v>
      </c>
      <c r="D1743" s="9">
        <v>28.664999999999999</v>
      </c>
      <c r="E1743" s="8">
        <v>0</v>
      </c>
      <c r="F1743" s="8">
        <v>3.7044000000000001</v>
      </c>
      <c r="G1743" s="18">
        <v>4.25</v>
      </c>
      <c r="H1743" s="240">
        <v>0</v>
      </c>
      <c r="I1743" s="240">
        <v>0</v>
      </c>
      <c r="J1743" s="240">
        <v>0</v>
      </c>
      <c r="K1743" s="240">
        <v>0</v>
      </c>
      <c r="L1743" s="240">
        <v>0</v>
      </c>
      <c r="M1743" s="240">
        <v>0</v>
      </c>
      <c r="N1743" s="240">
        <v>0</v>
      </c>
    </row>
    <row r="1744" spans="1:14" x14ac:dyDescent="0.3">
      <c r="A1744" s="135" t="s">
        <v>464</v>
      </c>
      <c r="B1744" s="136" t="s">
        <v>415</v>
      </c>
      <c r="C1744" s="136">
        <v>2</v>
      </c>
      <c r="D1744" s="9">
        <v>29.767499999999998</v>
      </c>
      <c r="E1744" s="8">
        <v>0</v>
      </c>
      <c r="F1744" s="8">
        <v>4.6304999999999996</v>
      </c>
      <c r="G1744" s="18">
        <v>3.5</v>
      </c>
      <c r="H1744" s="240">
        <v>0</v>
      </c>
      <c r="I1744" s="240">
        <v>0</v>
      </c>
      <c r="J1744" s="240">
        <v>0</v>
      </c>
      <c r="K1744" s="240">
        <v>0</v>
      </c>
      <c r="L1744" s="240">
        <v>0</v>
      </c>
      <c r="M1744" s="240">
        <v>0</v>
      </c>
      <c r="N1744" s="240">
        <v>0</v>
      </c>
    </row>
    <row r="1745" spans="1:14" x14ac:dyDescent="0.3">
      <c r="A1745" s="135" t="s">
        <v>464</v>
      </c>
      <c r="B1745" s="137" t="s">
        <v>415</v>
      </c>
      <c r="C1745" s="137">
        <v>3</v>
      </c>
      <c r="D1745" s="9">
        <v>30.135000000000002</v>
      </c>
      <c r="E1745" s="8">
        <v>0</v>
      </c>
      <c r="F1745" s="8">
        <v>5.1449999999999996</v>
      </c>
      <c r="G1745" s="18">
        <v>3.5</v>
      </c>
      <c r="H1745" s="240">
        <v>0</v>
      </c>
      <c r="I1745" s="240">
        <v>0</v>
      </c>
      <c r="J1745" s="240">
        <v>0</v>
      </c>
      <c r="K1745" s="240">
        <v>0</v>
      </c>
      <c r="L1745" s="240">
        <v>0</v>
      </c>
      <c r="M1745" s="240">
        <v>0</v>
      </c>
      <c r="N1745" s="240">
        <v>0</v>
      </c>
    </row>
    <row r="1746" spans="1:14" x14ac:dyDescent="0.3">
      <c r="A1746" s="135" t="s">
        <v>464</v>
      </c>
      <c r="B1746" s="137" t="s">
        <v>415</v>
      </c>
      <c r="C1746" s="137">
        <v>4</v>
      </c>
      <c r="D1746" s="9">
        <v>30.318750000000001</v>
      </c>
      <c r="E1746" s="8">
        <v>0</v>
      </c>
      <c r="F1746" s="8">
        <v>5.5566000000000004</v>
      </c>
      <c r="G1746" s="18">
        <v>3.625</v>
      </c>
      <c r="H1746" s="240">
        <v>0</v>
      </c>
      <c r="I1746" s="240">
        <v>0</v>
      </c>
      <c r="J1746" s="240">
        <v>0</v>
      </c>
      <c r="K1746" s="240">
        <v>0</v>
      </c>
      <c r="L1746" s="240">
        <v>0</v>
      </c>
      <c r="M1746" s="240">
        <v>0</v>
      </c>
      <c r="N1746" s="240">
        <v>0</v>
      </c>
    </row>
    <row r="1747" spans="1:14" x14ac:dyDescent="0.3">
      <c r="A1747" s="135" t="s">
        <v>464</v>
      </c>
      <c r="B1747" s="137" t="s">
        <v>415</v>
      </c>
      <c r="C1747" s="137">
        <v>5</v>
      </c>
      <c r="D1747" s="9">
        <v>30.428999999999998</v>
      </c>
      <c r="E1747" s="8">
        <v>0</v>
      </c>
      <c r="F1747" s="8">
        <v>5.9270399999999999</v>
      </c>
      <c r="G1747" s="18">
        <v>3.75</v>
      </c>
      <c r="H1747" s="240">
        <v>0</v>
      </c>
      <c r="I1747" s="240">
        <v>0</v>
      </c>
      <c r="J1747" s="240">
        <v>0</v>
      </c>
      <c r="K1747" s="240">
        <v>0</v>
      </c>
      <c r="L1747" s="240">
        <v>0</v>
      </c>
      <c r="M1747" s="240">
        <v>0</v>
      </c>
      <c r="N1747" s="240">
        <v>0</v>
      </c>
    </row>
    <row r="1748" spans="1:14" x14ac:dyDescent="0.3">
      <c r="A1748" s="135" t="s">
        <v>464</v>
      </c>
      <c r="B1748" s="137" t="s">
        <v>415</v>
      </c>
      <c r="C1748" s="137">
        <v>6</v>
      </c>
      <c r="D1748" s="9">
        <v>30.502500000000001</v>
      </c>
      <c r="E1748" s="8">
        <v>0</v>
      </c>
      <c r="F1748" s="8">
        <v>6.1740000000000004</v>
      </c>
      <c r="G1748" s="18">
        <v>3.9166669999999999</v>
      </c>
      <c r="H1748" s="240">
        <v>0</v>
      </c>
      <c r="I1748" s="240">
        <v>0</v>
      </c>
      <c r="J1748" s="240">
        <v>0</v>
      </c>
      <c r="K1748" s="240">
        <v>0</v>
      </c>
      <c r="L1748" s="240">
        <v>0</v>
      </c>
      <c r="M1748" s="240">
        <v>0</v>
      </c>
      <c r="N1748" s="240">
        <v>0</v>
      </c>
    </row>
    <row r="1749" spans="1:14" x14ac:dyDescent="0.3">
      <c r="A1749" s="135" t="s">
        <v>464</v>
      </c>
      <c r="B1749" s="137" t="s">
        <v>415</v>
      </c>
      <c r="C1749" s="137">
        <v>7</v>
      </c>
      <c r="D1749" s="9">
        <v>30.555</v>
      </c>
      <c r="E1749" s="8">
        <v>0</v>
      </c>
      <c r="F1749" s="8">
        <v>6.5267999999999997</v>
      </c>
      <c r="G1749" s="18">
        <v>4.0714290000000002</v>
      </c>
      <c r="H1749" s="240">
        <v>0</v>
      </c>
      <c r="I1749" s="240">
        <v>0</v>
      </c>
      <c r="J1749" s="240">
        <v>0</v>
      </c>
      <c r="K1749" s="240">
        <v>0</v>
      </c>
      <c r="L1749" s="240">
        <v>0</v>
      </c>
      <c r="M1749" s="240">
        <v>0</v>
      </c>
      <c r="N1749" s="240">
        <v>0</v>
      </c>
    </row>
    <row r="1750" spans="1:14" x14ac:dyDescent="0.3">
      <c r="A1750" s="135" t="s">
        <v>464</v>
      </c>
      <c r="B1750" s="137" t="s">
        <v>415</v>
      </c>
      <c r="C1750" s="137">
        <v>8</v>
      </c>
      <c r="D1750" s="9">
        <v>30.594374999999999</v>
      </c>
      <c r="E1750" s="8">
        <v>0</v>
      </c>
      <c r="F1750" s="8">
        <v>6.7914000000000003</v>
      </c>
      <c r="G1750" s="18">
        <v>4.25</v>
      </c>
      <c r="H1750" s="240">
        <v>0</v>
      </c>
      <c r="I1750" s="240">
        <v>0</v>
      </c>
      <c r="J1750" s="240">
        <v>0</v>
      </c>
      <c r="K1750" s="240">
        <v>0</v>
      </c>
      <c r="L1750" s="240">
        <v>0</v>
      </c>
      <c r="M1750" s="240">
        <v>0</v>
      </c>
      <c r="N1750" s="240">
        <v>0</v>
      </c>
    </row>
    <row r="1751" spans="1:14" x14ac:dyDescent="0.3">
      <c r="A1751" s="135" t="s">
        <v>464</v>
      </c>
      <c r="B1751" s="137" t="s">
        <v>415</v>
      </c>
      <c r="C1751" s="137">
        <v>9</v>
      </c>
      <c r="D1751" s="9">
        <v>30.625</v>
      </c>
      <c r="E1751" s="8">
        <v>0</v>
      </c>
      <c r="F1751" s="8">
        <v>6.9972000000000003</v>
      </c>
      <c r="G1751" s="18">
        <v>4.3888889999999998</v>
      </c>
      <c r="H1751" s="240">
        <v>0</v>
      </c>
      <c r="I1751" s="240">
        <v>0</v>
      </c>
      <c r="J1751" s="240">
        <v>0</v>
      </c>
      <c r="K1751" s="240">
        <v>0</v>
      </c>
      <c r="L1751" s="240">
        <v>0</v>
      </c>
      <c r="M1751" s="240">
        <v>0</v>
      </c>
      <c r="N1751" s="240">
        <v>0</v>
      </c>
    </row>
    <row r="1752" spans="1:14" x14ac:dyDescent="0.3">
      <c r="A1752" s="135" t="s">
        <v>464</v>
      </c>
      <c r="B1752" s="137" t="s">
        <v>415</v>
      </c>
      <c r="C1752" s="137">
        <v>10</v>
      </c>
      <c r="D1752" s="9">
        <v>30.6495</v>
      </c>
      <c r="E1752" s="8">
        <v>0</v>
      </c>
      <c r="F1752" s="8">
        <v>7.2853199999999996</v>
      </c>
      <c r="G1752" s="18">
        <v>4.55</v>
      </c>
      <c r="H1752" s="240">
        <v>0</v>
      </c>
      <c r="I1752" s="240">
        <v>0</v>
      </c>
      <c r="J1752" s="240">
        <v>0</v>
      </c>
      <c r="K1752" s="240">
        <v>0</v>
      </c>
      <c r="L1752" s="240">
        <v>0</v>
      </c>
      <c r="M1752" s="240">
        <v>0</v>
      </c>
      <c r="N1752" s="240">
        <v>0</v>
      </c>
    </row>
    <row r="1753" spans="1:14" x14ac:dyDescent="0.3">
      <c r="A1753" s="135" t="s">
        <v>464</v>
      </c>
      <c r="B1753" s="137" t="s">
        <v>415</v>
      </c>
      <c r="C1753" s="137">
        <v>11</v>
      </c>
      <c r="D1753" s="9">
        <v>30.669544999999999</v>
      </c>
      <c r="E1753" s="8">
        <v>0</v>
      </c>
      <c r="F1753" s="8">
        <v>7.5210549999999996</v>
      </c>
      <c r="G1753" s="18">
        <v>4.7045450000000004</v>
      </c>
      <c r="H1753" s="240">
        <v>0</v>
      </c>
      <c r="I1753" s="240">
        <v>0</v>
      </c>
      <c r="J1753" s="240">
        <v>0</v>
      </c>
      <c r="K1753" s="240">
        <v>0</v>
      </c>
      <c r="L1753" s="240">
        <v>0</v>
      </c>
      <c r="M1753" s="240">
        <v>0</v>
      </c>
      <c r="N1753" s="240">
        <v>0</v>
      </c>
    </row>
    <row r="1754" spans="1:14" x14ac:dyDescent="0.3">
      <c r="A1754" s="135" t="s">
        <v>464</v>
      </c>
      <c r="B1754" s="137" t="s">
        <v>415</v>
      </c>
      <c r="C1754" s="137">
        <v>12</v>
      </c>
      <c r="D1754" s="9">
        <v>30.686250000000001</v>
      </c>
      <c r="E1754" s="8">
        <v>0</v>
      </c>
      <c r="F1754" s="8">
        <v>7.7175000000000002</v>
      </c>
      <c r="G1754" s="18">
        <v>4.8541670000000003</v>
      </c>
      <c r="H1754" s="240">
        <v>0</v>
      </c>
      <c r="I1754" s="240">
        <v>0</v>
      </c>
      <c r="J1754" s="240">
        <v>0</v>
      </c>
      <c r="K1754" s="240">
        <v>0</v>
      </c>
      <c r="L1754" s="240">
        <v>0</v>
      </c>
      <c r="M1754" s="240">
        <v>0</v>
      </c>
      <c r="N1754" s="240">
        <v>0</v>
      </c>
    </row>
    <row r="1755" spans="1:14" x14ac:dyDescent="0.3">
      <c r="A1755" s="135" t="s">
        <v>464</v>
      </c>
      <c r="B1755" s="137" t="s">
        <v>415</v>
      </c>
      <c r="C1755" s="137">
        <v>13</v>
      </c>
      <c r="D1755" s="9">
        <v>30.700385000000001</v>
      </c>
      <c r="E1755" s="8">
        <v>0</v>
      </c>
      <c r="F1755" s="8">
        <v>7.8837229999999998</v>
      </c>
      <c r="G1755" s="18">
        <v>5.0192310000000004</v>
      </c>
      <c r="H1755" s="240">
        <v>0</v>
      </c>
      <c r="I1755" s="240">
        <v>0</v>
      </c>
      <c r="J1755" s="240">
        <v>0</v>
      </c>
      <c r="K1755" s="240">
        <v>0</v>
      </c>
      <c r="L1755" s="240">
        <v>0</v>
      </c>
      <c r="M1755" s="240">
        <v>0</v>
      </c>
      <c r="N1755" s="240">
        <v>0</v>
      </c>
    </row>
    <row r="1756" spans="1:14" x14ac:dyDescent="0.3">
      <c r="A1756" s="135" t="s">
        <v>464</v>
      </c>
      <c r="B1756" s="137" t="s">
        <v>415</v>
      </c>
      <c r="C1756" s="137">
        <v>14</v>
      </c>
      <c r="D1756" s="9">
        <v>30.712499999999999</v>
      </c>
      <c r="E1756" s="8">
        <v>0</v>
      </c>
      <c r="F1756" s="8">
        <v>8.2908000000000008</v>
      </c>
      <c r="G1756" s="18">
        <v>5.1607139999999996</v>
      </c>
      <c r="H1756" s="240">
        <v>0</v>
      </c>
      <c r="I1756" s="240">
        <v>0</v>
      </c>
      <c r="J1756" s="240">
        <v>0</v>
      </c>
      <c r="K1756" s="240">
        <v>0</v>
      </c>
      <c r="L1756" s="240">
        <v>0</v>
      </c>
      <c r="M1756" s="240">
        <v>0</v>
      </c>
      <c r="N1756" s="240">
        <v>0</v>
      </c>
    </row>
    <row r="1757" spans="1:14" x14ac:dyDescent="0.3">
      <c r="A1757" s="135" t="s">
        <v>464</v>
      </c>
      <c r="B1757" s="137" t="s">
        <v>415</v>
      </c>
      <c r="C1757" s="137">
        <v>15</v>
      </c>
      <c r="D1757" s="9">
        <v>30.722999999999999</v>
      </c>
      <c r="E1757" s="8">
        <v>0</v>
      </c>
      <c r="F1757" s="8">
        <v>8.6435999999999993</v>
      </c>
      <c r="G1757" s="18">
        <v>5.3166669999999998</v>
      </c>
      <c r="H1757" s="240">
        <v>0</v>
      </c>
      <c r="I1757" s="240">
        <v>0</v>
      </c>
      <c r="J1757" s="240">
        <v>0</v>
      </c>
      <c r="K1757" s="240">
        <v>0</v>
      </c>
      <c r="L1757" s="240">
        <v>0</v>
      </c>
      <c r="M1757" s="240">
        <v>0</v>
      </c>
      <c r="N1757" s="240">
        <v>0</v>
      </c>
    </row>
    <row r="1758" spans="1:14" x14ac:dyDescent="0.3">
      <c r="A1758" s="135" t="s">
        <v>464</v>
      </c>
      <c r="B1758" s="137" t="s">
        <v>415</v>
      </c>
      <c r="C1758" s="137">
        <v>16</v>
      </c>
      <c r="D1758" s="9">
        <v>30.732187</v>
      </c>
      <c r="E1758" s="8">
        <v>0</v>
      </c>
      <c r="F1758" s="8">
        <v>8.9522999999999993</v>
      </c>
      <c r="G1758" s="18">
        <v>5.46875</v>
      </c>
      <c r="H1758" s="240">
        <v>0</v>
      </c>
      <c r="I1758" s="240">
        <v>0</v>
      </c>
      <c r="J1758" s="240">
        <v>0</v>
      </c>
      <c r="K1758" s="240">
        <v>0</v>
      </c>
      <c r="L1758" s="240">
        <v>0</v>
      </c>
      <c r="M1758" s="240">
        <v>0</v>
      </c>
      <c r="N1758" s="240">
        <v>0</v>
      </c>
    </row>
    <row r="1759" spans="1:14" x14ac:dyDescent="0.3">
      <c r="A1759" s="135" t="s">
        <v>464</v>
      </c>
      <c r="B1759" s="137" t="s">
        <v>415</v>
      </c>
      <c r="C1759" s="137">
        <v>17</v>
      </c>
      <c r="D1759" s="9">
        <v>30.740293999999999</v>
      </c>
      <c r="E1759" s="8">
        <v>0</v>
      </c>
      <c r="F1759" s="8">
        <v>9.2246819999999996</v>
      </c>
      <c r="G1759" s="18">
        <v>5.6029410000000004</v>
      </c>
      <c r="H1759" s="240">
        <v>0</v>
      </c>
      <c r="I1759" s="240">
        <v>0</v>
      </c>
      <c r="J1759" s="240">
        <v>0</v>
      </c>
      <c r="K1759" s="240">
        <v>0</v>
      </c>
      <c r="L1759" s="240">
        <v>0</v>
      </c>
      <c r="M1759" s="240">
        <v>0</v>
      </c>
      <c r="N1759" s="240">
        <v>0</v>
      </c>
    </row>
    <row r="1760" spans="1:14" x14ac:dyDescent="0.3">
      <c r="A1760" s="135" t="s">
        <v>464</v>
      </c>
      <c r="B1760" s="137" t="s">
        <v>415</v>
      </c>
      <c r="C1760" s="137">
        <v>18</v>
      </c>
      <c r="D1760" s="9">
        <v>30.747499999999999</v>
      </c>
      <c r="E1760" s="8">
        <v>0</v>
      </c>
      <c r="F1760" s="8">
        <v>9.4667999999999992</v>
      </c>
      <c r="G1760" s="18">
        <v>5.75</v>
      </c>
      <c r="H1760" s="240">
        <v>0</v>
      </c>
      <c r="I1760" s="240">
        <v>0</v>
      </c>
      <c r="J1760" s="240">
        <v>0</v>
      </c>
      <c r="K1760" s="240">
        <v>0</v>
      </c>
      <c r="L1760" s="240">
        <v>0</v>
      </c>
      <c r="M1760" s="240">
        <v>0</v>
      </c>
      <c r="N1760" s="240">
        <v>0</v>
      </c>
    </row>
    <row r="1761" spans="1:14" x14ac:dyDescent="0.3">
      <c r="A1761" s="135" t="s">
        <v>464</v>
      </c>
      <c r="B1761" s="137" t="s">
        <v>415</v>
      </c>
      <c r="C1761" s="137">
        <v>19</v>
      </c>
      <c r="D1761" s="9">
        <v>30.753947</v>
      </c>
      <c r="E1761" s="8">
        <v>0</v>
      </c>
      <c r="F1761" s="8">
        <v>9.6834319999999998</v>
      </c>
      <c r="G1761" s="18">
        <v>5.8815790000000003</v>
      </c>
      <c r="H1761" s="240">
        <v>0</v>
      </c>
      <c r="I1761" s="240">
        <v>0</v>
      </c>
      <c r="J1761" s="240">
        <v>0</v>
      </c>
      <c r="K1761" s="240">
        <v>0</v>
      </c>
      <c r="L1761" s="240">
        <v>0</v>
      </c>
      <c r="M1761" s="240">
        <v>0</v>
      </c>
      <c r="N1761" s="240">
        <v>0</v>
      </c>
    </row>
    <row r="1762" spans="1:14" x14ac:dyDescent="0.3">
      <c r="A1762" s="135" t="s">
        <v>464</v>
      </c>
      <c r="B1762" s="137" t="s">
        <v>415</v>
      </c>
      <c r="C1762" s="137">
        <v>20</v>
      </c>
      <c r="D1762" s="9">
        <v>30.75975</v>
      </c>
      <c r="E1762" s="8">
        <v>0</v>
      </c>
      <c r="F1762" s="8">
        <v>9.8783999999999992</v>
      </c>
      <c r="G1762" s="18">
        <v>6.0250000000000004</v>
      </c>
      <c r="H1762" s="240">
        <v>0</v>
      </c>
      <c r="I1762" s="240">
        <v>0</v>
      </c>
      <c r="J1762" s="240">
        <v>0</v>
      </c>
      <c r="K1762" s="240">
        <v>0</v>
      </c>
      <c r="L1762" s="240">
        <v>0</v>
      </c>
      <c r="M1762" s="240">
        <v>0</v>
      </c>
      <c r="N1762" s="240">
        <v>0</v>
      </c>
    </row>
    <row r="1763" spans="1:14" x14ac:dyDescent="0.3">
      <c r="A1763" s="135" t="s">
        <v>464</v>
      </c>
      <c r="B1763" s="137" t="s">
        <v>415</v>
      </c>
      <c r="C1763" s="137">
        <v>21</v>
      </c>
      <c r="D1763" s="9">
        <v>30.765000000000001</v>
      </c>
      <c r="E1763" s="8">
        <v>0</v>
      </c>
      <c r="F1763" s="8">
        <v>10.0548</v>
      </c>
      <c r="G1763" s="18">
        <v>6.1547619999999998</v>
      </c>
      <c r="H1763" s="240">
        <v>0</v>
      </c>
      <c r="I1763" s="240">
        <v>0</v>
      </c>
      <c r="J1763" s="240">
        <v>0</v>
      </c>
      <c r="K1763" s="240">
        <v>0</v>
      </c>
      <c r="L1763" s="240">
        <v>0</v>
      </c>
      <c r="M1763" s="240">
        <v>0</v>
      </c>
      <c r="N1763" s="240">
        <v>0</v>
      </c>
    </row>
    <row r="1764" spans="1:14" x14ac:dyDescent="0.3">
      <c r="A1764" s="135" t="s">
        <v>464</v>
      </c>
      <c r="B1764" s="137" t="s">
        <v>415</v>
      </c>
      <c r="C1764" s="137">
        <v>22</v>
      </c>
      <c r="D1764" s="9">
        <v>30.769773000000001</v>
      </c>
      <c r="E1764" s="8">
        <v>0</v>
      </c>
      <c r="F1764" s="8">
        <v>10.215164</v>
      </c>
      <c r="G1764" s="18">
        <v>6.2840910000000001</v>
      </c>
      <c r="H1764" s="240">
        <v>0</v>
      </c>
      <c r="I1764" s="240">
        <v>0</v>
      </c>
      <c r="J1764" s="240">
        <v>0</v>
      </c>
      <c r="K1764" s="240">
        <v>0</v>
      </c>
      <c r="L1764" s="240">
        <v>0</v>
      </c>
      <c r="M1764" s="240">
        <v>0</v>
      </c>
      <c r="N1764" s="240">
        <v>0</v>
      </c>
    </row>
    <row r="1765" spans="1:14" x14ac:dyDescent="0.3">
      <c r="A1765" s="135" t="s">
        <v>464</v>
      </c>
      <c r="B1765" s="137" t="s">
        <v>415</v>
      </c>
      <c r="C1765" s="137">
        <v>23</v>
      </c>
      <c r="D1765" s="9">
        <v>30.77413</v>
      </c>
      <c r="E1765" s="8">
        <v>0</v>
      </c>
      <c r="F1765" s="8">
        <v>10.361583</v>
      </c>
      <c r="G1765" s="18">
        <v>6.4021739999999996</v>
      </c>
      <c r="H1765" s="240">
        <v>0</v>
      </c>
      <c r="I1765" s="240">
        <v>0</v>
      </c>
      <c r="J1765" s="240">
        <v>0</v>
      </c>
      <c r="K1765" s="240">
        <v>0</v>
      </c>
      <c r="L1765" s="240">
        <v>0</v>
      </c>
      <c r="M1765" s="240">
        <v>0</v>
      </c>
      <c r="N1765" s="240">
        <v>0</v>
      </c>
    </row>
    <row r="1766" spans="1:14" x14ac:dyDescent="0.3">
      <c r="A1766" s="135" t="s">
        <v>464</v>
      </c>
      <c r="B1766" s="137" t="s">
        <v>415</v>
      </c>
      <c r="C1766" s="137">
        <v>24</v>
      </c>
      <c r="D1766" s="9">
        <v>30.778124999999999</v>
      </c>
      <c r="E1766" s="8">
        <v>0</v>
      </c>
      <c r="F1766" s="8">
        <v>10.54725</v>
      </c>
      <c r="G1766" s="18">
        <v>6.53125</v>
      </c>
      <c r="H1766" s="240">
        <v>0</v>
      </c>
      <c r="I1766" s="240">
        <v>0</v>
      </c>
      <c r="J1766" s="240">
        <v>0</v>
      </c>
      <c r="K1766" s="240">
        <v>0</v>
      </c>
      <c r="L1766" s="240">
        <v>0</v>
      </c>
      <c r="M1766" s="240">
        <v>0</v>
      </c>
      <c r="N1766" s="240">
        <v>0</v>
      </c>
    </row>
    <row r="1767" spans="1:14" x14ac:dyDescent="0.3">
      <c r="A1767" s="135" t="s">
        <v>464</v>
      </c>
      <c r="B1767" s="137" t="s">
        <v>415</v>
      </c>
      <c r="C1767" s="137">
        <v>25</v>
      </c>
      <c r="D1767" s="9">
        <v>30.7818</v>
      </c>
      <c r="E1767" s="8">
        <v>0</v>
      </c>
      <c r="F1767" s="8">
        <v>10.718064</v>
      </c>
      <c r="G1767" s="18">
        <v>6.66</v>
      </c>
      <c r="H1767" s="240">
        <v>0</v>
      </c>
      <c r="I1767" s="240">
        <v>0</v>
      </c>
      <c r="J1767" s="240">
        <v>0</v>
      </c>
      <c r="K1767" s="240">
        <v>0</v>
      </c>
      <c r="L1767" s="240">
        <v>0</v>
      </c>
      <c r="M1767" s="240">
        <v>0</v>
      </c>
      <c r="N1767" s="240">
        <v>0</v>
      </c>
    </row>
    <row r="1768" spans="1:14" x14ac:dyDescent="0.3">
      <c r="A1768" s="135" t="s">
        <v>464</v>
      </c>
      <c r="B1768" s="137" t="s">
        <v>415</v>
      </c>
      <c r="C1768" s="137">
        <v>26</v>
      </c>
      <c r="D1768" s="9">
        <v>30.785191999999999</v>
      </c>
      <c r="E1768" s="8">
        <v>0</v>
      </c>
      <c r="F1768" s="8">
        <v>10.875738</v>
      </c>
      <c r="G1768" s="18">
        <v>6.7788459999999997</v>
      </c>
      <c r="H1768" s="240">
        <v>0</v>
      </c>
      <c r="I1768" s="240">
        <v>0</v>
      </c>
      <c r="J1768" s="240">
        <v>0</v>
      </c>
      <c r="K1768" s="240">
        <v>0</v>
      </c>
      <c r="L1768" s="240">
        <v>0</v>
      </c>
      <c r="M1768" s="240">
        <v>0</v>
      </c>
      <c r="N1768" s="240">
        <v>0</v>
      </c>
    </row>
    <row r="1769" spans="1:14" x14ac:dyDescent="0.3">
      <c r="A1769" s="135" t="s">
        <v>464</v>
      </c>
      <c r="B1769" s="137" t="s">
        <v>415</v>
      </c>
      <c r="C1769" s="137">
        <v>27</v>
      </c>
      <c r="D1769" s="9">
        <v>30.788333000000002</v>
      </c>
      <c r="E1769" s="8">
        <v>0</v>
      </c>
      <c r="F1769" s="8">
        <v>11.067467000000001</v>
      </c>
      <c r="G1769" s="18">
        <v>6.8981479999999999</v>
      </c>
      <c r="H1769" s="240">
        <v>0</v>
      </c>
      <c r="I1769" s="240">
        <v>0</v>
      </c>
      <c r="J1769" s="240">
        <v>0</v>
      </c>
      <c r="K1769" s="240">
        <v>0</v>
      </c>
      <c r="L1769" s="240">
        <v>0</v>
      </c>
      <c r="M1769" s="240">
        <v>0</v>
      </c>
      <c r="N1769" s="240">
        <v>0</v>
      </c>
    </row>
    <row r="1770" spans="1:14" x14ac:dyDescent="0.3">
      <c r="A1770" s="135" t="s">
        <v>464</v>
      </c>
      <c r="B1770" s="137" t="s">
        <v>415</v>
      </c>
      <c r="C1770" s="137">
        <v>28</v>
      </c>
      <c r="D1770" s="9">
        <v>30.791250000000002</v>
      </c>
      <c r="E1770" s="8">
        <v>0</v>
      </c>
      <c r="F1770" s="8">
        <v>11.2455</v>
      </c>
      <c r="G1770" s="18">
        <v>7.0178570000000002</v>
      </c>
      <c r="H1770" s="240">
        <v>0</v>
      </c>
      <c r="I1770" s="240">
        <v>0</v>
      </c>
      <c r="J1770" s="240">
        <v>0</v>
      </c>
      <c r="K1770" s="240">
        <v>0</v>
      </c>
      <c r="L1770" s="240">
        <v>0</v>
      </c>
      <c r="M1770" s="240">
        <v>0</v>
      </c>
      <c r="N1770" s="240">
        <v>0</v>
      </c>
    </row>
    <row r="1771" spans="1:14" x14ac:dyDescent="0.3">
      <c r="A1771" s="135" t="s">
        <v>464</v>
      </c>
      <c r="B1771" s="137" t="s">
        <v>415</v>
      </c>
      <c r="C1771" s="137">
        <v>29</v>
      </c>
      <c r="D1771" s="9">
        <v>30.793966000000001</v>
      </c>
      <c r="E1771" s="8">
        <v>0</v>
      </c>
      <c r="F1771" s="8">
        <v>11.453834000000001</v>
      </c>
      <c r="G1771" s="18">
        <v>7.137931</v>
      </c>
      <c r="H1771" s="240">
        <v>0</v>
      </c>
      <c r="I1771" s="240">
        <v>0</v>
      </c>
      <c r="J1771" s="240">
        <v>0</v>
      </c>
      <c r="K1771" s="240">
        <v>0</v>
      </c>
      <c r="L1771" s="240">
        <v>0</v>
      </c>
      <c r="M1771" s="240">
        <v>0</v>
      </c>
      <c r="N1771" s="240">
        <v>0</v>
      </c>
    </row>
    <row r="1772" spans="1:14" x14ac:dyDescent="0.3">
      <c r="A1772" s="138" t="s">
        <v>464</v>
      </c>
      <c r="B1772" s="137" t="s">
        <v>415</v>
      </c>
      <c r="C1772" s="137">
        <v>30</v>
      </c>
      <c r="D1772" s="9">
        <v>30.796500000000002</v>
      </c>
      <c r="E1772" s="8">
        <v>0</v>
      </c>
      <c r="F1772" s="8">
        <v>11.64828</v>
      </c>
      <c r="G1772" s="18">
        <v>7.2583330000000004</v>
      </c>
      <c r="H1772" s="240">
        <v>0</v>
      </c>
      <c r="I1772" s="240">
        <v>0</v>
      </c>
      <c r="J1772" s="240">
        <v>0</v>
      </c>
      <c r="K1772" s="240">
        <v>0</v>
      </c>
      <c r="L1772" s="240">
        <v>0</v>
      </c>
      <c r="M1772" s="240">
        <v>0</v>
      </c>
      <c r="N1772" s="240">
        <v>0</v>
      </c>
    </row>
    <row r="1773" spans="1:14" x14ac:dyDescent="0.3">
      <c r="A1773" s="135" t="s">
        <v>464</v>
      </c>
      <c r="B1773" s="137" t="s">
        <v>422</v>
      </c>
      <c r="C1773" s="137">
        <v>1</v>
      </c>
      <c r="D1773" s="9">
        <v>10.3302</v>
      </c>
      <c r="E1773" s="8">
        <v>2.9257200000000001</v>
      </c>
      <c r="F1773" s="8">
        <v>0.41176800000000002</v>
      </c>
      <c r="G1773" s="18">
        <v>9.5</v>
      </c>
      <c r="H1773" s="240">
        <v>0</v>
      </c>
      <c r="I1773" s="240">
        <v>0</v>
      </c>
      <c r="J1773" s="240">
        <v>0</v>
      </c>
      <c r="K1773" s="240">
        <v>0</v>
      </c>
      <c r="L1773" s="240">
        <v>0</v>
      </c>
      <c r="M1773" s="240">
        <v>0</v>
      </c>
      <c r="N1773" s="240">
        <v>0</v>
      </c>
    </row>
    <row r="1774" spans="1:14" x14ac:dyDescent="0.3">
      <c r="A1774" s="135" t="s">
        <v>464</v>
      </c>
      <c r="B1774" s="136" t="s">
        <v>422</v>
      </c>
      <c r="C1774" s="137">
        <v>2</v>
      </c>
      <c r="D1774" s="9">
        <v>10.605600000000001</v>
      </c>
      <c r="E1774" s="8">
        <v>2.9257200000000001</v>
      </c>
      <c r="F1774" s="8">
        <v>0.61358900000000005</v>
      </c>
      <c r="G1774" s="18">
        <v>7.625</v>
      </c>
      <c r="H1774" s="240">
        <v>0</v>
      </c>
      <c r="I1774" s="240">
        <v>0</v>
      </c>
      <c r="J1774" s="240">
        <v>0</v>
      </c>
      <c r="K1774" s="240">
        <v>0</v>
      </c>
      <c r="L1774" s="240">
        <v>0</v>
      </c>
      <c r="M1774" s="240">
        <v>0</v>
      </c>
      <c r="N1774" s="240">
        <v>0</v>
      </c>
    </row>
    <row r="1775" spans="1:14" x14ac:dyDescent="0.3">
      <c r="A1775" s="135" t="s">
        <v>464</v>
      </c>
      <c r="B1775" s="137" t="s">
        <v>422</v>
      </c>
      <c r="C1775" s="137">
        <v>3</v>
      </c>
      <c r="D1775" s="9">
        <v>10.6974</v>
      </c>
      <c r="E1775" s="8">
        <v>2.9257200000000001</v>
      </c>
      <c r="F1775" s="8">
        <v>0.75851999999999997</v>
      </c>
      <c r="G1775" s="18">
        <v>7.3333329999999997</v>
      </c>
      <c r="H1775" s="240">
        <v>0</v>
      </c>
      <c r="I1775" s="240">
        <v>0</v>
      </c>
      <c r="J1775" s="240">
        <v>0</v>
      </c>
      <c r="K1775" s="240">
        <v>0</v>
      </c>
      <c r="L1775" s="240">
        <v>0</v>
      </c>
      <c r="M1775" s="240">
        <v>0</v>
      </c>
      <c r="N1775" s="240">
        <v>0</v>
      </c>
    </row>
    <row r="1776" spans="1:14" x14ac:dyDescent="0.3">
      <c r="A1776" s="135" t="s">
        <v>464</v>
      </c>
      <c r="B1776" s="137" t="s">
        <v>422</v>
      </c>
      <c r="C1776" s="137">
        <v>4</v>
      </c>
      <c r="D1776" s="9">
        <v>10.7433</v>
      </c>
      <c r="E1776" s="8">
        <v>2.9257200000000001</v>
      </c>
      <c r="F1776" s="8">
        <v>0.89397000000000004</v>
      </c>
      <c r="G1776" s="18">
        <v>7.375</v>
      </c>
      <c r="H1776" s="240">
        <v>0</v>
      </c>
      <c r="I1776" s="240">
        <v>0</v>
      </c>
      <c r="J1776" s="240">
        <v>0</v>
      </c>
      <c r="K1776" s="240">
        <v>0</v>
      </c>
      <c r="L1776" s="240">
        <v>0</v>
      </c>
      <c r="M1776" s="240">
        <v>0</v>
      </c>
      <c r="N1776" s="240">
        <v>0</v>
      </c>
    </row>
    <row r="1777" spans="1:14" x14ac:dyDescent="0.3">
      <c r="A1777" s="135" t="s">
        <v>464</v>
      </c>
      <c r="B1777" s="137" t="s">
        <v>422</v>
      </c>
      <c r="C1777" s="137">
        <v>5</v>
      </c>
      <c r="D1777" s="9">
        <v>10.77084</v>
      </c>
      <c r="E1777" s="8">
        <v>2.9257200000000001</v>
      </c>
      <c r="F1777" s="8">
        <v>1.0792660000000001</v>
      </c>
      <c r="G1777" s="18">
        <v>7.5</v>
      </c>
      <c r="H1777" s="240">
        <v>0</v>
      </c>
      <c r="I1777" s="240">
        <v>0</v>
      </c>
      <c r="J1777" s="240">
        <v>0</v>
      </c>
      <c r="K1777" s="240">
        <v>0</v>
      </c>
      <c r="L1777" s="240">
        <v>0</v>
      </c>
      <c r="M1777" s="240">
        <v>0</v>
      </c>
      <c r="N1777" s="240">
        <v>0</v>
      </c>
    </row>
    <row r="1778" spans="1:14" x14ac:dyDescent="0.3">
      <c r="A1778" s="135" t="s">
        <v>464</v>
      </c>
      <c r="B1778" s="137" t="s">
        <v>422</v>
      </c>
      <c r="C1778" s="137">
        <v>6</v>
      </c>
      <c r="D1778" s="9">
        <v>10.789199999999999</v>
      </c>
      <c r="E1778" s="8">
        <v>2.9257200000000001</v>
      </c>
      <c r="F1778" s="8">
        <v>1.202796</v>
      </c>
      <c r="G1778" s="18">
        <v>7.75</v>
      </c>
      <c r="H1778" s="240">
        <v>0</v>
      </c>
      <c r="I1778" s="240">
        <v>0</v>
      </c>
      <c r="J1778" s="240">
        <v>0</v>
      </c>
      <c r="K1778" s="240">
        <v>0</v>
      </c>
      <c r="L1778" s="240">
        <v>0</v>
      </c>
      <c r="M1778" s="240">
        <v>0</v>
      </c>
      <c r="N1778" s="240">
        <v>0</v>
      </c>
    </row>
    <row r="1779" spans="1:14" x14ac:dyDescent="0.3">
      <c r="A1779" s="135" t="s">
        <v>464</v>
      </c>
      <c r="B1779" s="137" t="s">
        <v>422</v>
      </c>
      <c r="C1779" s="137">
        <v>7</v>
      </c>
      <c r="D1779" s="9">
        <v>10.802314000000001</v>
      </c>
      <c r="E1779" s="8">
        <v>2.9257200000000001</v>
      </c>
      <c r="F1779" s="8">
        <v>1.306168</v>
      </c>
      <c r="G1779" s="18">
        <v>7.9642860000000004</v>
      </c>
      <c r="H1779" s="240">
        <v>0</v>
      </c>
      <c r="I1779" s="240">
        <v>0</v>
      </c>
      <c r="J1779" s="240">
        <v>0</v>
      </c>
      <c r="K1779" s="240">
        <v>0</v>
      </c>
      <c r="L1779" s="240">
        <v>0</v>
      </c>
      <c r="M1779" s="240">
        <v>0</v>
      </c>
      <c r="N1779" s="240">
        <v>0</v>
      </c>
    </row>
    <row r="1780" spans="1:14" x14ac:dyDescent="0.3">
      <c r="A1780" s="135" t="s">
        <v>464</v>
      </c>
      <c r="B1780" s="137" t="s">
        <v>422</v>
      </c>
      <c r="C1780" s="137">
        <v>8</v>
      </c>
      <c r="D1780" s="9">
        <v>10.812150000000001</v>
      </c>
      <c r="E1780" s="8">
        <v>2.9257200000000001</v>
      </c>
      <c r="F1780" s="8">
        <v>1.383697</v>
      </c>
      <c r="G1780" s="18">
        <v>8.21875</v>
      </c>
      <c r="H1780" s="240">
        <v>0</v>
      </c>
      <c r="I1780" s="240">
        <v>0</v>
      </c>
      <c r="J1780" s="240">
        <v>0</v>
      </c>
      <c r="K1780" s="240">
        <v>0</v>
      </c>
      <c r="L1780" s="240">
        <v>0</v>
      </c>
      <c r="M1780" s="240">
        <v>0</v>
      </c>
      <c r="N1780" s="240">
        <v>0</v>
      </c>
    </row>
    <row r="1781" spans="1:14" x14ac:dyDescent="0.3">
      <c r="A1781" s="135" t="s">
        <v>464</v>
      </c>
      <c r="B1781" s="137" t="s">
        <v>422</v>
      </c>
      <c r="C1781" s="137">
        <v>9</v>
      </c>
      <c r="D1781" s="9">
        <v>10.819800000000001</v>
      </c>
      <c r="E1781" s="8">
        <v>2.9257200000000001</v>
      </c>
      <c r="F1781" s="8">
        <v>1.547809</v>
      </c>
      <c r="G1781" s="18">
        <v>8.5</v>
      </c>
      <c r="H1781" s="240">
        <v>0</v>
      </c>
      <c r="I1781" s="240">
        <v>0</v>
      </c>
      <c r="J1781" s="240">
        <v>0</v>
      </c>
      <c r="K1781" s="240">
        <v>0</v>
      </c>
      <c r="L1781" s="240">
        <v>0</v>
      </c>
      <c r="M1781" s="240">
        <v>0</v>
      </c>
      <c r="N1781" s="240">
        <v>0</v>
      </c>
    </row>
    <row r="1782" spans="1:14" x14ac:dyDescent="0.3">
      <c r="A1782" s="135" t="s">
        <v>464</v>
      </c>
      <c r="B1782" s="137" t="s">
        <v>422</v>
      </c>
      <c r="C1782" s="137">
        <v>10</v>
      </c>
      <c r="D1782" s="9">
        <v>10.82592</v>
      </c>
      <c r="E1782" s="8">
        <v>2.9257200000000001</v>
      </c>
      <c r="F1782" s="8">
        <v>1.679098</v>
      </c>
      <c r="G1782" s="18">
        <v>8.75</v>
      </c>
      <c r="H1782" s="240">
        <v>0</v>
      </c>
      <c r="I1782" s="240">
        <v>0</v>
      </c>
      <c r="J1782" s="240">
        <v>0</v>
      </c>
      <c r="K1782" s="240">
        <v>0</v>
      </c>
      <c r="L1782" s="240">
        <v>0</v>
      </c>
      <c r="M1782" s="240">
        <v>0</v>
      </c>
      <c r="N1782" s="240">
        <v>0</v>
      </c>
    </row>
    <row r="1783" spans="1:14" x14ac:dyDescent="0.3">
      <c r="A1783" s="135" t="s">
        <v>464</v>
      </c>
      <c r="B1783" s="137" t="s">
        <v>422</v>
      </c>
      <c r="C1783" s="137">
        <v>11</v>
      </c>
      <c r="D1783" s="9">
        <v>10.830927000000001</v>
      </c>
      <c r="E1783" s="8">
        <v>2.9257200000000001</v>
      </c>
      <c r="F1783" s="8">
        <v>1.7865169999999999</v>
      </c>
      <c r="G1783" s="18">
        <v>9</v>
      </c>
      <c r="H1783" s="240">
        <v>0</v>
      </c>
      <c r="I1783" s="240">
        <v>0</v>
      </c>
      <c r="J1783" s="240">
        <v>0</v>
      </c>
      <c r="K1783" s="240">
        <v>0</v>
      </c>
      <c r="L1783" s="240">
        <v>0</v>
      </c>
      <c r="M1783" s="240">
        <v>0</v>
      </c>
      <c r="N1783" s="240">
        <v>0</v>
      </c>
    </row>
    <row r="1784" spans="1:14" x14ac:dyDescent="0.3">
      <c r="A1784" s="135" t="s">
        <v>464</v>
      </c>
      <c r="B1784" s="137" t="s">
        <v>422</v>
      </c>
      <c r="C1784" s="137">
        <v>12</v>
      </c>
      <c r="D1784" s="9">
        <v>10.835100000000001</v>
      </c>
      <c r="E1784" s="8">
        <v>2.9257200000000001</v>
      </c>
      <c r="F1784" s="8">
        <v>1.888474</v>
      </c>
      <c r="G1784" s="18">
        <v>9.2708329999999997</v>
      </c>
      <c r="H1784" s="240">
        <v>0</v>
      </c>
      <c r="I1784" s="240">
        <v>0</v>
      </c>
      <c r="J1784" s="240">
        <v>0</v>
      </c>
      <c r="K1784" s="240">
        <v>0</v>
      </c>
      <c r="L1784" s="240">
        <v>0</v>
      </c>
      <c r="M1784" s="240">
        <v>0</v>
      </c>
      <c r="N1784" s="240">
        <v>0</v>
      </c>
    </row>
    <row r="1785" spans="1:14" x14ac:dyDescent="0.3">
      <c r="A1785" s="135" t="s">
        <v>464</v>
      </c>
      <c r="B1785" s="137" t="s">
        <v>422</v>
      </c>
      <c r="C1785" s="137">
        <v>13</v>
      </c>
      <c r="D1785" s="9">
        <v>10.838630999999999</v>
      </c>
      <c r="E1785" s="8">
        <v>2.9257200000000001</v>
      </c>
      <c r="F1785" s="8">
        <v>1.974745</v>
      </c>
      <c r="G1785" s="18">
        <v>9.5192309999999996</v>
      </c>
      <c r="H1785" s="240">
        <v>0</v>
      </c>
      <c r="I1785" s="240">
        <v>0</v>
      </c>
      <c r="J1785" s="240">
        <v>0</v>
      </c>
      <c r="K1785" s="240">
        <v>0</v>
      </c>
      <c r="L1785" s="240">
        <v>0</v>
      </c>
      <c r="M1785" s="240">
        <v>0</v>
      </c>
      <c r="N1785" s="240">
        <v>0</v>
      </c>
    </row>
    <row r="1786" spans="1:14" x14ac:dyDescent="0.3">
      <c r="A1786" s="135" t="s">
        <v>464</v>
      </c>
      <c r="B1786" s="137" t="s">
        <v>422</v>
      </c>
      <c r="C1786" s="137">
        <v>14</v>
      </c>
      <c r="D1786" s="9">
        <v>10.841657</v>
      </c>
      <c r="E1786" s="8">
        <v>2.9257200000000001</v>
      </c>
      <c r="F1786" s="8">
        <v>2.1123319999999999</v>
      </c>
      <c r="G1786" s="18">
        <v>9.7678569999999993</v>
      </c>
      <c r="H1786" s="240">
        <v>0</v>
      </c>
      <c r="I1786" s="240">
        <v>0</v>
      </c>
      <c r="J1786" s="240">
        <v>0</v>
      </c>
      <c r="K1786" s="240">
        <v>0</v>
      </c>
      <c r="L1786" s="240">
        <v>0</v>
      </c>
      <c r="M1786" s="240">
        <v>0</v>
      </c>
      <c r="N1786" s="240">
        <v>0</v>
      </c>
    </row>
    <row r="1787" spans="1:14" x14ac:dyDescent="0.3">
      <c r="A1787" s="135" t="s">
        <v>464</v>
      </c>
      <c r="B1787" s="137" t="s">
        <v>422</v>
      </c>
      <c r="C1787" s="137">
        <v>15</v>
      </c>
      <c r="D1787" s="9">
        <v>10.844279999999999</v>
      </c>
      <c r="E1787" s="8">
        <v>2.9257200000000001</v>
      </c>
      <c r="F1787" s="8">
        <v>2.2315740000000002</v>
      </c>
      <c r="G1787" s="18">
        <v>10.016667</v>
      </c>
      <c r="H1787" s="240">
        <v>0</v>
      </c>
      <c r="I1787" s="240">
        <v>0</v>
      </c>
      <c r="J1787" s="240">
        <v>0</v>
      </c>
      <c r="K1787" s="240">
        <v>0</v>
      </c>
      <c r="L1787" s="240">
        <v>0</v>
      </c>
      <c r="M1787" s="240">
        <v>0</v>
      </c>
      <c r="N1787" s="240">
        <v>0</v>
      </c>
    </row>
    <row r="1788" spans="1:14" x14ac:dyDescent="0.3">
      <c r="A1788" s="135" t="s">
        <v>464</v>
      </c>
      <c r="B1788" s="137" t="s">
        <v>422</v>
      </c>
      <c r="C1788" s="137">
        <v>16</v>
      </c>
      <c r="D1788" s="9">
        <v>10.846575</v>
      </c>
      <c r="E1788" s="8">
        <v>2.9257200000000001</v>
      </c>
      <c r="F1788" s="8">
        <v>2.363</v>
      </c>
      <c r="G1788" s="18">
        <v>10.25</v>
      </c>
      <c r="H1788" s="240">
        <v>0</v>
      </c>
      <c r="I1788" s="240">
        <v>0</v>
      </c>
      <c r="J1788" s="240">
        <v>0</v>
      </c>
      <c r="K1788" s="240">
        <v>0</v>
      </c>
      <c r="L1788" s="240">
        <v>0</v>
      </c>
      <c r="M1788" s="240">
        <v>0</v>
      </c>
      <c r="N1788" s="240">
        <v>0</v>
      </c>
    </row>
    <row r="1789" spans="1:14" x14ac:dyDescent="0.3">
      <c r="A1789" s="135" t="s">
        <v>464</v>
      </c>
      <c r="B1789" s="137" t="s">
        <v>422</v>
      </c>
      <c r="C1789" s="137">
        <v>17</v>
      </c>
      <c r="D1789" s="9">
        <v>10.848599999999999</v>
      </c>
      <c r="E1789" s="8">
        <v>2.9257200000000001</v>
      </c>
      <c r="F1789" s="8">
        <v>2.4789650000000001</v>
      </c>
      <c r="G1789" s="18">
        <v>10.5</v>
      </c>
      <c r="H1789" s="240">
        <v>0</v>
      </c>
      <c r="I1789" s="240">
        <v>0</v>
      </c>
      <c r="J1789" s="240">
        <v>0</v>
      </c>
      <c r="K1789" s="240">
        <v>0</v>
      </c>
      <c r="L1789" s="240">
        <v>0</v>
      </c>
      <c r="M1789" s="240">
        <v>0</v>
      </c>
      <c r="N1789" s="240">
        <v>0</v>
      </c>
    </row>
    <row r="1790" spans="1:14" x14ac:dyDescent="0.3">
      <c r="A1790" s="135" t="s">
        <v>464</v>
      </c>
      <c r="B1790" s="137" t="s">
        <v>422</v>
      </c>
      <c r="C1790" s="137">
        <v>18</v>
      </c>
      <c r="D1790" s="9">
        <v>10.8504</v>
      </c>
      <c r="E1790" s="8">
        <v>2.9257200000000001</v>
      </c>
      <c r="F1790" s="8">
        <v>2.5820449999999999</v>
      </c>
      <c r="G1790" s="18">
        <v>10.736110999999999</v>
      </c>
      <c r="H1790" s="240">
        <v>0</v>
      </c>
      <c r="I1790" s="240">
        <v>0</v>
      </c>
      <c r="J1790" s="240">
        <v>0</v>
      </c>
      <c r="K1790" s="240">
        <v>0</v>
      </c>
      <c r="L1790" s="240">
        <v>0</v>
      </c>
      <c r="M1790" s="240">
        <v>0</v>
      </c>
      <c r="N1790" s="240">
        <v>0</v>
      </c>
    </row>
    <row r="1791" spans="1:14" x14ac:dyDescent="0.3">
      <c r="A1791" s="135" t="s">
        <v>464</v>
      </c>
      <c r="B1791" s="137" t="s">
        <v>422</v>
      </c>
      <c r="C1791" s="137">
        <v>19</v>
      </c>
      <c r="D1791" s="9">
        <v>10.852010999999999</v>
      </c>
      <c r="E1791" s="8">
        <v>2.9257200000000001</v>
      </c>
      <c r="F1791" s="8">
        <v>2.674274</v>
      </c>
      <c r="G1791" s="18">
        <v>10.960526</v>
      </c>
      <c r="H1791" s="240">
        <v>0</v>
      </c>
      <c r="I1791" s="240">
        <v>0</v>
      </c>
      <c r="J1791" s="240">
        <v>0</v>
      </c>
      <c r="K1791" s="240">
        <v>0</v>
      </c>
      <c r="L1791" s="240">
        <v>0</v>
      </c>
      <c r="M1791" s="240">
        <v>0</v>
      </c>
      <c r="N1791" s="240">
        <v>0</v>
      </c>
    </row>
    <row r="1792" spans="1:14" x14ac:dyDescent="0.3">
      <c r="A1792" s="135" t="s">
        <v>464</v>
      </c>
      <c r="B1792" s="137" t="s">
        <v>422</v>
      </c>
      <c r="C1792" s="137">
        <v>20</v>
      </c>
      <c r="D1792" s="9">
        <v>10.85346</v>
      </c>
      <c r="E1792" s="8">
        <v>2.9257200000000001</v>
      </c>
      <c r="F1792" s="8">
        <v>2.8266309999999999</v>
      </c>
      <c r="G1792" s="18">
        <v>11.2</v>
      </c>
      <c r="H1792" s="240">
        <v>0</v>
      </c>
      <c r="I1792" s="240">
        <v>0</v>
      </c>
      <c r="J1792" s="240">
        <v>0</v>
      </c>
      <c r="K1792" s="240">
        <v>0</v>
      </c>
      <c r="L1792" s="240">
        <v>0</v>
      </c>
      <c r="M1792" s="240">
        <v>0</v>
      </c>
      <c r="N1792" s="240">
        <v>0</v>
      </c>
    </row>
    <row r="1793" spans="1:14" x14ac:dyDescent="0.3">
      <c r="A1793" s="135" t="s">
        <v>464</v>
      </c>
      <c r="B1793" s="137" t="s">
        <v>422</v>
      </c>
      <c r="C1793" s="137">
        <v>21</v>
      </c>
      <c r="D1793" s="9">
        <v>10.854771</v>
      </c>
      <c r="E1793" s="8">
        <v>2.9257200000000001</v>
      </c>
      <c r="F1793" s="8">
        <v>2.964477</v>
      </c>
      <c r="G1793" s="18">
        <v>11.428571</v>
      </c>
      <c r="H1793" s="240">
        <v>0</v>
      </c>
      <c r="I1793" s="240">
        <v>0</v>
      </c>
      <c r="J1793" s="240">
        <v>0</v>
      </c>
      <c r="K1793" s="240">
        <v>0</v>
      </c>
      <c r="L1793" s="240">
        <v>0</v>
      </c>
      <c r="M1793" s="240">
        <v>0</v>
      </c>
      <c r="N1793" s="240">
        <v>0</v>
      </c>
    </row>
    <row r="1794" spans="1:14" x14ac:dyDescent="0.3">
      <c r="A1794" s="135" t="s">
        <v>464</v>
      </c>
      <c r="B1794" s="137" t="s">
        <v>422</v>
      </c>
      <c r="C1794" s="137">
        <v>22</v>
      </c>
      <c r="D1794" s="9">
        <v>10.855964</v>
      </c>
      <c r="E1794" s="8">
        <v>2.9257200000000001</v>
      </c>
      <c r="F1794" s="8">
        <v>3.0897920000000001</v>
      </c>
      <c r="G1794" s="18">
        <v>11.647727</v>
      </c>
      <c r="H1794" s="240">
        <v>0</v>
      </c>
      <c r="I1794" s="240">
        <v>0</v>
      </c>
      <c r="J1794" s="240">
        <v>0</v>
      </c>
      <c r="K1794" s="240">
        <v>0</v>
      </c>
      <c r="L1794" s="240">
        <v>0</v>
      </c>
      <c r="M1794" s="240">
        <v>0</v>
      </c>
      <c r="N1794" s="240">
        <v>0</v>
      </c>
    </row>
    <row r="1795" spans="1:14" x14ac:dyDescent="0.3">
      <c r="A1795" s="135" t="s">
        <v>464</v>
      </c>
      <c r="B1795" s="137" t="s">
        <v>422</v>
      </c>
      <c r="C1795" s="137">
        <v>23</v>
      </c>
      <c r="D1795" s="9">
        <v>10.910554896335569</v>
      </c>
      <c r="E1795" s="8">
        <v>2.9257200000000001</v>
      </c>
      <c r="F1795" s="8">
        <v>3.1272000000000006</v>
      </c>
      <c r="G1795" s="18">
        <v>12.406700000000001</v>
      </c>
      <c r="H1795" s="240">
        <v>0</v>
      </c>
      <c r="I1795" s="240">
        <v>0</v>
      </c>
      <c r="J1795" s="240">
        <v>0</v>
      </c>
      <c r="K1795" s="240">
        <v>0</v>
      </c>
      <c r="L1795" s="240">
        <v>0</v>
      </c>
      <c r="M1795" s="240">
        <v>0</v>
      </c>
      <c r="N1795" s="240">
        <v>0</v>
      </c>
    </row>
    <row r="1796" spans="1:14" x14ac:dyDescent="0.3">
      <c r="A1796" s="135" t="s">
        <v>464</v>
      </c>
      <c r="B1796" s="137" t="s">
        <v>422</v>
      </c>
      <c r="C1796" s="137">
        <v>24</v>
      </c>
      <c r="D1796" s="9">
        <v>10.916100414094338</v>
      </c>
      <c r="E1796" s="8">
        <v>2.9257200000000001</v>
      </c>
      <c r="F1796" s="8">
        <v>3.2311000000000001</v>
      </c>
      <c r="G1796" s="18">
        <v>12.8185</v>
      </c>
      <c r="H1796" s="240">
        <v>0</v>
      </c>
      <c r="I1796" s="240">
        <v>0</v>
      </c>
      <c r="J1796" s="240">
        <v>0</v>
      </c>
      <c r="K1796" s="240">
        <v>0</v>
      </c>
      <c r="L1796" s="240">
        <v>0</v>
      </c>
      <c r="M1796" s="240">
        <v>0</v>
      </c>
      <c r="N1796" s="240">
        <v>0</v>
      </c>
    </row>
    <row r="1797" spans="1:14" x14ac:dyDescent="0.3">
      <c r="A1797" s="135" t="s">
        <v>464</v>
      </c>
      <c r="B1797" s="137" t="s">
        <v>422</v>
      </c>
      <c r="C1797" s="137">
        <v>25</v>
      </c>
      <c r="D1797" s="9">
        <v>10.921419519980327</v>
      </c>
      <c r="E1797" s="8">
        <v>2.9257200000000001</v>
      </c>
      <c r="F1797" s="8">
        <v>3.3336000000000001</v>
      </c>
      <c r="G1797" s="18">
        <v>13.248100000000001</v>
      </c>
      <c r="H1797" s="240">
        <v>0</v>
      </c>
      <c r="I1797" s="240">
        <v>0</v>
      </c>
      <c r="J1797" s="240">
        <v>0</v>
      </c>
      <c r="K1797" s="240">
        <v>0</v>
      </c>
      <c r="L1797" s="240">
        <v>0</v>
      </c>
      <c r="M1797" s="240">
        <v>0</v>
      </c>
      <c r="N1797" s="240">
        <v>0</v>
      </c>
    </row>
    <row r="1798" spans="1:14" x14ac:dyDescent="0.3">
      <c r="A1798" s="135" t="s">
        <v>464</v>
      </c>
      <c r="B1798" s="137" t="s">
        <v>422</v>
      </c>
      <c r="C1798" s="137">
        <v>26</v>
      </c>
      <c r="D1798" s="9">
        <v>10.926529978904199</v>
      </c>
      <c r="E1798" s="8">
        <v>2.9257200000000001</v>
      </c>
      <c r="F1798" s="8">
        <v>3.4347000000000003</v>
      </c>
      <c r="G1798" s="18">
        <v>13.695499999999999</v>
      </c>
      <c r="H1798" s="240">
        <v>0</v>
      </c>
      <c r="I1798" s="240">
        <v>0</v>
      </c>
      <c r="J1798" s="240">
        <v>0</v>
      </c>
      <c r="K1798" s="240">
        <v>0</v>
      </c>
      <c r="L1798" s="240">
        <v>0</v>
      </c>
      <c r="M1798" s="240">
        <v>0</v>
      </c>
      <c r="N1798" s="240">
        <v>0</v>
      </c>
    </row>
    <row r="1799" spans="1:14" x14ac:dyDescent="0.3">
      <c r="A1799" s="135" t="s">
        <v>464</v>
      </c>
      <c r="B1799" s="137" t="s">
        <v>422</v>
      </c>
      <c r="C1799" s="137">
        <v>27</v>
      </c>
      <c r="D1799" s="9">
        <v>10.931447543640365</v>
      </c>
      <c r="E1799" s="8">
        <v>2.9257200000000001</v>
      </c>
      <c r="F1799" s="8">
        <v>3.5344000000000002</v>
      </c>
      <c r="G1799" s="18">
        <v>14.160699999999999</v>
      </c>
      <c r="H1799" s="240">
        <v>0</v>
      </c>
      <c r="I1799" s="240">
        <v>0</v>
      </c>
      <c r="J1799" s="240">
        <v>0</v>
      </c>
      <c r="K1799" s="240">
        <v>0</v>
      </c>
      <c r="L1799" s="240">
        <v>0</v>
      </c>
      <c r="M1799" s="240">
        <v>0</v>
      </c>
      <c r="N1799" s="240">
        <v>0</v>
      </c>
    </row>
    <row r="1800" spans="1:14" x14ac:dyDescent="0.3">
      <c r="A1800" s="135" t="s">
        <v>464</v>
      </c>
      <c r="B1800" s="137" t="s">
        <v>422</v>
      </c>
      <c r="C1800" s="137">
        <v>28</v>
      </c>
      <c r="D1800" s="9">
        <v>10.936186247675829</v>
      </c>
      <c r="E1800" s="8">
        <v>2.9257200000000001</v>
      </c>
      <c r="F1800" s="8">
        <v>3.6327000000000003</v>
      </c>
      <c r="G1800" s="18">
        <v>14.643699999999999</v>
      </c>
      <c r="H1800" s="240">
        <v>0</v>
      </c>
      <c r="I1800" s="240">
        <v>0</v>
      </c>
      <c r="J1800" s="240">
        <v>0</v>
      </c>
      <c r="K1800" s="240">
        <v>0</v>
      </c>
      <c r="L1800" s="240">
        <v>0</v>
      </c>
      <c r="M1800" s="240">
        <v>0</v>
      </c>
      <c r="N1800" s="240">
        <v>0</v>
      </c>
    </row>
    <row r="1801" spans="1:14" x14ac:dyDescent="0.3">
      <c r="A1801" s="135" t="s">
        <v>464</v>
      </c>
      <c r="B1801" s="137" t="s">
        <v>422</v>
      </c>
      <c r="C1801" s="137">
        <v>29</v>
      </c>
      <c r="D1801" s="9">
        <v>10.940758646647238</v>
      </c>
      <c r="E1801" s="8">
        <v>2.9257200000000001</v>
      </c>
      <c r="F1801" s="8">
        <v>3.7296</v>
      </c>
      <c r="G1801" s="18">
        <v>15.144499999999999</v>
      </c>
      <c r="H1801" s="240">
        <v>0</v>
      </c>
      <c r="I1801" s="240">
        <v>0</v>
      </c>
      <c r="J1801" s="240">
        <v>0</v>
      </c>
      <c r="K1801" s="240">
        <v>0</v>
      </c>
      <c r="L1801" s="240">
        <v>0</v>
      </c>
      <c r="M1801" s="240">
        <v>0</v>
      </c>
      <c r="N1801" s="240">
        <v>0</v>
      </c>
    </row>
    <row r="1802" spans="1:14" ht="15" thickBot="1" x14ac:dyDescent="0.35">
      <c r="A1802" s="146" t="s">
        <v>464</v>
      </c>
      <c r="B1802" s="147" t="s">
        <v>422</v>
      </c>
      <c r="C1802" s="147">
        <v>30</v>
      </c>
      <c r="D1802" s="148">
        <v>10.94517601883058</v>
      </c>
      <c r="E1802" s="149">
        <v>2.9257200000000001</v>
      </c>
      <c r="F1802" s="149">
        <v>3.8251000000000004</v>
      </c>
      <c r="G1802" s="31">
        <v>15.6631</v>
      </c>
      <c r="H1802" s="240">
        <v>0</v>
      </c>
      <c r="I1802" s="240">
        <v>0</v>
      </c>
      <c r="J1802" s="240">
        <v>0</v>
      </c>
      <c r="K1802" s="240">
        <v>0</v>
      </c>
      <c r="L1802" s="240">
        <v>0</v>
      </c>
      <c r="M1802" s="240">
        <v>0</v>
      </c>
      <c r="N1802" s="24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E6EA7-5443-44CA-97A8-813826154660}">
  <sheetPr>
    <tabColor rgb="FF87BCA2"/>
  </sheetPr>
  <dimension ref="A1:AG15"/>
  <sheetViews>
    <sheetView workbookViewId="0">
      <selection activeCell="B1" sqref="B1:C1048576"/>
    </sheetView>
  </sheetViews>
  <sheetFormatPr defaultRowHeight="14.4" x14ac:dyDescent="0.3"/>
  <cols>
    <col min="1" max="1" width="22.109375" style="103" bestFit="1" customWidth="1"/>
    <col min="2" max="3" width="7" style="103" hidden="1" customWidth="1"/>
    <col min="4" max="4" width="12.6640625" style="91" customWidth="1"/>
    <col min="5" max="5" width="12.6640625" customWidth="1"/>
    <col min="6" max="6" width="12.6640625" style="91" customWidth="1"/>
    <col min="7" max="7" width="12.6640625" customWidth="1"/>
    <col min="8" max="8" width="15.44140625" style="91" customWidth="1"/>
    <col min="9" max="9" width="15.88671875" customWidth="1"/>
    <col min="10" max="10" width="15.44140625" style="91" customWidth="1"/>
    <col min="11" max="11" width="15.6640625" customWidth="1"/>
    <col min="12" max="12" width="15.44140625" style="91" customWidth="1"/>
    <col min="13" max="13" width="16" customWidth="1"/>
    <col min="14" max="14" width="15.44140625" style="91" customWidth="1"/>
    <col min="15" max="15" width="12.6640625" customWidth="1"/>
    <col min="16" max="16" width="15.44140625" style="91" customWidth="1"/>
    <col min="17" max="17" width="16.109375" customWidth="1"/>
    <col min="18" max="18" width="15.44140625" style="91" customWidth="1"/>
    <col min="19" max="19" width="16.109375" customWidth="1"/>
    <col min="20" max="20" width="15.44140625" style="91" customWidth="1"/>
    <col min="21" max="21" width="16.109375" customWidth="1"/>
    <col min="22" max="22" width="15.44140625" style="91" customWidth="1"/>
    <col min="23" max="23" width="16.109375" customWidth="1"/>
    <col min="24" max="24" width="15.44140625" style="91" customWidth="1"/>
    <col min="25" max="25" width="16.109375" customWidth="1"/>
    <col min="26" max="26" width="15.44140625" style="91" customWidth="1"/>
    <col min="27" max="27" width="16.109375" customWidth="1"/>
    <col min="28" max="28" width="15.44140625" style="91" customWidth="1"/>
    <col min="29" max="29" width="16.109375" customWidth="1"/>
    <col min="30" max="30" width="15.44140625" style="91" customWidth="1"/>
    <col min="31" max="31" width="16.109375" customWidth="1"/>
    <col min="32" max="32" width="15.44140625" style="91" customWidth="1"/>
    <col min="33" max="33" width="16.109375" customWidth="1"/>
  </cols>
  <sheetData>
    <row r="1" spans="1:33" s="112" customFormat="1" ht="55.5" customHeight="1" x14ac:dyDescent="0.3">
      <c r="A1" s="109" t="s">
        <v>318</v>
      </c>
      <c r="B1" s="206"/>
      <c r="C1" s="206" t="s">
        <v>356</v>
      </c>
      <c r="D1" s="29" t="str">
        <f>D2&amp;"_MEAN"</f>
        <v>KE_Window_MEAN</v>
      </c>
      <c r="E1" s="30" t="str">
        <f>E2&amp;"_SD"</f>
        <v>KE_Window_SD</v>
      </c>
      <c r="F1" s="29" t="str">
        <f>F2&amp;"_MEAN"</f>
        <v>KE_Facade_MEAN</v>
      </c>
      <c r="G1" s="30" t="str">
        <f>G2&amp;"_SD"</f>
        <v>KE_Facade_SD</v>
      </c>
      <c r="H1" s="29" t="str">
        <f>H2&amp;"_MEAN"</f>
        <v>KE_FacadeBasement_MEAN</v>
      </c>
      <c r="I1" s="30" t="str">
        <f>I2&amp;"_SD"</f>
        <v>KE_FacadeBasement_SD</v>
      </c>
      <c r="J1" s="29" t="str">
        <f>J2&amp;"_MEAN"</f>
        <v>KE_GroundSlap_MEAN</v>
      </c>
      <c r="K1" s="30" t="str">
        <f>K2&amp;"_SD"</f>
        <v>KE_GroundSlap_SD</v>
      </c>
      <c r="L1" s="29" t="str">
        <f>L2&amp;"_MEAN"</f>
        <v>KE_BasementGroundSlap_MEAN</v>
      </c>
      <c r="M1" s="30" t="str">
        <f>M2&amp;"_SD"</f>
        <v>KE_BasementGroundSlap_SD</v>
      </c>
      <c r="N1" s="29" t="str">
        <f>N2&amp;"_MEAN"</f>
        <v>KE_Roof_MEAN</v>
      </c>
      <c r="O1" s="30" t="str">
        <f>O2&amp;"_SD"</f>
        <v>KE_Roof_SD</v>
      </c>
      <c r="P1" s="29" t="str">
        <f>P2&amp;"_MEAN"</f>
        <v>KE_CoreWall_MEAN</v>
      </c>
      <c r="Q1" s="30" t="str">
        <f>Q2&amp;"_SD"</f>
        <v>KE_CoreWall_SD</v>
      </c>
      <c r="R1" s="29" t="str">
        <f>R2&amp;"_MEAN"</f>
        <v>KE_InnerWall_MEAN</v>
      </c>
      <c r="S1" s="30" t="str">
        <f>S2&amp;"_SD"</f>
        <v>KE_InnerWall_SD</v>
      </c>
      <c r="T1" s="29" t="str">
        <f>T2&amp;"_MEAN"</f>
        <v>KE_FireWall_MEAN</v>
      </c>
      <c r="U1" s="30" t="str">
        <f>U2&amp;"_SD"</f>
        <v>KE_FireWall_SD</v>
      </c>
      <c r="V1" s="29" t="str">
        <f>V2&amp;"_MEAN"</f>
        <v>KE_Floor_MEAN</v>
      </c>
      <c r="W1" s="30" t="str">
        <f>W2&amp;"_SD"</f>
        <v>KE_Floor_SD</v>
      </c>
      <c r="X1" s="29" t="str">
        <f>X2&amp;"_MEAN"</f>
        <v>KE_Ceiling_MEAN</v>
      </c>
      <c r="Y1" s="30" t="str">
        <f>Y2&amp;"_SD"</f>
        <v>KE_Ceiling_SD</v>
      </c>
      <c r="Z1" s="29" t="str">
        <f>Z2&amp;"_MEAN"</f>
        <v>KE_Utilities_MEAN</v>
      </c>
      <c r="AA1" s="30" t="str">
        <f>AA2&amp;"_SD"</f>
        <v>KE_Utilities_SD</v>
      </c>
      <c r="AB1" s="29" t="str">
        <f>AB2&amp;"_MEAN"</f>
        <v>KE_Stairs_MEAN</v>
      </c>
      <c r="AC1" s="30" t="str">
        <f>AC2&amp;"_SD"</f>
        <v>KE_Stairs_SD</v>
      </c>
      <c r="AD1" s="29" t="str">
        <f>AD2&amp;"_MEAN"</f>
        <v>KE_ElevatorMeter_MEAN</v>
      </c>
      <c r="AE1" s="30" t="str">
        <f>AE2&amp;"_SD"</f>
        <v>KE_ElevatorMeter_SD</v>
      </c>
      <c r="AF1" s="29" t="str">
        <f>AF2&amp;"_MEAN"</f>
        <v>KE_ElevatorCounts_MEAN</v>
      </c>
      <c r="AG1" s="30" t="str">
        <f>AG2&amp;"_SD"</f>
        <v>KE_ElevatorCounts_SD</v>
      </c>
    </row>
    <row r="2" spans="1:33" s="112" customFormat="1" ht="28.8" x14ac:dyDescent="0.3">
      <c r="A2" s="205" t="s">
        <v>367</v>
      </c>
      <c r="B2" s="205"/>
      <c r="C2" s="205"/>
      <c r="D2" s="209" t="s">
        <v>324</v>
      </c>
      <c r="E2" s="16" t="str">
        <f>D2</f>
        <v>KE_Window</v>
      </c>
      <c r="F2" s="209" t="s">
        <v>322</v>
      </c>
      <c r="G2" s="16" t="str">
        <f>F2</f>
        <v>KE_Facade</v>
      </c>
      <c r="H2" s="209" t="s">
        <v>330</v>
      </c>
      <c r="I2" s="16" t="str">
        <f>H2</f>
        <v>KE_FacadeBasement</v>
      </c>
      <c r="J2" s="209" t="s">
        <v>331</v>
      </c>
      <c r="K2" s="16" t="str">
        <f>J2</f>
        <v>KE_GroundSlap</v>
      </c>
      <c r="L2" s="209" t="s">
        <v>357</v>
      </c>
      <c r="M2" s="16" t="str">
        <f>L2</f>
        <v>KE_BasementGroundSlap</v>
      </c>
      <c r="N2" s="209" t="s">
        <v>321</v>
      </c>
      <c r="O2" s="16" t="str">
        <f>N2</f>
        <v>KE_Roof</v>
      </c>
      <c r="P2" s="209" t="s">
        <v>358</v>
      </c>
      <c r="Q2" s="16" t="str">
        <f>P2</f>
        <v>KE_CoreWall</v>
      </c>
      <c r="R2" s="209" t="s">
        <v>360</v>
      </c>
      <c r="S2" s="16" t="str">
        <f>R2</f>
        <v>KE_InnerWall</v>
      </c>
      <c r="T2" s="209" t="s">
        <v>451</v>
      </c>
      <c r="U2" s="16" t="str">
        <f>T2</f>
        <v>KE_FireWall</v>
      </c>
      <c r="V2" s="209" t="s">
        <v>361</v>
      </c>
      <c r="W2" s="16" t="str">
        <f>V2</f>
        <v>KE_Floor</v>
      </c>
      <c r="X2" s="209" t="s">
        <v>320</v>
      </c>
      <c r="Y2" s="16" t="str">
        <f>X2</f>
        <v>KE_Ceiling</v>
      </c>
      <c r="Z2" s="209" t="s">
        <v>327</v>
      </c>
      <c r="AA2" s="16" t="str">
        <f>Z2</f>
        <v>KE_Utilities</v>
      </c>
      <c r="AB2" s="209" t="s">
        <v>362</v>
      </c>
      <c r="AC2" s="16" t="str">
        <f>AB2</f>
        <v>KE_Stairs</v>
      </c>
      <c r="AD2" s="209" t="s">
        <v>328</v>
      </c>
      <c r="AE2" s="16" t="str">
        <f>AD2</f>
        <v>KE_ElevatorMeter</v>
      </c>
      <c r="AF2" s="209" t="s">
        <v>363</v>
      </c>
      <c r="AG2" s="16" t="str">
        <f>AF2</f>
        <v>KE_ElevatorCounts</v>
      </c>
    </row>
    <row r="3" spans="1:33" ht="15" thickBot="1" x14ac:dyDescent="0.35">
      <c r="A3" s="102" t="s">
        <v>317</v>
      </c>
      <c r="B3" s="102" t="s">
        <v>359</v>
      </c>
      <c r="C3" s="208" t="s">
        <v>344</v>
      </c>
      <c r="D3" s="210" t="str" cm="1">
        <f t="array" aca="1" ref="D3" ca="1">INDIRECT("'"&amp;D$2&amp;"'!"&amp;$B3)</f>
        <v>[kgCO2e/m2]</v>
      </c>
      <c r="E3" s="17" t="str">
        <f ca="1">D3</f>
        <v>[kgCO2e/m2]</v>
      </c>
      <c r="F3" s="210" t="str" cm="1">
        <f t="array" aca="1" ref="F3" ca="1">INDIRECT("'"&amp;F$2&amp;"'!"&amp;$B3)</f>
        <v>[kgCO2e/m2]</v>
      </c>
      <c r="G3" s="17" t="str">
        <f ca="1">F3</f>
        <v>[kgCO2e/m2]</v>
      </c>
      <c r="H3" s="210" t="str" cm="1">
        <f t="array" aca="1" ref="H3" ca="1">INDIRECT("'"&amp;H$2&amp;"'!"&amp;$B3)</f>
        <v>[kgCO2e/m2]</v>
      </c>
      <c r="I3" s="17" t="str">
        <f ca="1">H3</f>
        <v>[kgCO2e/m2]</v>
      </c>
      <c r="J3" s="210" t="str" cm="1">
        <f t="array" aca="1" ref="J3" ca="1">INDIRECT("'"&amp;J$2&amp;"'!"&amp;$B3)</f>
        <v>[kgCO2e/m2]</v>
      </c>
      <c r="K3" s="17" t="str">
        <f ca="1">J3</f>
        <v>[kgCO2e/m2]</v>
      </c>
      <c r="L3" s="210" t="str" cm="1">
        <f t="array" aca="1" ref="L3" ca="1">INDIRECT("'"&amp;L$2&amp;"'!"&amp;$B3)</f>
        <v>[kgCO2e/m2]</v>
      </c>
      <c r="M3" s="17" t="str">
        <f ca="1">L3</f>
        <v>[kgCO2e/m2]</v>
      </c>
      <c r="N3" s="210" t="str" cm="1">
        <f t="array" aca="1" ref="N3" ca="1">INDIRECT("'"&amp;N$2&amp;"'!"&amp;$B3)</f>
        <v>[kgCO2e/m2]</v>
      </c>
      <c r="O3" s="17" t="str">
        <f ca="1">N3</f>
        <v>[kgCO2e/m2]</v>
      </c>
      <c r="P3" s="210" t="str" cm="1">
        <f t="array" aca="1" ref="P3" ca="1">INDIRECT("'"&amp;P$2&amp;"'!"&amp;$B3)</f>
        <v>[kgCO2e/m2]</v>
      </c>
      <c r="Q3" s="17" t="str">
        <f ca="1">P3</f>
        <v>[kgCO2e/m2]</v>
      </c>
      <c r="R3" s="210" t="str" cm="1">
        <f t="array" aca="1" ref="R3" ca="1">INDIRECT("'"&amp;R$2&amp;"'!"&amp;$B3)</f>
        <v>[kgCO2e/m2]</v>
      </c>
      <c r="S3" s="17" t="str">
        <f ca="1">R3</f>
        <v>[kgCO2e/m2]</v>
      </c>
      <c r="T3" s="210" t="str" cm="1">
        <f t="array" aca="1" ref="T3" ca="1">INDIRECT("'"&amp;T$2&amp;"'!"&amp;$B3)</f>
        <v>[kgCO2e/m2]</v>
      </c>
      <c r="U3" s="17" t="str">
        <f ca="1">T3</f>
        <v>[kgCO2e/m2]</v>
      </c>
      <c r="V3" s="210" t="str" cm="1">
        <f t="array" aca="1" ref="V3" ca="1">INDIRECT("'"&amp;V$2&amp;"'!"&amp;$B3)</f>
        <v>[kgCO2e/m2]</v>
      </c>
      <c r="W3" s="17" t="str">
        <f ca="1">V3</f>
        <v>[kgCO2e/m2]</v>
      </c>
      <c r="X3" s="210" t="str" cm="1">
        <f t="array" aca="1" ref="X3" ca="1">INDIRECT("'"&amp;X$2&amp;"'!"&amp;$B3)</f>
        <v>[kgCO2e/m2]</v>
      </c>
      <c r="Y3" s="17" t="str">
        <f ca="1">X3</f>
        <v>[kgCO2e/m2]</v>
      </c>
      <c r="Z3" s="210" t="str" cm="1">
        <f t="array" aca="1" ref="Z3" ca="1">INDIRECT("'"&amp;Z$2&amp;"'!"&amp;$B3)</f>
        <v>[kgCO2e/m2]</v>
      </c>
      <c r="AA3" s="17" t="str">
        <f ca="1">Z3</f>
        <v>[kgCO2e/m2]</v>
      </c>
      <c r="AB3" s="210" t="str" cm="1">
        <f t="array" aca="1" ref="AB3" ca="1">INDIRECT("'"&amp;AB$2&amp;"'!"&amp;$B3)</f>
        <v>[kgCO2e/m]</v>
      </c>
      <c r="AC3" s="17" t="str">
        <f ca="1">AB3</f>
        <v>[kgCO2e/m]</v>
      </c>
      <c r="AD3" s="210" t="str" cm="1">
        <f t="array" aca="1" ref="AD3" ca="1">INDIRECT("'"&amp;AD$2&amp;"'!"&amp;$B3)</f>
        <v>[kgCO2e/m]</v>
      </c>
      <c r="AE3" s="17" t="str">
        <f ca="1">AD3</f>
        <v>[kgCO2e/m]</v>
      </c>
      <c r="AF3" s="210" t="str" cm="1">
        <f t="array" aca="1" ref="AF3" ca="1">INDIRECT("'"&amp;AF$2&amp;"'!"&amp;$B3)</f>
        <v>[kgCO2e/pcs]</v>
      </c>
      <c r="AG3" s="17" t="str">
        <f ca="1">AF3</f>
        <v>[kgCO2e/pcs]</v>
      </c>
    </row>
    <row r="4" spans="1:33" ht="21.6" customHeight="1" x14ac:dyDescent="0.3">
      <c r="A4" s="7" t="s">
        <v>454</v>
      </c>
      <c r="B4" s="207" t="s">
        <v>332</v>
      </c>
      <c r="C4" s="207" t="s">
        <v>344</v>
      </c>
      <c r="D4" s="211" cm="1">
        <f t="array" aca="1" ref="D4" ca="1">INDIRECT("'"&amp;D$2&amp;"'!"&amp;$B4)</f>
        <v>212.30196272820004</v>
      </c>
      <c r="E4" s="212" cm="1">
        <f t="array" aca="1" ref="E4" ca="1">INDIRECT("'"&amp;E$2&amp;"'!"&amp;$C4)</f>
        <v>0</v>
      </c>
      <c r="F4" s="211" cm="1">
        <f t="array" aca="1" ref="F4" ca="1">INDIRECT("'"&amp;F$2&amp;"'!"&amp;$B4)</f>
        <v>93.445677690812602</v>
      </c>
      <c r="G4" s="212" cm="1">
        <f t="array" aca="1" ref="G4" ca="1">INDIRECT("'"&amp;G$2&amp;"'!"&amp;$C4)</f>
        <v>37.619731750606334</v>
      </c>
      <c r="H4" s="211" cm="1">
        <f t="array" aca="1" ref="H4" ca="1">INDIRECT("'"&amp;H$2&amp;"'!"&amp;$B4)</f>
        <v>194.9665884165</v>
      </c>
      <c r="I4" s="212" cm="1">
        <f t="array" aca="1" ref="I4" ca="1">INDIRECT("'"&amp;I$2&amp;"'!"&amp;$C4)</f>
        <v>7.7986635366600066</v>
      </c>
      <c r="J4" s="211" cm="1">
        <f t="array" aca="1" ref="J4" ca="1">INDIRECT("'"&amp;J$2&amp;"'!"&amp;$B4)</f>
        <v>110.64661853200001</v>
      </c>
      <c r="K4" s="212" cm="1">
        <f t="array" aca="1" ref="K4" ca="1">INDIRECT("'"&amp;K$2&amp;"'!"&amp;$C4)</f>
        <v>4.4258647412799998</v>
      </c>
      <c r="L4" s="211" cm="1">
        <f t="array" aca="1" ref="L4" ca="1">INDIRECT("'"&amp;L$2&amp;"'!"&amp;$B4)</f>
        <v>198.27881416999998</v>
      </c>
      <c r="M4" s="212" cm="1">
        <f t="array" aca="1" ref="M4" ca="1">INDIRECT("'"&amp;M$2&amp;"'!"&amp;$C4)</f>
        <v>7.9311525667999998</v>
      </c>
      <c r="N4" s="211" cm="1">
        <f t="array" aca="1" ref="N4" ca="1">INDIRECT("'"&amp;N$2&amp;"'!"&amp;$B4)</f>
        <v>102.37545717014797</v>
      </c>
      <c r="O4" s="212" cm="1">
        <f t="array" aca="1" ref="O4" ca="1">INDIRECT("'"&amp;O$2&amp;"'!"&amp;$C4)</f>
        <v>46.627589076037964</v>
      </c>
      <c r="P4" s="211" cm="1">
        <f t="array" aca="1" ref="P4" ca="1">INDIRECT("'"&amp;P$2&amp;"'!"&amp;$B4)</f>
        <v>0</v>
      </c>
      <c r="Q4" s="212" cm="1">
        <f t="array" aca="1" ref="Q4" ca="1">INDIRECT("'"&amp;Q$2&amp;"'!"&amp;$C4)</f>
        <v>0</v>
      </c>
      <c r="R4" s="211" cm="1">
        <f t="array" aca="1" ref="R4" ca="1">INDIRECT("'"&amp;R$2&amp;"'!"&amp;$B4)</f>
        <v>28.242328223495665</v>
      </c>
      <c r="S4" s="212" cm="1">
        <f t="array" aca="1" ref="S4" ca="1">INDIRECT("'"&amp;S$2&amp;"'!"&amp;$C4)</f>
        <v>6.3537628603753999</v>
      </c>
      <c r="T4" s="211" cm="1">
        <f t="array" aca="1" ref="T4" ca="1">INDIRECT("'"&amp;T$2&amp;"'!"&amp;$B4)</f>
        <v>28.242328223495665</v>
      </c>
      <c r="U4" s="212" cm="1">
        <f t="array" aca="1" ref="U4" ca="1">INDIRECT("'"&amp;U$2&amp;"'!"&amp;$C4)</f>
        <v>6.3537628603753999</v>
      </c>
      <c r="V4" s="211" cm="1">
        <f t="array" aca="1" ref="V4" ca="1">INDIRECT("'"&amp;V$2&amp;"'!"&amp;$B4)</f>
        <v>20.874426681360266</v>
      </c>
      <c r="W4" s="212" cm="1">
        <f t="array" aca="1" ref="W4" ca="1">INDIRECT("'"&amp;W$2&amp;"'!"&amp;$C4)</f>
        <v>6.0216559597064094</v>
      </c>
      <c r="X4" s="211" cm="1">
        <f t="array" aca="1" ref="X4" ca="1">INDIRECT("'"&amp;X$2&amp;"'!"&amp;$B4)</f>
        <v>25.418831125011501</v>
      </c>
      <c r="Y4" s="212" cm="1">
        <f t="array" aca="1" ref="Y4" ca="1">INDIRECT("'"&amp;Y$2&amp;"'!"&amp;$C4)</f>
        <v>15.136896104988502</v>
      </c>
      <c r="Z4" s="211" cm="1">
        <f t="array" aca="1" ref="Z4" ca="1">INDIRECT("'"&amp;Z$2&amp;"'!"&amp;$B4)</f>
        <v>37.400000000000006</v>
      </c>
      <c r="AA4" s="212" cm="1">
        <f t="array" aca="1" ref="AA4" ca="1">INDIRECT("'"&amp;AA$2&amp;"'!"&amp;$C4)</f>
        <v>1.4960000000000009</v>
      </c>
      <c r="AB4" s="211" cm="1">
        <f t="array" aca="1" ref="AB4" ca="1">INDIRECT("'"&amp;AB$2&amp;"'!"&amp;$B4)</f>
        <v>262.69067708333336</v>
      </c>
      <c r="AC4" s="212" cm="1">
        <f t="array" aca="1" ref="AC4" ca="1">INDIRECT("'"&amp;AC$2&amp;"'!"&amp;$C4)</f>
        <v>10.507627083333336</v>
      </c>
      <c r="AD4" s="211" cm="1">
        <f t="array" aca="1" ref="AD4" ca="1">INDIRECT("'"&amp;AD$2&amp;"'!"&amp;$B4)</f>
        <v>948.33488238333337</v>
      </c>
      <c r="AE4" s="212" cm="1">
        <f t="array" aca="1" ref="AE4" ca="1">INDIRECT("'"&amp;AE$2&amp;"'!"&amp;$C4)</f>
        <v>37.933395295333341</v>
      </c>
      <c r="AF4" s="211" cm="1">
        <f t="array" aca="1" ref="AF4" ca="1">INDIRECT("'"&amp;AF$2&amp;"'!"&amp;$B4)</f>
        <v>11094.235901</v>
      </c>
      <c r="AG4" s="212" cm="1">
        <f t="array" aca="1" ref="AG4" ca="1">INDIRECT("'"&amp;AG$2&amp;"'!"&amp;$C4)</f>
        <v>443.76943604000007</v>
      </c>
    </row>
    <row r="5" spans="1:33" ht="21.6" customHeight="1" x14ac:dyDescent="0.3">
      <c r="A5" s="10" t="s">
        <v>455</v>
      </c>
      <c r="B5" s="207" t="s">
        <v>333</v>
      </c>
      <c r="C5" s="207" t="s">
        <v>345</v>
      </c>
      <c r="D5" s="211" cm="1">
        <f t="array" aca="1" ref="D5" ca="1">INDIRECT("'"&amp;D$2&amp;"'!"&amp;$B5)</f>
        <v>212.30196272820004</v>
      </c>
      <c r="E5" s="212" cm="1">
        <f t="array" aca="1" ref="E5" ca="1">INDIRECT("'"&amp;E$2&amp;"'!"&amp;$C5)</f>
        <v>0</v>
      </c>
      <c r="F5" s="211" cm="1">
        <f t="array" aca="1" ref="F5" ca="1">INDIRECT("'"&amp;F$2&amp;"'!"&amp;$B5)</f>
        <v>93.445677690812602</v>
      </c>
      <c r="G5" s="212" cm="1">
        <f t="array" aca="1" ref="G5" ca="1">INDIRECT("'"&amp;G$2&amp;"'!"&amp;$C5)</f>
        <v>37.619731750606334</v>
      </c>
      <c r="H5" s="211" cm="1">
        <f t="array" aca="1" ref="H5" ca="1">INDIRECT("'"&amp;H$2&amp;"'!"&amp;$B5)</f>
        <v>194.9665884165</v>
      </c>
      <c r="I5" s="212" cm="1">
        <f t="array" aca="1" ref="I5" ca="1">INDIRECT("'"&amp;I$2&amp;"'!"&amp;$C5)</f>
        <v>7.7986635366600066</v>
      </c>
      <c r="J5" s="211" cm="1">
        <f t="array" aca="1" ref="J5" ca="1">INDIRECT("'"&amp;J$2&amp;"'!"&amp;$B5)</f>
        <v>110.64661853200001</v>
      </c>
      <c r="K5" s="212" cm="1">
        <f t="array" aca="1" ref="K5" ca="1">INDIRECT("'"&amp;K$2&amp;"'!"&amp;$C5)</f>
        <v>4.4258647412799998</v>
      </c>
      <c r="L5" s="211" cm="1">
        <f t="array" aca="1" ref="L5" ca="1">INDIRECT("'"&amp;L$2&amp;"'!"&amp;$B5)</f>
        <v>198.27881416999998</v>
      </c>
      <c r="M5" s="212" cm="1">
        <f t="array" aca="1" ref="M5" ca="1">INDIRECT("'"&amp;M$2&amp;"'!"&amp;$C5)</f>
        <v>7.9311525667999998</v>
      </c>
      <c r="N5" s="211" cm="1">
        <f t="array" aca="1" ref="N5" ca="1">INDIRECT("'"&amp;N$2&amp;"'!"&amp;$B5)</f>
        <v>102.37545717014797</v>
      </c>
      <c r="O5" s="212" cm="1">
        <f t="array" aca="1" ref="O5" ca="1">INDIRECT("'"&amp;O$2&amp;"'!"&amp;$C5)</f>
        <v>46.627589076037964</v>
      </c>
      <c r="P5" s="211" cm="1">
        <f t="array" aca="1" ref="P5" ca="1">INDIRECT("'"&amp;P$2&amp;"'!"&amp;$B5)</f>
        <v>0</v>
      </c>
      <c r="Q5" s="212" cm="1">
        <f t="array" aca="1" ref="Q5" ca="1">INDIRECT("'"&amp;Q$2&amp;"'!"&amp;$C5)</f>
        <v>0</v>
      </c>
      <c r="R5" s="211" cm="1">
        <f t="array" aca="1" ref="R5" ca="1">INDIRECT("'"&amp;R$2&amp;"'!"&amp;$B5)</f>
        <v>28.242328223495665</v>
      </c>
      <c r="S5" s="212" cm="1">
        <f t="array" aca="1" ref="S5" ca="1">INDIRECT("'"&amp;S$2&amp;"'!"&amp;$C5)</f>
        <v>6.3537628603753999</v>
      </c>
      <c r="T5" s="211" cm="1">
        <f t="array" aca="1" ref="T5" ca="1">INDIRECT("'"&amp;T$2&amp;"'!"&amp;$B5)</f>
        <v>28.242328223495665</v>
      </c>
      <c r="U5" s="212" cm="1">
        <f t="array" aca="1" ref="U5" ca="1">INDIRECT("'"&amp;U$2&amp;"'!"&amp;$C5)</f>
        <v>6.3537628603753999</v>
      </c>
      <c r="V5" s="211" cm="1">
        <f t="array" aca="1" ref="V5" ca="1">INDIRECT("'"&amp;V$2&amp;"'!"&amp;$B5)</f>
        <v>20.874426681360266</v>
      </c>
      <c r="W5" s="212" cm="1">
        <f t="array" aca="1" ref="W5" ca="1">INDIRECT("'"&amp;W$2&amp;"'!"&amp;$C5)</f>
        <v>6.0216559597064094</v>
      </c>
      <c r="X5" s="211" cm="1">
        <f t="array" aca="1" ref="X5" ca="1">INDIRECT("'"&amp;X$2&amp;"'!"&amp;$B5)</f>
        <v>25.418831125011501</v>
      </c>
      <c r="Y5" s="212" cm="1">
        <f t="array" aca="1" ref="Y5" ca="1">INDIRECT("'"&amp;Y$2&amp;"'!"&amp;$C5)</f>
        <v>15.136896104988502</v>
      </c>
      <c r="Z5" s="211" cm="1">
        <f t="array" aca="1" ref="Z5" ca="1">INDIRECT("'"&amp;Z$2&amp;"'!"&amp;$B5)</f>
        <v>35.354550000000003</v>
      </c>
      <c r="AA5" s="212" cm="1">
        <f t="array" aca="1" ref="AA5" ca="1">INDIRECT("'"&amp;AA$2&amp;"'!"&amp;$C5)</f>
        <v>1.4141820000000009</v>
      </c>
      <c r="AB5" s="211" cm="1">
        <f t="array" aca="1" ref="AB5" ca="1">INDIRECT("'"&amp;AB$2&amp;"'!"&amp;$B5)</f>
        <v>262.69067708333336</v>
      </c>
      <c r="AC5" s="212" cm="1">
        <f t="array" aca="1" ref="AC5" ca="1">INDIRECT("'"&amp;AC$2&amp;"'!"&amp;$C5)</f>
        <v>10.507627083333336</v>
      </c>
      <c r="AD5" s="211" cm="1">
        <f t="array" aca="1" ref="AD5" ca="1">INDIRECT("'"&amp;AD$2&amp;"'!"&amp;$B5)</f>
        <v>948.33488238333337</v>
      </c>
      <c r="AE5" s="212" cm="1">
        <f t="array" aca="1" ref="AE5" ca="1">INDIRECT("'"&amp;AE$2&amp;"'!"&amp;$C5)</f>
        <v>37.933395295333341</v>
      </c>
      <c r="AF5" s="211" cm="1">
        <f t="array" aca="1" ref="AF5" ca="1">INDIRECT("'"&amp;AF$2&amp;"'!"&amp;$B5)</f>
        <v>11094.235901</v>
      </c>
      <c r="AG5" s="212" cm="1">
        <f t="array" aca="1" ref="AG5" ca="1">INDIRECT("'"&amp;AG$2&amp;"'!"&amp;$C5)</f>
        <v>443.76943604000007</v>
      </c>
    </row>
    <row r="6" spans="1:33" ht="21.6" customHeight="1" x14ac:dyDescent="0.3">
      <c r="A6" s="12" t="s">
        <v>456</v>
      </c>
      <c r="B6" s="207" t="s">
        <v>334</v>
      </c>
      <c r="C6" s="207" t="s">
        <v>346</v>
      </c>
      <c r="D6" s="211" cm="1">
        <f t="array" aca="1" ref="D6" ca="1">INDIRECT("'"&amp;D$2&amp;"'!"&amp;$B6)</f>
        <v>212.30196272820004</v>
      </c>
      <c r="E6" s="212" cm="1">
        <f t="array" aca="1" ref="E6" ca="1">INDIRECT("'"&amp;E$2&amp;"'!"&amp;$C6)</f>
        <v>0</v>
      </c>
      <c r="F6" s="211" cm="1">
        <f t="array" aca="1" ref="F6" ca="1">INDIRECT("'"&amp;F$2&amp;"'!"&amp;$B6)</f>
        <v>110.40327507202289</v>
      </c>
      <c r="G6" s="212" cm="1">
        <f t="array" aca="1" ref="G6" ca="1">INDIRECT("'"&amp;G$2&amp;"'!"&amp;$C6)</f>
        <v>55.427116246263161</v>
      </c>
      <c r="H6" s="211" cm="1">
        <f t="array" aca="1" ref="H6" ca="1">INDIRECT("'"&amp;H$2&amp;"'!"&amp;$B6)</f>
        <v>341.63370629599996</v>
      </c>
      <c r="I6" s="212" cm="1">
        <f t="array" aca="1" ref="I6" ca="1">INDIRECT("'"&amp;I$2&amp;"'!"&amp;$C6)</f>
        <v>145.60465229340926</v>
      </c>
      <c r="J6" s="211" cm="1">
        <f t="array" aca="1" ref="J6" ca="1">INDIRECT("'"&amp;J$2&amp;"'!"&amp;$B6)</f>
        <v>147.77885748800003</v>
      </c>
      <c r="K6" s="212" cm="1">
        <f t="array" aca="1" ref="K6" ca="1">INDIRECT("'"&amp;K$2&amp;"'!"&amp;$C6)</f>
        <v>5.9111542995200015</v>
      </c>
      <c r="L6" s="211" cm="1">
        <f t="array" aca="1" ref="L6" ca="1">INDIRECT("'"&amp;L$2&amp;"'!"&amp;$B6)</f>
        <v>198.27881416999998</v>
      </c>
      <c r="M6" s="212" cm="1">
        <f t="array" aca="1" ref="M6" ca="1">INDIRECT("'"&amp;M$2&amp;"'!"&amp;$C6)</f>
        <v>7.9311525667999998</v>
      </c>
      <c r="N6" s="211" cm="1">
        <f t="array" aca="1" ref="N6" ca="1">INDIRECT("'"&amp;N$2&amp;"'!"&amp;$B6)</f>
        <v>82.637707870834291</v>
      </c>
      <c r="O6" s="212" cm="1">
        <f t="array" aca="1" ref="O6" ca="1">INDIRECT("'"&amp;O$2&amp;"'!"&amp;$C6)</f>
        <v>38.922994703223424</v>
      </c>
      <c r="P6" s="211" cm="1">
        <f t="array" aca="1" ref="P6" ca="1">INDIRECT("'"&amp;P$2&amp;"'!"&amp;$B6)</f>
        <v>65.468541390000013</v>
      </c>
      <c r="Q6" s="212" cm="1">
        <f t="array" aca="1" ref="Q6" ca="1">INDIRECT("'"&amp;Q$2&amp;"'!"&amp;$C6)</f>
        <v>27.321063600000002</v>
      </c>
      <c r="R6" s="211" cm="1">
        <f t="array" aca="1" ref="R6" ca="1">INDIRECT("'"&amp;R$2&amp;"'!"&amp;$B6)</f>
        <v>28.242328223495665</v>
      </c>
      <c r="S6" s="212" cm="1">
        <f t="array" aca="1" ref="S6" ca="1">INDIRECT("'"&amp;S$2&amp;"'!"&amp;$C6)</f>
        <v>6.3537628603753999</v>
      </c>
      <c r="T6" s="211" cm="1">
        <f t="array" aca="1" ref="T6" ca="1">INDIRECT("'"&amp;T$2&amp;"'!"&amp;$B6)</f>
        <v>28.242328223495665</v>
      </c>
      <c r="U6" s="212" cm="1">
        <f t="array" aca="1" ref="U6" ca="1">INDIRECT("'"&amp;U$2&amp;"'!"&amp;$C6)</f>
        <v>6.3537628603753999</v>
      </c>
      <c r="V6" s="211" cm="1">
        <f t="array" aca="1" ref="V6" ca="1">INDIRECT("'"&amp;V$2&amp;"'!"&amp;$B6)</f>
        <v>20.874426681360266</v>
      </c>
      <c r="W6" s="212" cm="1">
        <f t="array" aca="1" ref="W6" ca="1">INDIRECT("'"&amp;W$2&amp;"'!"&amp;$C6)</f>
        <v>6.0216559597064094</v>
      </c>
      <c r="X6" s="211" cm="1">
        <f t="array" aca="1" ref="X6" ca="1">INDIRECT("'"&amp;X$2&amp;"'!"&amp;$B6)</f>
        <v>25.418831125011501</v>
      </c>
      <c r="Y6" s="212" cm="1">
        <f t="array" aca="1" ref="Y6" ca="1">INDIRECT("'"&amp;Y$2&amp;"'!"&amp;$C6)</f>
        <v>15.136896104988502</v>
      </c>
      <c r="Z6" s="211" cm="1">
        <f t="array" aca="1" ref="Z6" ca="1">INDIRECT("'"&amp;Z$2&amp;"'!"&amp;$B6)</f>
        <v>37.950000000000003</v>
      </c>
      <c r="AA6" s="212" cm="1">
        <f t="array" aca="1" ref="AA6" ca="1">INDIRECT("'"&amp;AA$2&amp;"'!"&amp;$C6)</f>
        <v>1.5180000000000007</v>
      </c>
      <c r="AB6" s="211" cm="1">
        <f t="array" aca="1" ref="AB6" ca="1">INDIRECT("'"&amp;AB$2&amp;"'!"&amp;$B6)</f>
        <v>262.69067708333336</v>
      </c>
      <c r="AC6" s="212" cm="1">
        <f t="array" aca="1" ref="AC6" ca="1">INDIRECT("'"&amp;AC$2&amp;"'!"&amp;$C6)</f>
        <v>10.507627083333336</v>
      </c>
      <c r="AD6" s="211" cm="1">
        <f t="array" aca="1" ref="AD6" ca="1">INDIRECT("'"&amp;AD$2&amp;"'!"&amp;$B6)</f>
        <v>948.33488238333337</v>
      </c>
      <c r="AE6" s="212" cm="1">
        <f t="array" aca="1" ref="AE6" ca="1">INDIRECT("'"&amp;AE$2&amp;"'!"&amp;$C6)</f>
        <v>37.933395295333341</v>
      </c>
      <c r="AF6" s="211" cm="1">
        <f t="array" aca="1" ref="AF6" ca="1">INDIRECT("'"&amp;AF$2&amp;"'!"&amp;$B6)</f>
        <v>11094.235901</v>
      </c>
      <c r="AG6" s="212" cm="1">
        <f t="array" aca="1" ref="AG6" ca="1">INDIRECT("'"&amp;AG$2&amp;"'!"&amp;$C6)</f>
        <v>443.76943604000007</v>
      </c>
    </row>
    <row r="7" spans="1:33" ht="21.6" customHeight="1" x14ac:dyDescent="0.3">
      <c r="A7" s="10" t="s">
        <v>457</v>
      </c>
      <c r="B7" s="207" t="s">
        <v>335</v>
      </c>
      <c r="C7" s="207" t="s">
        <v>347</v>
      </c>
      <c r="D7" s="211" cm="1">
        <f t="array" aca="1" ref="D7" ca="1">INDIRECT("'"&amp;D$2&amp;"'!"&amp;$B7)</f>
        <v>212.30196272820004</v>
      </c>
      <c r="E7" s="212" cm="1">
        <f t="array" aca="1" ref="E7" ca="1">INDIRECT("'"&amp;E$2&amp;"'!"&amp;$C7)</f>
        <v>0</v>
      </c>
      <c r="F7" s="211" cm="1">
        <f t="array" aca="1" ref="F7" ca="1">INDIRECT("'"&amp;F$2&amp;"'!"&amp;$B7)</f>
        <v>110.40327507202289</v>
      </c>
      <c r="G7" s="212" cm="1">
        <f t="array" aca="1" ref="G7" ca="1">INDIRECT("'"&amp;G$2&amp;"'!"&amp;$C7)</f>
        <v>55.427116246263161</v>
      </c>
      <c r="H7" s="211" cm="1">
        <f t="array" aca="1" ref="H7" ca="1">INDIRECT("'"&amp;H$2&amp;"'!"&amp;$B7)</f>
        <v>341.63370629599996</v>
      </c>
      <c r="I7" s="212" cm="1">
        <f t="array" aca="1" ref="I7" ca="1">INDIRECT("'"&amp;I$2&amp;"'!"&amp;$C7)</f>
        <v>145.60465229340926</v>
      </c>
      <c r="J7" s="211" cm="1">
        <f t="array" aca="1" ref="J7" ca="1">INDIRECT("'"&amp;J$2&amp;"'!"&amp;$B7)</f>
        <v>147.77885748800003</v>
      </c>
      <c r="K7" s="212" cm="1">
        <f t="array" aca="1" ref="K7" ca="1">INDIRECT("'"&amp;K$2&amp;"'!"&amp;$C7)</f>
        <v>5.9111542995200015</v>
      </c>
      <c r="L7" s="211" cm="1">
        <f t="array" aca="1" ref="L7" ca="1">INDIRECT("'"&amp;L$2&amp;"'!"&amp;$B7)</f>
        <v>198.27881416999998</v>
      </c>
      <c r="M7" s="212" cm="1">
        <f t="array" aca="1" ref="M7" ca="1">INDIRECT("'"&amp;M$2&amp;"'!"&amp;$C7)</f>
        <v>7.9311525667999998</v>
      </c>
      <c r="N7" s="211" cm="1">
        <f t="array" aca="1" ref="N7" ca="1">INDIRECT("'"&amp;N$2&amp;"'!"&amp;$B7)</f>
        <v>82.637707870834291</v>
      </c>
      <c r="O7" s="212" cm="1">
        <f t="array" aca="1" ref="O7" ca="1">INDIRECT("'"&amp;O$2&amp;"'!"&amp;$C7)</f>
        <v>38.922994703223424</v>
      </c>
      <c r="P7" s="211" cm="1">
        <f t="array" aca="1" ref="P7" ca="1">INDIRECT("'"&amp;P$2&amp;"'!"&amp;$B7)</f>
        <v>65.468541390000013</v>
      </c>
      <c r="Q7" s="212" cm="1">
        <f t="array" aca="1" ref="Q7" ca="1">INDIRECT("'"&amp;Q$2&amp;"'!"&amp;$C7)</f>
        <v>27.321063600000002</v>
      </c>
      <c r="R7" s="211" cm="1">
        <f t="array" aca="1" ref="R7" ca="1">INDIRECT("'"&amp;R$2&amp;"'!"&amp;$B7)</f>
        <v>28.242328223495665</v>
      </c>
      <c r="S7" s="212" cm="1">
        <f t="array" aca="1" ref="S7" ca="1">INDIRECT("'"&amp;S$2&amp;"'!"&amp;$C7)</f>
        <v>6.3537628603753999</v>
      </c>
      <c r="T7" s="211" cm="1">
        <f t="array" aca="1" ref="T7" ca="1">INDIRECT("'"&amp;T$2&amp;"'!"&amp;$B7)</f>
        <v>28.242328223495665</v>
      </c>
      <c r="U7" s="212" cm="1">
        <f t="array" aca="1" ref="U7" ca="1">INDIRECT("'"&amp;U$2&amp;"'!"&amp;$C7)</f>
        <v>6.3537628603753999</v>
      </c>
      <c r="V7" s="211" cm="1">
        <f t="array" aca="1" ref="V7" ca="1">INDIRECT("'"&amp;V$2&amp;"'!"&amp;$B7)</f>
        <v>20.874426681360266</v>
      </c>
      <c r="W7" s="212" cm="1">
        <f t="array" aca="1" ref="W7" ca="1">INDIRECT("'"&amp;W$2&amp;"'!"&amp;$C7)</f>
        <v>6.0216559597064094</v>
      </c>
      <c r="X7" s="211" cm="1">
        <f t="array" aca="1" ref="X7" ca="1">INDIRECT("'"&amp;X$2&amp;"'!"&amp;$B7)</f>
        <v>25.418831125011501</v>
      </c>
      <c r="Y7" s="212" cm="1">
        <f t="array" aca="1" ref="Y7" ca="1">INDIRECT("'"&amp;Y$2&amp;"'!"&amp;$C7)</f>
        <v>15.136896104988502</v>
      </c>
      <c r="Z7" s="211" cm="1">
        <f t="array" aca="1" ref="Z7" ca="1">INDIRECT("'"&amp;Z$2&amp;"'!"&amp;$B7)</f>
        <v>51.7</v>
      </c>
      <c r="AA7" s="212" cm="1">
        <f t="array" aca="1" ref="AA7" ca="1">INDIRECT("'"&amp;AA$2&amp;"'!"&amp;$C7)</f>
        <v>2.0680000000000005</v>
      </c>
      <c r="AB7" s="211" cm="1">
        <f t="array" aca="1" ref="AB7" ca="1">INDIRECT("'"&amp;AB$2&amp;"'!"&amp;$B7)</f>
        <v>262.69067708333336</v>
      </c>
      <c r="AC7" s="212" cm="1">
        <f t="array" aca="1" ref="AC7" ca="1">INDIRECT("'"&amp;AC$2&amp;"'!"&amp;$C7)</f>
        <v>10.507627083333336</v>
      </c>
      <c r="AD7" s="211" cm="1">
        <f t="array" aca="1" ref="AD7" ca="1">INDIRECT("'"&amp;AD$2&amp;"'!"&amp;$B7)</f>
        <v>948.33488238333337</v>
      </c>
      <c r="AE7" s="212" cm="1">
        <f t="array" aca="1" ref="AE7" ca="1">INDIRECT("'"&amp;AE$2&amp;"'!"&amp;$C7)</f>
        <v>37.933395295333341</v>
      </c>
      <c r="AF7" s="211" cm="1">
        <f t="array" aca="1" ref="AF7" ca="1">INDIRECT("'"&amp;AF$2&amp;"'!"&amp;$B7)</f>
        <v>11094.235901</v>
      </c>
      <c r="AG7" s="212" cm="1">
        <f t="array" aca="1" ref="AG7" ca="1">INDIRECT("'"&amp;AG$2&amp;"'!"&amp;$C7)</f>
        <v>443.76943604000007</v>
      </c>
    </row>
    <row r="8" spans="1:33" ht="21.6" customHeight="1" x14ac:dyDescent="0.3">
      <c r="A8" s="12" t="s">
        <v>458</v>
      </c>
      <c r="B8" s="207" t="s">
        <v>336</v>
      </c>
      <c r="C8" s="207" t="s">
        <v>348</v>
      </c>
      <c r="D8" s="211" cm="1">
        <f t="array" aca="1" ref="D8" ca="1">INDIRECT("'"&amp;D$2&amp;"'!"&amp;$B8)</f>
        <v>212.30196272820004</v>
      </c>
      <c r="E8" s="212" cm="1">
        <f t="array" aca="1" ref="E8" ca="1">INDIRECT("'"&amp;E$2&amp;"'!"&amp;$C8)</f>
        <v>0</v>
      </c>
      <c r="F8" s="211" cm="1">
        <f t="array" aca="1" ref="F8" ca="1">INDIRECT("'"&amp;F$2&amp;"'!"&amp;$B8)</f>
        <v>110.40327507202289</v>
      </c>
      <c r="G8" s="212" cm="1">
        <f t="array" aca="1" ref="G8" ca="1">INDIRECT("'"&amp;G$2&amp;"'!"&amp;$C8)</f>
        <v>55.427116246263161</v>
      </c>
      <c r="H8" s="211" cm="1">
        <f t="array" aca="1" ref="H8" ca="1">INDIRECT("'"&amp;H$2&amp;"'!"&amp;$B8)</f>
        <v>341.63370629599996</v>
      </c>
      <c r="I8" s="212" cm="1">
        <f t="array" aca="1" ref="I8" ca="1">INDIRECT("'"&amp;I$2&amp;"'!"&amp;$C8)</f>
        <v>145.60465229340926</v>
      </c>
      <c r="J8" s="211" cm="1">
        <f t="array" aca="1" ref="J8" ca="1">INDIRECT("'"&amp;J$2&amp;"'!"&amp;$B8)</f>
        <v>147.77885748800003</v>
      </c>
      <c r="K8" s="212" cm="1">
        <f t="array" aca="1" ref="K8" ca="1">INDIRECT("'"&amp;K$2&amp;"'!"&amp;$C8)</f>
        <v>5.9111542995200015</v>
      </c>
      <c r="L8" s="211" cm="1">
        <f t="array" aca="1" ref="L8" ca="1">INDIRECT("'"&amp;L$2&amp;"'!"&amp;$B8)</f>
        <v>198.27881416999998</v>
      </c>
      <c r="M8" s="212" cm="1">
        <f t="array" aca="1" ref="M8" ca="1">INDIRECT("'"&amp;M$2&amp;"'!"&amp;$C8)</f>
        <v>7.9311525667999998</v>
      </c>
      <c r="N8" s="211" cm="1">
        <f t="array" aca="1" ref="N8" ca="1">INDIRECT("'"&amp;N$2&amp;"'!"&amp;$B8)</f>
        <v>82.637707870834291</v>
      </c>
      <c r="O8" s="212" cm="1">
        <f t="array" aca="1" ref="O8" ca="1">INDIRECT("'"&amp;O$2&amp;"'!"&amp;$C8)</f>
        <v>38.922994703223424</v>
      </c>
      <c r="P8" s="211" cm="1">
        <f t="array" aca="1" ref="P8" ca="1">INDIRECT("'"&amp;P$2&amp;"'!"&amp;$B8)</f>
        <v>65.468541390000013</v>
      </c>
      <c r="Q8" s="212" cm="1">
        <f t="array" aca="1" ref="Q8" ca="1">INDIRECT("'"&amp;Q$2&amp;"'!"&amp;$C8)</f>
        <v>27.321063600000002</v>
      </c>
      <c r="R8" s="211" cm="1">
        <f t="array" aca="1" ref="R8" ca="1">INDIRECT("'"&amp;R$2&amp;"'!"&amp;$B8)</f>
        <v>28.242328223495665</v>
      </c>
      <c r="S8" s="212" cm="1">
        <f t="array" aca="1" ref="S8" ca="1">INDIRECT("'"&amp;S$2&amp;"'!"&amp;$C8)</f>
        <v>6.3537628603753999</v>
      </c>
      <c r="T8" s="211" cm="1">
        <f t="array" aca="1" ref="T8" ca="1">INDIRECT("'"&amp;T$2&amp;"'!"&amp;$B8)</f>
        <v>28.242328223495665</v>
      </c>
      <c r="U8" s="212" cm="1">
        <f t="array" aca="1" ref="U8" ca="1">INDIRECT("'"&amp;U$2&amp;"'!"&amp;$C8)</f>
        <v>6.3537628603753999</v>
      </c>
      <c r="V8" s="211" cm="1">
        <f t="array" aca="1" ref="V8" ca="1">INDIRECT("'"&amp;V$2&amp;"'!"&amp;$B8)</f>
        <v>20.874426681360266</v>
      </c>
      <c r="W8" s="212" cm="1">
        <f t="array" aca="1" ref="W8" ca="1">INDIRECT("'"&amp;W$2&amp;"'!"&amp;$C8)</f>
        <v>6.0216559597064094</v>
      </c>
      <c r="X8" s="211" cm="1">
        <f t="array" aca="1" ref="X8" ca="1">INDIRECT("'"&amp;X$2&amp;"'!"&amp;$B8)</f>
        <v>25.418831125011501</v>
      </c>
      <c r="Y8" s="212" cm="1">
        <f t="array" aca="1" ref="Y8" ca="1">INDIRECT("'"&amp;Y$2&amp;"'!"&amp;$C8)</f>
        <v>15.136896104988502</v>
      </c>
      <c r="Z8" s="211" cm="1">
        <f t="array" aca="1" ref="Z8" ca="1">INDIRECT("'"&amp;Z$2&amp;"'!"&amp;$B8)</f>
        <v>67.099999999999994</v>
      </c>
      <c r="AA8" s="212" cm="1">
        <f t="array" aca="1" ref="AA8" ca="1">INDIRECT("'"&amp;AA$2&amp;"'!"&amp;$C8)</f>
        <v>2.6840000000000019</v>
      </c>
      <c r="AB8" s="211" cm="1">
        <f t="array" aca="1" ref="AB8" ca="1">INDIRECT("'"&amp;AB$2&amp;"'!"&amp;$B8)</f>
        <v>262.69067708333336</v>
      </c>
      <c r="AC8" s="212" cm="1">
        <f t="array" aca="1" ref="AC8" ca="1">INDIRECT("'"&amp;AC$2&amp;"'!"&amp;$C8)</f>
        <v>10.507627083333336</v>
      </c>
      <c r="AD8" s="211" cm="1">
        <f t="array" aca="1" ref="AD8" ca="1">INDIRECT("'"&amp;AD$2&amp;"'!"&amp;$B8)</f>
        <v>948.33488238333337</v>
      </c>
      <c r="AE8" s="212" cm="1">
        <f t="array" aca="1" ref="AE8" ca="1">INDIRECT("'"&amp;AE$2&amp;"'!"&amp;$C8)</f>
        <v>37.933395295333341</v>
      </c>
      <c r="AF8" s="211" cm="1">
        <f t="array" aca="1" ref="AF8" ca="1">INDIRECT("'"&amp;AF$2&amp;"'!"&amp;$B8)</f>
        <v>11094.235901</v>
      </c>
      <c r="AG8" s="212" cm="1">
        <f t="array" aca="1" ref="AG8" ca="1">INDIRECT("'"&amp;AG$2&amp;"'!"&amp;$C8)</f>
        <v>443.76943604000007</v>
      </c>
    </row>
    <row r="9" spans="1:33" ht="21.6" customHeight="1" x14ac:dyDescent="0.3">
      <c r="A9" s="12" t="s">
        <v>459</v>
      </c>
      <c r="B9" s="207" t="s">
        <v>337</v>
      </c>
      <c r="C9" s="207" t="s">
        <v>349</v>
      </c>
      <c r="D9" s="211" cm="1">
        <f t="array" aca="1" ref="D9" ca="1">INDIRECT("'"&amp;D$2&amp;"'!"&amp;$B9)</f>
        <v>212.30196272820004</v>
      </c>
      <c r="E9" s="212" cm="1">
        <f t="array" aca="1" ref="E9" ca="1">INDIRECT("'"&amp;E$2&amp;"'!"&amp;$C9)</f>
        <v>0</v>
      </c>
      <c r="F9" s="211" cm="1">
        <f t="array" aca="1" ref="F9" ca="1">INDIRECT("'"&amp;F$2&amp;"'!"&amp;$B9)</f>
        <v>110.40327507202289</v>
      </c>
      <c r="G9" s="212" cm="1">
        <f t="array" aca="1" ref="G9" ca="1">INDIRECT("'"&amp;G$2&amp;"'!"&amp;$C9)</f>
        <v>55.427116246263161</v>
      </c>
      <c r="H9" s="211" cm="1">
        <f t="array" aca="1" ref="H9" ca="1">INDIRECT("'"&amp;H$2&amp;"'!"&amp;$B9)</f>
        <v>341.63370629599996</v>
      </c>
      <c r="I9" s="212" cm="1">
        <f t="array" aca="1" ref="I9" ca="1">INDIRECT("'"&amp;I$2&amp;"'!"&amp;$C9)</f>
        <v>145.60465229340926</v>
      </c>
      <c r="J9" s="211" cm="1">
        <f t="array" aca="1" ref="J9" ca="1">INDIRECT("'"&amp;J$2&amp;"'!"&amp;$B9)</f>
        <v>147.77885748800003</v>
      </c>
      <c r="K9" s="212" cm="1">
        <f t="array" aca="1" ref="K9" ca="1">INDIRECT("'"&amp;K$2&amp;"'!"&amp;$C9)</f>
        <v>5.9111542995200015</v>
      </c>
      <c r="L9" s="211" cm="1">
        <f t="array" aca="1" ref="L9" ca="1">INDIRECT("'"&amp;L$2&amp;"'!"&amp;$B9)</f>
        <v>198.27881416999998</v>
      </c>
      <c r="M9" s="212" cm="1">
        <f t="array" aca="1" ref="M9" ca="1">INDIRECT("'"&amp;M$2&amp;"'!"&amp;$C9)</f>
        <v>7.9311525667999998</v>
      </c>
      <c r="N9" s="211" cm="1">
        <f t="array" aca="1" ref="N9" ca="1">INDIRECT("'"&amp;N$2&amp;"'!"&amp;$B9)</f>
        <v>82.637707870834291</v>
      </c>
      <c r="O9" s="212" cm="1">
        <f t="array" aca="1" ref="O9" ca="1">INDIRECT("'"&amp;O$2&amp;"'!"&amp;$C9)</f>
        <v>38.922994703223424</v>
      </c>
      <c r="P9" s="211" cm="1">
        <f t="array" aca="1" ref="P9" ca="1">INDIRECT("'"&amp;P$2&amp;"'!"&amp;$B9)</f>
        <v>65.468541390000013</v>
      </c>
      <c r="Q9" s="212" cm="1">
        <f t="array" aca="1" ref="Q9" ca="1">INDIRECT("'"&amp;Q$2&amp;"'!"&amp;$C9)</f>
        <v>27.321063600000002</v>
      </c>
      <c r="R9" s="211" cm="1">
        <f t="array" aca="1" ref="R9" ca="1">INDIRECT("'"&amp;R$2&amp;"'!"&amp;$B9)</f>
        <v>28.242328223495665</v>
      </c>
      <c r="S9" s="212" cm="1">
        <f t="array" aca="1" ref="S9" ca="1">INDIRECT("'"&amp;S$2&amp;"'!"&amp;$C9)</f>
        <v>6.3537628603753999</v>
      </c>
      <c r="T9" s="211" cm="1">
        <f t="array" aca="1" ref="T9" ca="1">INDIRECT("'"&amp;T$2&amp;"'!"&amp;$B9)</f>
        <v>28.242328223495665</v>
      </c>
      <c r="U9" s="212" cm="1">
        <f t="array" aca="1" ref="U9" ca="1">INDIRECT("'"&amp;U$2&amp;"'!"&amp;$C9)</f>
        <v>6.3537628603753999</v>
      </c>
      <c r="V9" s="211" cm="1">
        <f t="array" aca="1" ref="V9" ca="1">INDIRECT("'"&amp;V$2&amp;"'!"&amp;$B9)</f>
        <v>20.874426681360266</v>
      </c>
      <c r="W9" s="212" cm="1">
        <f t="array" aca="1" ref="W9" ca="1">INDIRECT("'"&amp;W$2&amp;"'!"&amp;$C9)</f>
        <v>6.0216559597064094</v>
      </c>
      <c r="X9" s="211" cm="1">
        <f t="array" aca="1" ref="X9" ca="1">INDIRECT("'"&amp;X$2&amp;"'!"&amp;$B9)</f>
        <v>25.418831125011501</v>
      </c>
      <c r="Y9" s="212" cm="1">
        <f t="array" aca="1" ref="Y9" ca="1">INDIRECT("'"&amp;Y$2&amp;"'!"&amp;$C9)</f>
        <v>15.136896104988502</v>
      </c>
      <c r="Z9" s="211" cm="1">
        <f t="array" aca="1" ref="Z9" ca="1">INDIRECT("'"&amp;Z$2&amp;"'!"&amp;$B9)</f>
        <v>67.099999999999994</v>
      </c>
      <c r="AA9" s="212" cm="1">
        <f t="array" aca="1" ref="AA9" ca="1">INDIRECT("'"&amp;AA$2&amp;"'!"&amp;$C9)</f>
        <v>2.6840000000000019</v>
      </c>
      <c r="AB9" s="211" cm="1">
        <f t="array" aca="1" ref="AB9" ca="1">INDIRECT("'"&amp;AB$2&amp;"'!"&amp;$B9)</f>
        <v>262.69067708333336</v>
      </c>
      <c r="AC9" s="212" cm="1">
        <f t="array" aca="1" ref="AC9" ca="1">INDIRECT("'"&amp;AC$2&amp;"'!"&amp;$C9)</f>
        <v>10.507627083333336</v>
      </c>
      <c r="AD9" s="211" cm="1">
        <f t="array" aca="1" ref="AD9" ca="1">INDIRECT("'"&amp;AD$2&amp;"'!"&amp;$B9)</f>
        <v>948.33488238333337</v>
      </c>
      <c r="AE9" s="212" cm="1">
        <f t="array" aca="1" ref="AE9" ca="1">INDIRECT("'"&amp;AE$2&amp;"'!"&amp;$C9)</f>
        <v>37.933395295333341</v>
      </c>
      <c r="AF9" s="211" cm="1">
        <f t="array" aca="1" ref="AF9" ca="1">INDIRECT("'"&amp;AF$2&amp;"'!"&amp;$B9)</f>
        <v>11094.235901</v>
      </c>
      <c r="AG9" s="212" cm="1">
        <f t="array" aca="1" ref="AG9" ca="1">INDIRECT("'"&amp;AG$2&amp;"'!"&amp;$C9)</f>
        <v>443.76943604000007</v>
      </c>
    </row>
    <row r="10" spans="1:33" ht="21.6" customHeight="1" x14ac:dyDescent="0.3">
      <c r="A10" s="12" t="s">
        <v>460</v>
      </c>
      <c r="B10" s="207" t="s">
        <v>338</v>
      </c>
      <c r="C10" s="207" t="s">
        <v>350</v>
      </c>
      <c r="D10" s="211" cm="1">
        <f t="array" aca="1" ref="D10" ca="1">INDIRECT("'"&amp;D$2&amp;"'!"&amp;$B10)</f>
        <v>212.30196272820004</v>
      </c>
      <c r="E10" s="212" cm="1">
        <f t="array" aca="1" ref="E10" ca="1">INDIRECT("'"&amp;E$2&amp;"'!"&amp;$C10)</f>
        <v>0</v>
      </c>
      <c r="F10" s="211" cm="1">
        <f t="array" aca="1" ref="F10" ca="1">INDIRECT("'"&amp;F$2&amp;"'!"&amp;$B10)</f>
        <v>110.40327507202289</v>
      </c>
      <c r="G10" s="212" cm="1">
        <f t="array" aca="1" ref="G10" ca="1">INDIRECT("'"&amp;G$2&amp;"'!"&amp;$C10)</f>
        <v>55.427116246263161</v>
      </c>
      <c r="H10" s="211" cm="1">
        <f t="array" aca="1" ref="H10" ca="1">INDIRECT("'"&amp;H$2&amp;"'!"&amp;$B10)</f>
        <v>341.63370629599996</v>
      </c>
      <c r="I10" s="212" cm="1">
        <f t="array" aca="1" ref="I10" ca="1">INDIRECT("'"&amp;I$2&amp;"'!"&amp;$C10)</f>
        <v>145.60465229340926</v>
      </c>
      <c r="J10" s="211" cm="1">
        <f t="array" aca="1" ref="J10" ca="1">INDIRECT("'"&amp;J$2&amp;"'!"&amp;$B10)</f>
        <v>147.77885748800003</v>
      </c>
      <c r="K10" s="212" cm="1">
        <f t="array" aca="1" ref="K10" ca="1">INDIRECT("'"&amp;K$2&amp;"'!"&amp;$C10)</f>
        <v>5.9111542995200015</v>
      </c>
      <c r="L10" s="211" cm="1">
        <f t="array" aca="1" ref="L10" ca="1">INDIRECT("'"&amp;L$2&amp;"'!"&amp;$B10)</f>
        <v>198.27881416999998</v>
      </c>
      <c r="M10" s="212" cm="1">
        <f t="array" aca="1" ref="M10" ca="1">INDIRECT("'"&amp;M$2&amp;"'!"&amp;$C10)</f>
        <v>7.9311525667999998</v>
      </c>
      <c r="N10" s="211" cm="1">
        <f t="array" aca="1" ref="N10" ca="1">INDIRECT("'"&amp;N$2&amp;"'!"&amp;$B10)</f>
        <v>82.637707870834291</v>
      </c>
      <c r="O10" s="212" cm="1">
        <f t="array" aca="1" ref="O10" ca="1">INDIRECT("'"&amp;O$2&amp;"'!"&amp;$C10)</f>
        <v>38.922994703223424</v>
      </c>
      <c r="P10" s="211" cm="1">
        <f t="array" aca="1" ref="P10" ca="1">INDIRECT("'"&amp;P$2&amp;"'!"&amp;$B10)</f>
        <v>65.468541390000013</v>
      </c>
      <c r="Q10" s="212" cm="1">
        <f t="array" aca="1" ref="Q10" ca="1">INDIRECT("'"&amp;Q$2&amp;"'!"&amp;$C10)</f>
        <v>27.321063600000002</v>
      </c>
      <c r="R10" s="211" cm="1">
        <f t="array" aca="1" ref="R10" ca="1">INDIRECT("'"&amp;R$2&amp;"'!"&amp;$B10)</f>
        <v>28.242328223495665</v>
      </c>
      <c r="S10" s="212" cm="1">
        <f t="array" aca="1" ref="S10" ca="1">INDIRECT("'"&amp;S$2&amp;"'!"&amp;$C10)</f>
        <v>6.3537628603753999</v>
      </c>
      <c r="T10" s="211" cm="1">
        <f t="array" aca="1" ref="T10" ca="1">INDIRECT("'"&amp;T$2&amp;"'!"&amp;$B10)</f>
        <v>28.242328223495665</v>
      </c>
      <c r="U10" s="212" cm="1">
        <f t="array" aca="1" ref="U10" ca="1">INDIRECT("'"&amp;U$2&amp;"'!"&amp;$C10)</f>
        <v>6.3537628603753999</v>
      </c>
      <c r="V10" s="211" cm="1">
        <f t="array" aca="1" ref="V10" ca="1">INDIRECT("'"&amp;V$2&amp;"'!"&amp;$B10)</f>
        <v>20.874426681360266</v>
      </c>
      <c r="W10" s="212" cm="1">
        <f t="array" aca="1" ref="W10" ca="1">INDIRECT("'"&amp;W$2&amp;"'!"&amp;$C10)</f>
        <v>6.0216559597064094</v>
      </c>
      <c r="X10" s="211" cm="1">
        <f t="array" aca="1" ref="X10" ca="1">INDIRECT("'"&amp;X$2&amp;"'!"&amp;$B10)</f>
        <v>25.418831125011501</v>
      </c>
      <c r="Y10" s="212" cm="1">
        <f t="array" aca="1" ref="Y10" ca="1">INDIRECT("'"&amp;Y$2&amp;"'!"&amp;$C10)</f>
        <v>15.136896104988502</v>
      </c>
      <c r="Z10" s="211" cm="1">
        <f t="array" aca="1" ref="Z10" ca="1">INDIRECT("'"&amp;Z$2&amp;"'!"&amp;$B10)</f>
        <v>67.099999999999994</v>
      </c>
      <c r="AA10" s="212" cm="1">
        <f t="array" aca="1" ref="AA10" ca="1">INDIRECT("'"&amp;AA$2&amp;"'!"&amp;$C10)</f>
        <v>2.6840000000000019</v>
      </c>
      <c r="AB10" s="211" cm="1">
        <f t="array" aca="1" ref="AB10" ca="1">INDIRECT("'"&amp;AB$2&amp;"'!"&amp;$B10)</f>
        <v>262.69067708333336</v>
      </c>
      <c r="AC10" s="212" cm="1">
        <f t="array" aca="1" ref="AC10" ca="1">INDIRECT("'"&amp;AC$2&amp;"'!"&amp;$C10)</f>
        <v>10.507627083333336</v>
      </c>
      <c r="AD10" s="211" cm="1">
        <f t="array" aca="1" ref="AD10" ca="1">INDIRECT("'"&amp;AD$2&amp;"'!"&amp;$B10)</f>
        <v>948.33488238333337</v>
      </c>
      <c r="AE10" s="212" cm="1">
        <f t="array" aca="1" ref="AE10" ca="1">INDIRECT("'"&amp;AE$2&amp;"'!"&amp;$C10)</f>
        <v>37.933395295333341</v>
      </c>
      <c r="AF10" s="211" cm="1">
        <f t="array" aca="1" ref="AF10" ca="1">INDIRECT("'"&amp;AF$2&amp;"'!"&amp;$B10)</f>
        <v>11094.235901</v>
      </c>
      <c r="AG10" s="212" cm="1">
        <f t="array" aca="1" ref="AG10" ca="1">INDIRECT("'"&amp;AG$2&amp;"'!"&amp;$C10)</f>
        <v>443.76943604000007</v>
      </c>
    </row>
    <row r="11" spans="1:33" ht="21.6" customHeight="1" x14ac:dyDescent="0.3">
      <c r="A11" s="12" t="s">
        <v>461</v>
      </c>
      <c r="B11" s="207" t="s">
        <v>339</v>
      </c>
      <c r="C11" s="207" t="s">
        <v>351</v>
      </c>
      <c r="D11" s="211" cm="1">
        <f t="array" aca="1" ref="D11" ca="1">INDIRECT("'"&amp;D$2&amp;"'!"&amp;$B11)</f>
        <v>212.30196272820004</v>
      </c>
      <c r="E11" s="212" cm="1">
        <f t="array" aca="1" ref="E11" ca="1">INDIRECT("'"&amp;E$2&amp;"'!"&amp;$C11)</f>
        <v>0</v>
      </c>
      <c r="F11" s="211" cm="1">
        <f t="array" aca="1" ref="F11" ca="1">INDIRECT("'"&amp;F$2&amp;"'!"&amp;$B11)</f>
        <v>110.40327507202289</v>
      </c>
      <c r="G11" s="212" cm="1">
        <f t="array" aca="1" ref="G11" ca="1">INDIRECT("'"&amp;G$2&amp;"'!"&amp;$C11)</f>
        <v>55.427116246263161</v>
      </c>
      <c r="H11" s="211" cm="1">
        <f t="array" aca="1" ref="H11" ca="1">INDIRECT("'"&amp;H$2&amp;"'!"&amp;$B11)</f>
        <v>341.63370629599996</v>
      </c>
      <c r="I11" s="212" cm="1">
        <f t="array" aca="1" ref="I11" ca="1">INDIRECT("'"&amp;I$2&amp;"'!"&amp;$C11)</f>
        <v>145.60465229340926</v>
      </c>
      <c r="J11" s="211" cm="1">
        <f t="array" aca="1" ref="J11" ca="1">INDIRECT("'"&amp;J$2&amp;"'!"&amp;$B11)</f>
        <v>147.77885748800003</v>
      </c>
      <c r="K11" s="212" cm="1">
        <f t="array" aca="1" ref="K11" ca="1">INDIRECT("'"&amp;K$2&amp;"'!"&amp;$C11)</f>
        <v>5.9111542995200015</v>
      </c>
      <c r="L11" s="211" cm="1">
        <f t="array" aca="1" ref="L11" ca="1">INDIRECT("'"&amp;L$2&amp;"'!"&amp;$B11)</f>
        <v>198.27881416999998</v>
      </c>
      <c r="M11" s="212" cm="1">
        <f t="array" aca="1" ref="M11" ca="1">INDIRECT("'"&amp;M$2&amp;"'!"&amp;$C11)</f>
        <v>7.9311525667999998</v>
      </c>
      <c r="N11" s="211" cm="1">
        <f t="array" aca="1" ref="N11" ca="1">INDIRECT("'"&amp;N$2&amp;"'!"&amp;$B11)</f>
        <v>82.637707870834291</v>
      </c>
      <c r="O11" s="212" cm="1">
        <f t="array" aca="1" ref="O11" ca="1">INDIRECT("'"&amp;O$2&amp;"'!"&amp;$C11)</f>
        <v>38.922994703223424</v>
      </c>
      <c r="P11" s="211" cm="1">
        <f t="array" aca="1" ref="P11" ca="1">INDIRECT("'"&amp;P$2&amp;"'!"&amp;$B11)</f>
        <v>65.468541390000013</v>
      </c>
      <c r="Q11" s="212" cm="1">
        <f t="array" aca="1" ref="Q11" ca="1">INDIRECT("'"&amp;Q$2&amp;"'!"&amp;$C11)</f>
        <v>27.321063600000002</v>
      </c>
      <c r="R11" s="211" cm="1">
        <f t="array" aca="1" ref="R11" ca="1">INDIRECT("'"&amp;R$2&amp;"'!"&amp;$B11)</f>
        <v>28.242328223495665</v>
      </c>
      <c r="S11" s="212" cm="1">
        <f t="array" aca="1" ref="S11" ca="1">INDIRECT("'"&amp;S$2&amp;"'!"&amp;$C11)</f>
        <v>6.3537628603753999</v>
      </c>
      <c r="T11" s="211" cm="1">
        <f t="array" aca="1" ref="T11" ca="1">INDIRECT("'"&amp;T$2&amp;"'!"&amp;$B11)</f>
        <v>28.242328223495665</v>
      </c>
      <c r="U11" s="212" cm="1">
        <f t="array" aca="1" ref="U11" ca="1">INDIRECT("'"&amp;U$2&amp;"'!"&amp;$C11)</f>
        <v>6.3537628603753999</v>
      </c>
      <c r="V11" s="211" cm="1">
        <f t="array" aca="1" ref="V11" ca="1">INDIRECT("'"&amp;V$2&amp;"'!"&amp;$B11)</f>
        <v>20.874426681360266</v>
      </c>
      <c r="W11" s="212" cm="1">
        <f t="array" aca="1" ref="W11" ca="1">INDIRECT("'"&amp;W$2&amp;"'!"&amp;$C11)</f>
        <v>6.0216559597064094</v>
      </c>
      <c r="X11" s="211" cm="1">
        <f t="array" aca="1" ref="X11" ca="1">INDIRECT("'"&amp;X$2&amp;"'!"&amp;$B11)</f>
        <v>25.418831125011501</v>
      </c>
      <c r="Y11" s="212" cm="1">
        <f t="array" aca="1" ref="Y11" ca="1">INDIRECT("'"&amp;Y$2&amp;"'!"&amp;$C11)</f>
        <v>15.136896104988502</v>
      </c>
      <c r="Z11" s="211" cm="1">
        <f t="array" aca="1" ref="Z11" ca="1">INDIRECT("'"&amp;Z$2&amp;"'!"&amp;$B11)</f>
        <v>0</v>
      </c>
      <c r="AA11" s="212" cm="1">
        <f t="array" aca="1" ref="AA11" ca="1">INDIRECT("'"&amp;AA$2&amp;"'!"&amp;$C11)</f>
        <v>0</v>
      </c>
      <c r="AB11" s="211" cm="1">
        <f t="array" aca="1" ref="AB11" ca="1">INDIRECT("'"&amp;AB$2&amp;"'!"&amp;$B11)</f>
        <v>262.69067708333336</v>
      </c>
      <c r="AC11" s="212" cm="1">
        <f t="array" aca="1" ref="AC11" ca="1">INDIRECT("'"&amp;AC$2&amp;"'!"&amp;$C11)</f>
        <v>10.507627083333336</v>
      </c>
      <c r="AD11" s="211" cm="1">
        <f t="array" aca="1" ref="AD11" ca="1">INDIRECT("'"&amp;AD$2&amp;"'!"&amp;$B11)</f>
        <v>948.33488238333337</v>
      </c>
      <c r="AE11" s="212" cm="1">
        <f t="array" aca="1" ref="AE11" ca="1">INDIRECT("'"&amp;AE$2&amp;"'!"&amp;$C11)</f>
        <v>37.933395295333341</v>
      </c>
      <c r="AF11" s="211" cm="1">
        <f t="array" aca="1" ref="AF11" ca="1">INDIRECT("'"&amp;AF$2&amp;"'!"&amp;$B11)</f>
        <v>11094.235901</v>
      </c>
      <c r="AG11" s="212" cm="1">
        <f t="array" aca="1" ref="AG11" ca="1">INDIRECT("'"&amp;AG$2&amp;"'!"&amp;$C11)</f>
        <v>443.76943604000007</v>
      </c>
    </row>
    <row r="12" spans="1:33" ht="21.6" customHeight="1" x14ac:dyDescent="0.3">
      <c r="A12" s="12" t="s">
        <v>462</v>
      </c>
      <c r="B12" s="207" t="s">
        <v>340</v>
      </c>
      <c r="C12" s="207" t="s">
        <v>352</v>
      </c>
      <c r="D12" s="211" cm="1">
        <f t="array" aca="1" ref="D12" ca="1">INDIRECT("'"&amp;D$2&amp;"'!"&amp;$B12)</f>
        <v>212.30196272820004</v>
      </c>
      <c r="E12" s="212" cm="1">
        <f t="array" aca="1" ref="E12" ca="1">INDIRECT("'"&amp;E$2&amp;"'!"&amp;$C12)</f>
        <v>0</v>
      </c>
      <c r="F12" s="211" cm="1">
        <f t="array" aca="1" ref="F12" ca="1">INDIRECT("'"&amp;F$2&amp;"'!"&amp;$B12)</f>
        <v>110.40327507202289</v>
      </c>
      <c r="G12" s="212" cm="1">
        <f t="array" aca="1" ref="G12" ca="1">INDIRECT("'"&amp;G$2&amp;"'!"&amp;$C12)</f>
        <v>55.427116246263161</v>
      </c>
      <c r="H12" s="211" cm="1">
        <f t="array" aca="1" ref="H12" ca="1">INDIRECT("'"&amp;H$2&amp;"'!"&amp;$B12)</f>
        <v>341.63370629599996</v>
      </c>
      <c r="I12" s="212" cm="1">
        <f t="array" aca="1" ref="I12" ca="1">INDIRECT("'"&amp;I$2&amp;"'!"&amp;$C12)</f>
        <v>145.60465229340926</v>
      </c>
      <c r="J12" s="211" cm="1">
        <f t="array" aca="1" ref="J12" ca="1">INDIRECT("'"&amp;J$2&amp;"'!"&amp;$B12)</f>
        <v>147.77885748800003</v>
      </c>
      <c r="K12" s="212" cm="1">
        <f t="array" aca="1" ref="K12" ca="1">INDIRECT("'"&amp;K$2&amp;"'!"&amp;$C12)</f>
        <v>5.9111542995200015</v>
      </c>
      <c r="L12" s="211" cm="1">
        <f t="array" aca="1" ref="L12" ca="1">INDIRECT("'"&amp;L$2&amp;"'!"&amp;$B12)</f>
        <v>198.27881416999998</v>
      </c>
      <c r="M12" s="212" cm="1">
        <f t="array" aca="1" ref="M12" ca="1">INDIRECT("'"&amp;M$2&amp;"'!"&amp;$C12)</f>
        <v>7.9311525667999998</v>
      </c>
      <c r="N12" s="211" cm="1">
        <f t="array" aca="1" ref="N12" ca="1">INDIRECT("'"&amp;N$2&amp;"'!"&amp;$B12)</f>
        <v>82.637707870834291</v>
      </c>
      <c r="O12" s="212" cm="1">
        <f t="array" aca="1" ref="O12" ca="1">INDIRECT("'"&amp;O$2&amp;"'!"&amp;$C12)</f>
        <v>38.922994703223424</v>
      </c>
      <c r="P12" s="211" cm="1">
        <f t="array" aca="1" ref="P12" ca="1">INDIRECT("'"&amp;P$2&amp;"'!"&amp;$B12)</f>
        <v>65.468541390000013</v>
      </c>
      <c r="Q12" s="212" cm="1">
        <f t="array" aca="1" ref="Q12" ca="1">INDIRECT("'"&amp;Q$2&amp;"'!"&amp;$C12)</f>
        <v>27.321063600000002</v>
      </c>
      <c r="R12" s="211" cm="1">
        <f t="array" aca="1" ref="R12" ca="1">INDIRECT("'"&amp;R$2&amp;"'!"&amp;$B12)</f>
        <v>28.242328223495665</v>
      </c>
      <c r="S12" s="212" cm="1">
        <f t="array" aca="1" ref="S12" ca="1">INDIRECT("'"&amp;S$2&amp;"'!"&amp;$C12)</f>
        <v>6.3537628603753999</v>
      </c>
      <c r="T12" s="211" cm="1">
        <f t="array" aca="1" ref="T12" ca="1">INDIRECT("'"&amp;T$2&amp;"'!"&amp;$B12)</f>
        <v>28.242328223495665</v>
      </c>
      <c r="U12" s="212" cm="1">
        <f t="array" aca="1" ref="U12" ca="1">INDIRECT("'"&amp;U$2&amp;"'!"&amp;$C12)</f>
        <v>6.3537628603753999</v>
      </c>
      <c r="V12" s="211" cm="1">
        <f t="array" aca="1" ref="V12" ca="1">INDIRECT("'"&amp;V$2&amp;"'!"&amp;$B12)</f>
        <v>20.874426681360266</v>
      </c>
      <c r="W12" s="212" cm="1">
        <f t="array" aca="1" ref="W12" ca="1">INDIRECT("'"&amp;W$2&amp;"'!"&amp;$C12)</f>
        <v>6.0216559597064094</v>
      </c>
      <c r="X12" s="211" cm="1">
        <f t="array" aca="1" ref="X12" ca="1">INDIRECT("'"&amp;X$2&amp;"'!"&amp;$B12)</f>
        <v>25.418831125011501</v>
      </c>
      <c r="Y12" s="212" cm="1">
        <f t="array" aca="1" ref="Y12" ca="1">INDIRECT("'"&amp;Y$2&amp;"'!"&amp;$C12)</f>
        <v>15.136896104988502</v>
      </c>
      <c r="Z12" s="211" cm="1">
        <f t="array" aca="1" ref="Z12" ca="1">INDIRECT("'"&amp;Z$2&amp;"'!"&amp;$B12)</f>
        <v>67.099999999999994</v>
      </c>
      <c r="AA12" s="212" cm="1">
        <f t="array" aca="1" ref="AA12" ca="1">INDIRECT("'"&amp;AA$2&amp;"'!"&amp;$C12)</f>
        <v>2.6840000000000019</v>
      </c>
      <c r="AB12" s="211" cm="1">
        <f t="array" aca="1" ref="AB12" ca="1">INDIRECT("'"&amp;AB$2&amp;"'!"&amp;$B12)</f>
        <v>262.69067708333336</v>
      </c>
      <c r="AC12" s="212" cm="1">
        <f t="array" aca="1" ref="AC12" ca="1">INDIRECT("'"&amp;AC$2&amp;"'!"&amp;$C12)</f>
        <v>10.507627083333336</v>
      </c>
      <c r="AD12" s="211" cm="1">
        <f t="array" aca="1" ref="AD12" ca="1">INDIRECT("'"&amp;AD$2&amp;"'!"&amp;$B12)</f>
        <v>948.33488238333337</v>
      </c>
      <c r="AE12" s="212" cm="1">
        <f t="array" aca="1" ref="AE12" ca="1">INDIRECT("'"&amp;AE$2&amp;"'!"&amp;$C12)</f>
        <v>37.933395295333341</v>
      </c>
      <c r="AF12" s="211" cm="1">
        <f t="array" aca="1" ref="AF12" ca="1">INDIRECT("'"&amp;AF$2&amp;"'!"&amp;$B12)</f>
        <v>11094.235901</v>
      </c>
      <c r="AG12" s="212" cm="1">
        <f t="array" aca="1" ref="AG12" ca="1">INDIRECT("'"&amp;AG$2&amp;"'!"&amp;$C12)</f>
        <v>443.76943604000007</v>
      </c>
    </row>
    <row r="13" spans="1:33" ht="21.6" customHeight="1" x14ac:dyDescent="0.3">
      <c r="A13" s="12" t="s">
        <v>19</v>
      </c>
      <c r="B13" s="207" t="s">
        <v>341</v>
      </c>
      <c r="C13" s="207" t="s">
        <v>353</v>
      </c>
      <c r="D13" s="211" cm="1">
        <f t="array" aca="1" ref="D13" ca="1">INDIRECT("'"&amp;D$2&amp;"'!"&amp;$B13)</f>
        <v>212.30196272820004</v>
      </c>
      <c r="E13" s="212" cm="1">
        <f t="array" aca="1" ref="E13" ca="1">INDIRECT("'"&amp;E$2&amp;"'!"&amp;$C13)</f>
        <v>0</v>
      </c>
      <c r="F13" s="211" cm="1">
        <f t="array" aca="1" ref="F13" ca="1">INDIRECT("'"&amp;F$2&amp;"'!"&amp;$B13)</f>
        <v>110.40327507202289</v>
      </c>
      <c r="G13" s="212" cm="1">
        <f t="array" aca="1" ref="G13" ca="1">INDIRECT("'"&amp;G$2&amp;"'!"&amp;$C13)</f>
        <v>55.427116246263161</v>
      </c>
      <c r="H13" s="211" cm="1">
        <f t="array" aca="1" ref="H13" ca="1">INDIRECT("'"&amp;H$2&amp;"'!"&amp;$B13)</f>
        <v>341.63370629599996</v>
      </c>
      <c r="I13" s="212" cm="1">
        <f t="array" aca="1" ref="I13" ca="1">INDIRECT("'"&amp;I$2&amp;"'!"&amp;$C13)</f>
        <v>145.60465229340926</v>
      </c>
      <c r="J13" s="211" cm="1">
        <f t="array" aca="1" ref="J13" ca="1">INDIRECT("'"&amp;J$2&amp;"'!"&amp;$B13)</f>
        <v>147.77885748800003</v>
      </c>
      <c r="K13" s="212" cm="1">
        <f t="array" aca="1" ref="K13" ca="1">INDIRECT("'"&amp;K$2&amp;"'!"&amp;$C13)</f>
        <v>5.9111542995200015</v>
      </c>
      <c r="L13" s="211" cm="1">
        <f t="array" aca="1" ref="L13" ca="1">INDIRECT("'"&amp;L$2&amp;"'!"&amp;$B13)</f>
        <v>198.27881416999998</v>
      </c>
      <c r="M13" s="212" cm="1">
        <f t="array" aca="1" ref="M13" ca="1">INDIRECT("'"&amp;M$2&amp;"'!"&amp;$C13)</f>
        <v>7.9311525667999998</v>
      </c>
      <c r="N13" s="211" cm="1">
        <f t="array" aca="1" ref="N13" ca="1">INDIRECT("'"&amp;N$2&amp;"'!"&amp;$B13)</f>
        <v>82.637707870834291</v>
      </c>
      <c r="O13" s="212" cm="1">
        <f t="array" aca="1" ref="O13" ca="1">INDIRECT("'"&amp;O$2&amp;"'!"&amp;$C13)</f>
        <v>38.922994703223424</v>
      </c>
      <c r="P13" s="211" cm="1">
        <f t="array" aca="1" ref="P13" ca="1">INDIRECT("'"&amp;P$2&amp;"'!"&amp;$B13)</f>
        <v>65.468541390000013</v>
      </c>
      <c r="Q13" s="212" cm="1">
        <f t="array" aca="1" ref="Q13" ca="1">INDIRECT("'"&amp;Q$2&amp;"'!"&amp;$C13)</f>
        <v>27.321063600000002</v>
      </c>
      <c r="R13" s="211" cm="1">
        <f t="array" aca="1" ref="R13" ca="1">INDIRECT("'"&amp;R$2&amp;"'!"&amp;$B13)</f>
        <v>28.242328223495665</v>
      </c>
      <c r="S13" s="212" cm="1">
        <f t="array" aca="1" ref="S13" ca="1">INDIRECT("'"&amp;S$2&amp;"'!"&amp;$C13)</f>
        <v>6.3537628603753999</v>
      </c>
      <c r="T13" s="211" cm="1">
        <f t="array" aca="1" ref="T13" ca="1">INDIRECT("'"&amp;T$2&amp;"'!"&amp;$B13)</f>
        <v>28.242328223495665</v>
      </c>
      <c r="U13" s="212" cm="1">
        <f t="array" aca="1" ref="U13" ca="1">INDIRECT("'"&amp;U$2&amp;"'!"&amp;$C13)</f>
        <v>6.3537628603753999</v>
      </c>
      <c r="V13" s="211" cm="1">
        <f t="array" aca="1" ref="V13" ca="1">INDIRECT("'"&amp;V$2&amp;"'!"&amp;$B13)</f>
        <v>20.874426681360266</v>
      </c>
      <c r="W13" s="212" cm="1">
        <f t="array" aca="1" ref="W13" ca="1">INDIRECT("'"&amp;W$2&amp;"'!"&amp;$C13)</f>
        <v>6.0216559597064094</v>
      </c>
      <c r="X13" s="211" cm="1">
        <f t="array" aca="1" ref="X13" ca="1">INDIRECT("'"&amp;X$2&amp;"'!"&amp;$B13)</f>
        <v>25.418831125011501</v>
      </c>
      <c r="Y13" s="212" cm="1">
        <f t="array" aca="1" ref="Y13" ca="1">INDIRECT("'"&amp;Y$2&amp;"'!"&amp;$C13)</f>
        <v>15.136896104988502</v>
      </c>
      <c r="Z13" s="211" cm="1">
        <f t="array" aca="1" ref="Z13" ca="1">INDIRECT("'"&amp;Z$2&amp;"'!"&amp;$B13)</f>
        <v>67.099999999999994</v>
      </c>
      <c r="AA13" s="212" cm="1">
        <f t="array" aca="1" ref="AA13" ca="1">INDIRECT("'"&amp;AA$2&amp;"'!"&amp;$C13)</f>
        <v>2.6840000000000019</v>
      </c>
      <c r="AB13" s="211" cm="1">
        <f t="array" aca="1" ref="AB13" ca="1">INDIRECT("'"&amp;AB$2&amp;"'!"&amp;$B13)</f>
        <v>262.69067708333336</v>
      </c>
      <c r="AC13" s="212" cm="1">
        <f t="array" aca="1" ref="AC13" ca="1">INDIRECT("'"&amp;AC$2&amp;"'!"&amp;$C13)</f>
        <v>10.507627083333336</v>
      </c>
      <c r="AD13" s="211" cm="1">
        <f t="array" aca="1" ref="AD13" ca="1">INDIRECT("'"&amp;AD$2&amp;"'!"&amp;$B13)</f>
        <v>948.33488238333337</v>
      </c>
      <c r="AE13" s="212" cm="1">
        <f t="array" aca="1" ref="AE13" ca="1">INDIRECT("'"&amp;AE$2&amp;"'!"&amp;$C13)</f>
        <v>37.933395295333341</v>
      </c>
      <c r="AF13" s="211" cm="1">
        <f t="array" aca="1" ref="AF13" ca="1">INDIRECT("'"&amp;AF$2&amp;"'!"&amp;$B13)</f>
        <v>11094.235901</v>
      </c>
      <c r="AG13" s="212" cm="1">
        <f t="array" aca="1" ref="AG13" ca="1">INDIRECT("'"&amp;AG$2&amp;"'!"&amp;$C13)</f>
        <v>443.76943604000007</v>
      </c>
    </row>
    <row r="14" spans="1:33" ht="21.6" customHeight="1" x14ac:dyDescent="0.3">
      <c r="A14" s="12" t="s">
        <v>20</v>
      </c>
      <c r="B14" s="207" t="s">
        <v>342</v>
      </c>
      <c r="C14" s="207" t="s">
        <v>354</v>
      </c>
      <c r="D14" s="211" cm="1">
        <f t="array" aca="1" ref="D14" ca="1">INDIRECT("'"&amp;D$2&amp;"'!"&amp;$B14)</f>
        <v>212.30196272820004</v>
      </c>
      <c r="E14" s="212" cm="1">
        <f t="array" aca="1" ref="E14" ca="1">INDIRECT("'"&amp;E$2&amp;"'!"&amp;$C14)</f>
        <v>0</v>
      </c>
      <c r="F14" s="211" cm="1">
        <f t="array" aca="1" ref="F14" ca="1">INDIRECT("'"&amp;F$2&amp;"'!"&amp;$B14)</f>
        <v>110.40327507202289</v>
      </c>
      <c r="G14" s="212" cm="1">
        <f t="array" aca="1" ref="G14" ca="1">INDIRECT("'"&amp;G$2&amp;"'!"&amp;$C14)</f>
        <v>55.427116246263161</v>
      </c>
      <c r="H14" s="211" cm="1">
        <f t="array" aca="1" ref="H14" ca="1">INDIRECT("'"&amp;H$2&amp;"'!"&amp;$B14)</f>
        <v>341.63370629599996</v>
      </c>
      <c r="I14" s="212" cm="1">
        <f t="array" aca="1" ref="I14" ca="1">INDIRECT("'"&amp;I$2&amp;"'!"&amp;$C14)</f>
        <v>145.60465229340926</v>
      </c>
      <c r="J14" s="211" cm="1">
        <f t="array" aca="1" ref="J14" ca="1">INDIRECT("'"&amp;J$2&amp;"'!"&amp;$B14)</f>
        <v>147.77885748800003</v>
      </c>
      <c r="K14" s="212" cm="1">
        <f t="array" aca="1" ref="K14" ca="1">INDIRECT("'"&amp;K$2&amp;"'!"&amp;$C14)</f>
        <v>5.9111542995200015</v>
      </c>
      <c r="L14" s="211" cm="1">
        <f t="array" aca="1" ref="L14" ca="1">INDIRECT("'"&amp;L$2&amp;"'!"&amp;$B14)</f>
        <v>198.27881416999998</v>
      </c>
      <c r="M14" s="212" cm="1">
        <f t="array" aca="1" ref="M14" ca="1">INDIRECT("'"&amp;M$2&amp;"'!"&amp;$C14)</f>
        <v>7.9311525667999998</v>
      </c>
      <c r="N14" s="211" cm="1">
        <f t="array" aca="1" ref="N14" ca="1">INDIRECT("'"&amp;N$2&amp;"'!"&amp;$B14)</f>
        <v>82.637707870834291</v>
      </c>
      <c r="O14" s="212" cm="1">
        <f t="array" aca="1" ref="O14" ca="1">INDIRECT("'"&amp;O$2&amp;"'!"&amp;$C14)</f>
        <v>38.922994703223424</v>
      </c>
      <c r="P14" s="211" cm="1">
        <f t="array" aca="1" ref="P14" ca="1">INDIRECT("'"&amp;P$2&amp;"'!"&amp;$B14)</f>
        <v>65.468541390000013</v>
      </c>
      <c r="Q14" s="212" cm="1">
        <f t="array" aca="1" ref="Q14" ca="1">INDIRECT("'"&amp;Q$2&amp;"'!"&amp;$C14)</f>
        <v>27.321063600000002</v>
      </c>
      <c r="R14" s="211" cm="1">
        <f t="array" aca="1" ref="R14" ca="1">INDIRECT("'"&amp;R$2&amp;"'!"&amp;$B14)</f>
        <v>28.242328223495665</v>
      </c>
      <c r="S14" s="212" cm="1">
        <f t="array" aca="1" ref="S14" ca="1">INDIRECT("'"&amp;S$2&amp;"'!"&amp;$C14)</f>
        <v>6.3537628603753999</v>
      </c>
      <c r="T14" s="211" cm="1">
        <f t="array" aca="1" ref="T14" ca="1">INDIRECT("'"&amp;T$2&amp;"'!"&amp;$B14)</f>
        <v>28.242328223495665</v>
      </c>
      <c r="U14" s="212" cm="1">
        <f t="array" aca="1" ref="U14" ca="1">INDIRECT("'"&amp;U$2&amp;"'!"&amp;$C14)</f>
        <v>6.3537628603753999</v>
      </c>
      <c r="V14" s="211" cm="1">
        <f t="array" aca="1" ref="V14" ca="1">INDIRECT("'"&amp;V$2&amp;"'!"&amp;$B14)</f>
        <v>20.874426681360266</v>
      </c>
      <c r="W14" s="212" cm="1">
        <f t="array" aca="1" ref="W14" ca="1">INDIRECT("'"&amp;W$2&amp;"'!"&amp;$C14)</f>
        <v>6.0216559597064094</v>
      </c>
      <c r="X14" s="211" cm="1">
        <f t="array" aca="1" ref="X14" ca="1">INDIRECT("'"&amp;X$2&amp;"'!"&amp;$B14)</f>
        <v>25.418831125011501</v>
      </c>
      <c r="Y14" s="212" cm="1">
        <f t="array" aca="1" ref="Y14" ca="1">INDIRECT("'"&amp;Y$2&amp;"'!"&amp;$C14)</f>
        <v>15.136896104988502</v>
      </c>
      <c r="Z14" s="211" cm="1">
        <f t="array" aca="1" ref="Z14" ca="1">INDIRECT("'"&amp;Z$2&amp;"'!"&amp;$B14)</f>
        <v>67.099999999999994</v>
      </c>
      <c r="AA14" s="212" cm="1">
        <f t="array" aca="1" ref="AA14" ca="1">INDIRECT("'"&amp;AA$2&amp;"'!"&amp;$C14)</f>
        <v>2.6840000000000019</v>
      </c>
      <c r="AB14" s="211" cm="1">
        <f t="array" aca="1" ref="AB14" ca="1">INDIRECT("'"&amp;AB$2&amp;"'!"&amp;$B14)</f>
        <v>262.69067708333336</v>
      </c>
      <c r="AC14" s="212" cm="1">
        <f t="array" aca="1" ref="AC14" ca="1">INDIRECT("'"&amp;AC$2&amp;"'!"&amp;$C14)</f>
        <v>10.507627083333336</v>
      </c>
      <c r="AD14" s="211" cm="1">
        <f t="array" aca="1" ref="AD14" ca="1">INDIRECT("'"&amp;AD$2&amp;"'!"&amp;$B14)</f>
        <v>948.33488238333337</v>
      </c>
      <c r="AE14" s="212" cm="1">
        <f t="array" aca="1" ref="AE14" ca="1">INDIRECT("'"&amp;AE$2&amp;"'!"&amp;$C14)</f>
        <v>37.933395295333341</v>
      </c>
      <c r="AF14" s="211" cm="1">
        <f t="array" aca="1" ref="AF14" ca="1">INDIRECT("'"&amp;AF$2&amp;"'!"&amp;$B14)</f>
        <v>11094.235901</v>
      </c>
      <c r="AG14" s="212" cm="1">
        <f t="array" aca="1" ref="AG14" ca="1">INDIRECT("'"&amp;AG$2&amp;"'!"&amp;$C14)</f>
        <v>443.76943604000007</v>
      </c>
    </row>
    <row r="15" spans="1:33" ht="21.6" customHeight="1" thickBot="1" x14ac:dyDescent="0.35">
      <c r="A15" s="14" t="s">
        <v>464</v>
      </c>
      <c r="B15" s="207" t="s">
        <v>343</v>
      </c>
      <c r="C15" s="207" t="s">
        <v>355</v>
      </c>
      <c r="D15" s="213" cm="1">
        <f t="array" aca="1" ref="D15" ca="1">INDIRECT("'"&amp;D$2&amp;"'!"&amp;$B15)</f>
        <v>212.30196272820004</v>
      </c>
      <c r="E15" s="214" cm="1">
        <f t="array" aca="1" ref="E15" ca="1">INDIRECT("'"&amp;E$2&amp;"'!"&amp;$C15)</f>
        <v>0</v>
      </c>
      <c r="F15" s="213" cm="1">
        <f t="array" aca="1" ref="F15" ca="1">INDIRECT("'"&amp;F$2&amp;"'!"&amp;$B15)</f>
        <v>110.40327507202289</v>
      </c>
      <c r="G15" s="214" cm="1">
        <f t="array" aca="1" ref="G15" ca="1">INDIRECT("'"&amp;G$2&amp;"'!"&amp;$C15)</f>
        <v>55.427116246263161</v>
      </c>
      <c r="H15" s="213" cm="1">
        <f t="array" aca="1" ref="H15" ca="1">INDIRECT("'"&amp;H$2&amp;"'!"&amp;$B15)</f>
        <v>341.63370629599996</v>
      </c>
      <c r="I15" s="214" cm="1">
        <f t="array" aca="1" ref="I15" ca="1">INDIRECT("'"&amp;I$2&amp;"'!"&amp;$C15)</f>
        <v>145.60465229340926</v>
      </c>
      <c r="J15" s="213" cm="1">
        <f t="array" aca="1" ref="J15" ca="1">INDIRECT("'"&amp;J$2&amp;"'!"&amp;$B15)</f>
        <v>147.77885748800003</v>
      </c>
      <c r="K15" s="214" cm="1">
        <f t="array" aca="1" ref="K15" ca="1">INDIRECT("'"&amp;K$2&amp;"'!"&amp;$C15)</f>
        <v>5.9111542995200015</v>
      </c>
      <c r="L15" s="213" cm="1">
        <f t="array" aca="1" ref="L15" ca="1">INDIRECT("'"&amp;L$2&amp;"'!"&amp;$B15)</f>
        <v>198.27881416999998</v>
      </c>
      <c r="M15" s="214" cm="1">
        <f t="array" aca="1" ref="M15" ca="1">INDIRECT("'"&amp;M$2&amp;"'!"&amp;$C15)</f>
        <v>7.9311525667999998</v>
      </c>
      <c r="N15" s="213" cm="1">
        <f t="array" aca="1" ref="N15" ca="1">INDIRECT("'"&amp;N$2&amp;"'!"&amp;$B15)</f>
        <v>82.637707870834291</v>
      </c>
      <c r="O15" s="214" cm="1">
        <f t="array" aca="1" ref="O15" ca="1">INDIRECT("'"&amp;O$2&amp;"'!"&amp;$C15)</f>
        <v>38.922994703223424</v>
      </c>
      <c r="P15" s="213" cm="1">
        <f t="array" aca="1" ref="P15" ca="1">INDIRECT("'"&amp;P$2&amp;"'!"&amp;$B15)</f>
        <v>65.468541390000013</v>
      </c>
      <c r="Q15" s="214" cm="1">
        <f t="array" aca="1" ref="Q15" ca="1">INDIRECT("'"&amp;Q$2&amp;"'!"&amp;$C15)</f>
        <v>27.321063600000002</v>
      </c>
      <c r="R15" s="213" cm="1">
        <f t="array" aca="1" ref="R15" ca="1">INDIRECT("'"&amp;R$2&amp;"'!"&amp;$B15)</f>
        <v>28.242328223495665</v>
      </c>
      <c r="S15" s="214" cm="1">
        <f t="array" aca="1" ref="S15" ca="1">INDIRECT("'"&amp;S$2&amp;"'!"&amp;$C15)</f>
        <v>6.3537628603753999</v>
      </c>
      <c r="T15" s="213" cm="1">
        <f t="array" aca="1" ref="T15" ca="1">INDIRECT("'"&amp;T$2&amp;"'!"&amp;$B15)</f>
        <v>28.242328223495665</v>
      </c>
      <c r="U15" s="214" cm="1">
        <f t="array" aca="1" ref="U15" ca="1">INDIRECT("'"&amp;U$2&amp;"'!"&amp;$C15)</f>
        <v>6.3537628603753999</v>
      </c>
      <c r="V15" s="213" cm="1">
        <f t="array" aca="1" ref="V15" ca="1">INDIRECT("'"&amp;V$2&amp;"'!"&amp;$B15)</f>
        <v>20.874426681360266</v>
      </c>
      <c r="W15" s="214" cm="1">
        <f t="array" aca="1" ref="W15" ca="1">INDIRECT("'"&amp;W$2&amp;"'!"&amp;$C15)</f>
        <v>6.0216559597064094</v>
      </c>
      <c r="X15" s="213" cm="1">
        <f t="array" aca="1" ref="X15" ca="1">INDIRECT("'"&amp;X$2&amp;"'!"&amp;$B15)</f>
        <v>25.418831125011501</v>
      </c>
      <c r="Y15" s="214" cm="1">
        <f t="array" aca="1" ref="Y15" ca="1">INDIRECT("'"&amp;Y$2&amp;"'!"&amp;$C15)</f>
        <v>15.136896104988502</v>
      </c>
      <c r="Z15" s="213" cm="1">
        <f t="array" aca="1" ref="Z15" ca="1">INDIRECT("'"&amp;Z$2&amp;"'!"&amp;$B15)</f>
        <v>67.099999999999994</v>
      </c>
      <c r="AA15" s="214" cm="1">
        <f t="array" aca="1" ref="AA15" ca="1">INDIRECT("'"&amp;AA$2&amp;"'!"&amp;$C15)</f>
        <v>2.6840000000000019</v>
      </c>
      <c r="AB15" s="213" cm="1">
        <f t="array" aca="1" ref="AB15" ca="1">INDIRECT("'"&amp;AB$2&amp;"'!"&amp;$B15)</f>
        <v>262.69067708333336</v>
      </c>
      <c r="AC15" s="214" cm="1">
        <f t="array" aca="1" ref="AC15" ca="1">INDIRECT("'"&amp;AC$2&amp;"'!"&amp;$C15)</f>
        <v>10.507627083333336</v>
      </c>
      <c r="AD15" s="213" cm="1">
        <f t="array" aca="1" ref="AD15" ca="1">INDIRECT("'"&amp;AD$2&amp;"'!"&amp;$B15)</f>
        <v>948.33488238333337</v>
      </c>
      <c r="AE15" s="214" cm="1">
        <f t="array" aca="1" ref="AE15" ca="1">INDIRECT("'"&amp;AE$2&amp;"'!"&amp;$C15)</f>
        <v>37.933395295333341</v>
      </c>
      <c r="AF15" s="213" cm="1">
        <f t="array" aca="1" ref="AF15" ca="1">INDIRECT("'"&amp;AF$2&amp;"'!"&amp;$B15)</f>
        <v>11094.235901</v>
      </c>
      <c r="AG15" s="214" cm="1">
        <f t="array" aca="1" ref="AG15" ca="1">INDIRECT("'"&amp;AG$2&amp;"'!"&amp;$C15)</f>
        <v>443.76943604000007</v>
      </c>
    </row>
  </sheetData>
  <sheetProtection sheet="1" objects="1" scenarios="1" formatCells="0" formatColumns="0" formatRows="0" insertColumns="0" insertRows="0" insertHyperlinks="0" deleteColumns="0" deleteRows="0" sort="0"/>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3533C-06B9-4523-82A9-B8AEC2A3789D}">
  <sheetPr>
    <tabColor rgb="FF87BCA2"/>
  </sheetPr>
  <dimension ref="A1:E114"/>
  <sheetViews>
    <sheetView zoomScale="85" zoomScaleNormal="85" workbookViewId="0">
      <selection activeCell="S38" sqref="S38"/>
    </sheetView>
  </sheetViews>
  <sheetFormatPr defaultRowHeight="14.4" x14ac:dyDescent="0.3"/>
  <cols>
    <col min="1" max="1" width="13.44140625" customWidth="1"/>
    <col min="2" max="5" width="15.88671875" bestFit="1" customWidth="1"/>
  </cols>
  <sheetData>
    <row r="1" spans="1:5" x14ac:dyDescent="0.3">
      <c r="A1" s="28" t="s">
        <v>34</v>
      </c>
      <c r="B1" s="19" t="s">
        <v>22</v>
      </c>
      <c r="C1" s="20" t="s">
        <v>466</v>
      </c>
      <c r="D1" s="20" t="s">
        <v>465</v>
      </c>
      <c r="E1" s="21" t="s">
        <v>384</v>
      </c>
    </row>
    <row r="2" spans="1:5" ht="15" thickBot="1" x14ac:dyDescent="0.35">
      <c r="A2" s="27" t="s">
        <v>230</v>
      </c>
      <c r="B2" s="23" t="s">
        <v>21</v>
      </c>
      <c r="C2" s="23" t="s">
        <v>21</v>
      </c>
      <c r="D2" s="23" t="s">
        <v>21</v>
      </c>
      <c r="E2" s="23" t="s">
        <v>467</v>
      </c>
    </row>
    <row r="3" spans="1:5" ht="15" thickBot="1" x14ac:dyDescent="0.35">
      <c r="A3" s="27" t="s">
        <v>317</v>
      </c>
      <c r="B3" s="23" t="s">
        <v>23</v>
      </c>
      <c r="C3" s="23" t="s">
        <v>23</v>
      </c>
      <c r="D3" s="23" t="s">
        <v>23</v>
      </c>
      <c r="E3" s="23" t="s">
        <v>385</v>
      </c>
    </row>
    <row r="4" spans="1:5" x14ac:dyDescent="0.3">
      <c r="A4" s="24">
        <v>2020</v>
      </c>
      <c r="B4" s="244">
        <v>0.26400000000000001</v>
      </c>
      <c r="C4" s="241">
        <v>0.13139999998948798</v>
      </c>
      <c r="D4" s="241">
        <v>0.22500000000000001</v>
      </c>
      <c r="E4" s="247">
        <v>3.44</v>
      </c>
    </row>
    <row r="5" spans="1:5" x14ac:dyDescent="0.3">
      <c r="A5" s="25">
        <v>2021</v>
      </c>
      <c r="B5" s="245">
        <v>0.23833333333333334</v>
      </c>
      <c r="C5" s="242">
        <v>0.12259999999299198</v>
      </c>
      <c r="D5" s="242">
        <v>0.22500000000000001</v>
      </c>
      <c r="E5" s="248">
        <v>3.44</v>
      </c>
    </row>
    <row r="6" spans="1:5" x14ac:dyDescent="0.3">
      <c r="A6" s="25">
        <v>2022</v>
      </c>
      <c r="B6" s="245">
        <v>0.21266666666666667</v>
      </c>
      <c r="C6" s="242">
        <v>0.113799999996496</v>
      </c>
      <c r="D6" s="242">
        <v>0.22500000000000001</v>
      </c>
      <c r="E6" s="248">
        <v>3.44</v>
      </c>
    </row>
    <row r="7" spans="1:5" x14ac:dyDescent="0.3">
      <c r="A7" s="25">
        <v>2023</v>
      </c>
      <c r="B7" s="245">
        <v>0.187</v>
      </c>
      <c r="C7" s="242">
        <v>0.105</v>
      </c>
      <c r="D7" s="242">
        <v>0.22500000000000001</v>
      </c>
      <c r="E7" s="248">
        <v>3.44</v>
      </c>
    </row>
    <row r="8" spans="1:5" x14ac:dyDescent="0.3">
      <c r="A8" s="25">
        <v>2024</v>
      </c>
      <c r="B8" s="245">
        <v>0.161</v>
      </c>
      <c r="C8" s="242">
        <v>9.64E-2</v>
      </c>
      <c r="D8" s="242">
        <v>0.20700000000000002</v>
      </c>
      <c r="E8" s="248">
        <v>3.44</v>
      </c>
    </row>
    <row r="9" spans="1:5" x14ac:dyDescent="0.3">
      <c r="A9" s="25">
        <v>2025</v>
      </c>
      <c r="B9" s="245">
        <v>8.0100000000000005E-2</v>
      </c>
      <c r="C9" s="242">
        <v>4.1799999999999997E-2</v>
      </c>
      <c r="D9" s="242">
        <v>0.151</v>
      </c>
      <c r="E9" s="248">
        <v>3.44</v>
      </c>
    </row>
    <row r="10" spans="1:5" x14ac:dyDescent="0.3">
      <c r="A10" s="25">
        <v>2026</v>
      </c>
      <c r="B10" s="245">
        <v>7.0580000000000004E-2</v>
      </c>
      <c r="C10" s="242">
        <v>3.7059999999999996E-2</v>
      </c>
      <c r="D10" s="242">
        <v>0.13194</v>
      </c>
      <c r="E10" s="248">
        <v>3.44</v>
      </c>
    </row>
    <row r="11" spans="1:5" x14ac:dyDescent="0.3">
      <c r="A11" s="25">
        <v>2027</v>
      </c>
      <c r="B11" s="245">
        <v>6.1060000000000003E-2</v>
      </c>
      <c r="C11" s="242">
        <v>3.2320000000000002E-2</v>
      </c>
      <c r="D11" s="242">
        <v>0.11287999999999999</v>
      </c>
      <c r="E11" s="248">
        <v>3.44</v>
      </c>
    </row>
    <row r="12" spans="1:5" x14ac:dyDescent="0.3">
      <c r="A12" s="25">
        <v>2028</v>
      </c>
      <c r="B12" s="245">
        <v>5.1540000000000002E-2</v>
      </c>
      <c r="C12" s="242">
        <v>2.758E-2</v>
      </c>
      <c r="D12" s="242">
        <v>9.3819999999999987E-2</v>
      </c>
      <c r="E12" s="248">
        <v>3.44</v>
      </c>
    </row>
    <row r="13" spans="1:5" x14ac:dyDescent="0.3">
      <c r="A13" s="25">
        <v>2029</v>
      </c>
      <c r="B13" s="245">
        <v>4.2020000000000002E-2</v>
      </c>
      <c r="C13" s="242">
        <v>2.2839999999999999E-2</v>
      </c>
      <c r="D13" s="242">
        <v>7.4759999999999993E-2</v>
      </c>
      <c r="E13" s="248">
        <v>3.44</v>
      </c>
    </row>
    <row r="14" spans="1:5" x14ac:dyDescent="0.3">
      <c r="A14" s="25">
        <v>2030</v>
      </c>
      <c r="B14" s="245">
        <v>3.2500000000000001E-2</v>
      </c>
      <c r="C14" s="242">
        <v>1.8100000000000002E-2</v>
      </c>
      <c r="D14" s="242">
        <v>5.57E-2</v>
      </c>
      <c r="E14" s="248">
        <v>3.44</v>
      </c>
    </row>
    <row r="15" spans="1:5" x14ac:dyDescent="0.3">
      <c r="A15" s="25">
        <v>2031</v>
      </c>
      <c r="B15" s="245">
        <v>3.1820000000000001E-2</v>
      </c>
      <c r="C15" s="242">
        <v>1.728E-2</v>
      </c>
      <c r="D15" s="242">
        <v>5.5640000000000002E-2</v>
      </c>
      <c r="E15" s="248">
        <v>3.44</v>
      </c>
    </row>
    <row r="16" spans="1:5" x14ac:dyDescent="0.3">
      <c r="A16" s="25">
        <v>2032</v>
      </c>
      <c r="B16" s="245">
        <v>3.1140000000000001E-2</v>
      </c>
      <c r="C16" s="242">
        <v>1.6460000000000002E-2</v>
      </c>
      <c r="D16" s="242">
        <v>5.5579999999999997E-2</v>
      </c>
      <c r="E16" s="248">
        <v>3.44</v>
      </c>
    </row>
    <row r="17" spans="1:5" x14ac:dyDescent="0.3">
      <c r="A17" s="25">
        <v>2033</v>
      </c>
      <c r="B17" s="245">
        <v>3.0460000000000001E-2</v>
      </c>
      <c r="C17" s="242">
        <v>1.5640000000000001E-2</v>
      </c>
      <c r="D17" s="242">
        <v>5.552E-2</v>
      </c>
      <c r="E17" s="248">
        <v>3.44</v>
      </c>
    </row>
    <row r="18" spans="1:5" x14ac:dyDescent="0.3">
      <c r="A18" s="25">
        <v>2034</v>
      </c>
      <c r="B18" s="245">
        <v>2.9780000000000001E-2</v>
      </c>
      <c r="C18" s="242">
        <v>1.482E-2</v>
      </c>
      <c r="D18" s="242">
        <v>5.5459999999999995E-2</v>
      </c>
      <c r="E18" s="248">
        <v>3.44</v>
      </c>
    </row>
    <row r="19" spans="1:5" x14ac:dyDescent="0.3">
      <c r="A19" s="25">
        <v>2035</v>
      </c>
      <c r="B19" s="245">
        <v>2.9100000000000001E-2</v>
      </c>
      <c r="C19" s="242">
        <v>1.4E-2</v>
      </c>
      <c r="D19" s="242">
        <v>5.5399999999999998E-2</v>
      </c>
      <c r="E19" s="248">
        <v>3.44</v>
      </c>
    </row>
    <row r="20" spans="1:5" x14ac:dyDescent="0.3">
      <c r="A20" s="25">
        <v>2036</v>
      </c>
      <c r="B20" s="245">
        <v>2.8980000000000002E-2</v>
      </c>
      <c r="C20" s="242">
        <v>1.388E-2</v>
      </c>
      <c r="D20" s="242">
        <v>5.5399999999999998E-2</v>
      </c>
      <c r="E20" s="248">
        <v>3.44</v>
      </c>
    </row>
    <row r="21" spans="1:5" x14ac:dyDescent="0.3">
      <c r="A21" s="25">
        <v>2037</v>
      </c>
      <c r="B21" s="245">
        <v>2.886E-2</v>
      </c>
      <c r="C21" s="242">
        <v>1.376E-2</v>
      </c>
      <c r="D21" s="242">
        <v>5.5399999999999998E-2</v>
      </c>
      <c r="E21" s="248">
        <v>3.44</v>
      </c>
    </row>
    <row r="22" spans="1:5" x14ac:dyDescent="0.3">
      <c r="A22" s="25">
        <v>2038</v>
      </c>
      <c r="B22" s="245">
        <v>2.8740000000000002E-2</v>
      </c>
      <c r="C22" s="242">
        <v>1.3640000000000001E-2</v>
      </c>
      <c r="D22" s="242">
        <v>5.5399999999999998E-2</v>
      </c>
      <c r="E22" s="248">
        <v>3.44</v>
      </c>
    </row>
    <row r="23" spans="1:5" x14ac:dyDescent="0.3">
      <c r="A23" s="25">
        <v>2039</v>
      </c>
      <c r="B23" s="245">
        <v>2.862E-2</v>
      </c>
      <c r="C23" s="242">
        <v>1.3520000000000001E-2</v>
      </c>
      <c r="D23" s="242">
        <v>5.5399999999999998E-2</v>
      </c>
      <c r="E23" s="248">
        <v>3.44</v>
      </c>
    </row>
    <row r="24" spans="1:5" x14ac:dyDescent="0.3">
      <c r="A24" s="25">
        <v>2040</v>
      </c>
      <c r="B24" s="245">
        <v>2.8500000000000001E-2</v>
      </c>
      <c r="C24" s="242">
        <v>1.34E-2</v>
      </c>
      <c r="D24" s="242">
        <v>5.5399999999999998E-2</v>
      </c>
      <c r="E24" s="248">
        <v>3.44</v>
      </c>
    </row>
    <row r="25" spans="1:5" x14ac:dyDescent="0.3">
      <c r="A25" s="25">
        <v>2041</v>
      </c>
      <c r="B25" s="245">
        <v>2.802E-2</v>
      </c>
      <c r="C25" s="242">
        <v>1.336E-2</v>
      </c>
      <c r="D25" s="242">
        <v>5.5359999999999999E-2</v>
      </c>
      <c r="E25" s="248">
        <v>3.44</v>
      </c>
    </row>
    <row r="26" spans="1:5" x14ac:dyDescent="0.3">
      <c r="A26" s="25">
        <v>2042</v>
      </c>
      <c r="B26" s="245">
        <v>2.7540000000000002E-2</v>
      </c>
      <c r="C26" s="242">
        <v>1.332E-2</v>
      </c>
      <c r="D26" s="242">
        <v>5.5320000000000001E-2</v>
      </c>
      <c r="E26" s="248">
        <v>3.44</v>
      </c>
    </row>
    <row r="27" spans="1:5" x14ac:dyDescent="0.3">
      <c r="A27" s="25">
        <v>2043</v>
      </c>
      <c r="B27" s="245">
        <v>2.7060000000000001E-2</v>
      </c>
      <c r="C27" s="242">
        <v>1.328E-2</v>
      </c>
      <c r="D27" s="242">
        <v>5.5279999999999996E-2</v>
      </c>
      <c r="E27" s="248">
        <v>3.44</v>
      </c>
    </row>
    <row r="28" spans="1:5" x14ac:dyDescent="0.3">
      <c r="A28" s="25">
        <v>2044</v>
      </c>
      <c r="B28" s="245">
        <v>2.6580000000000003E-2</v>
      </c>
      <c r="C28" s="242">
        <v>1.324E-2</v>
      </c>
      <c r="D28" s="242">
        <v>5.5239999999999997E-2</v>
      </c>
      <c r="E28" s="248">
        <v>3.44</v>
      </c>
    </row>
    <row r="29" spans="1:5" x14ac:dyDescent="0.3">
      <c r="A29" s="25">
        <v>2045</v>
      </c>
      <c r="B29" s="245">
        <v>2.6100000000000002E-2</v>
      </c>
      <c r="C29" s="242">
        <v>1.32E-2</v>
      </c>
      <c r="D29" s="242">
        <v>5.5199999999999999E-2</v>
      </c>
      <c r="E29" s="248">
        <v>3.44</v>
      </c>
    </row>
    <row r="30" spans="1:5" x14ac:dyDescent="0.3">
      <c r="A30" s="25">
        <v>2046</v>
      </c>
      <c r="B30" s="245">
        <v>2.5840000000000002E-2</v>
      </c>
      <c r="C30" s="242">
        <v>1.32E-2</v>
      </c>
      <c r="D30" s="242">
        <v>5.518E-2</v>
      </c>
      <c r="E30" s="248">
        <v>3.44</v>
      </c>
    </row>
    <row r="31" spans="1:5" x14ac:dyDescent="0.3">
      <c r="A31" s="25">
        <v>2047</v>
      </c>
      <c r="B31" s="245">
        <v>2.5580000000000002E-2</v>
      </c>
      <c r="C31" s="242">
        <v>1.32E-2</v>
      </c>
      <c r="D31" s="242">
        <v>5.5160000000000001E-2</v>
      </c>
      <c r="E31" s="248">
        <v>3.44</v>
      </c>
    </row>
    <row r="32" spans="1:5" x14ac:dyDescent="0.3">
      <c r="A32" s="25">
        <v>2048</v>
      </c>
      <c r="B32" s="245">
        <v>2.5319999999999999E-2</v>
      </c>
      <c r="C32" s="242">
        <v>1.32E-2</v>
      </c>
      <c r="D32" s="242">
        <v>5.5140000000000002E-2</v>
      </c>
      <c r="E32" s="248">
        <v>3.44</v>
      </c>
    </row>
    <row r="33" spans="1:5" x14ac:dyDescent="0.3">
      <c r="A33" s="25">
        <v>2049</v>
      </c>
      <c r="B33" s="245">
        <v>2.5059999999999999E-2</v>
      </c>
      <c r="C33" s="242">
        <v>1.32E-2</v>
      </c>
      <c r="D33" s="242">
        <v>5.5120000000000002E-2</v>
      </c>
      <c r="E33" s="248">
        <v>3.44</v>
      </c>
    </row>
    <row r="34" spans="1:5" x14ac:dyDescent="0.3">
      <c r="A34" s="25">
        <v>2050</v>
      </c>
      <c r="B34" s="245">
        <v>2.4799999999999999E-2</v>
      </c>
      <c r="C34" s="242">
        <v>1.32E-2</v>
      </c>
      <c r="D34" s="242">
        <v>5.5100000000000003E-2</v>
      </c>
      <c r="E34" s="248">
        <v>3.44</v>
      </c>
    </row>
    <row r="35" spans="1:5" x14ac:dyDescent="0.3">
      <c r="A35" s="25">
        <v>2051</v>
      </c>
      <c r="B35" s="245">
        <v>2.4799999999999999E-2</v>
      </c>
      <c r="C35" s="242">
        <v>1.32E-2</v>
      </c>
      <c r="D35" s="242">
        <v>5.5100000000000003E-2</v>
      </c>
      <c r="E35" s="248">
        <v>3.44</v>
      </c>
    </row>
    <row r="36" spans="1:5" x14ac:dyDescent="0.3">
      <c r="A36" s="25">
        <v>2052</v>
      </c>
      <c r="B36" s="245">
        <v>2.4799999999999999E-2</v>
      </c>
      <c r="C36" s="242">
        <v>1.32E-2</v>
      </c>
      <c r="D36" s="242">
        <v>5.5100000000000003E-2</v>
      </c>
      <c r="E36" s="248">
        <v>3.44</v>
      </c>
    </row>
    <row r="37" spans="1:5" x14ac:dyDescent="0.3">
      <c r="A37" s="25">
        <v>2053</v>
      </c>
      <c r="B37" s="245">
        <v>2.4799999999999999E-2</v>
      </c>
      <c r="C37" s="242">
        <v>1.32E-2</v>
      </c>
      <c r="D37" s="242">
        <v>5.5100000000000003E-2</v>
      </c>
      <c r="E37" s="248">
        <v>3.44</v>
      </c>
    </row>
    <row r="38" spans="1:5" x14ac:dyDescent="0.3">
      <c r="A38" s="25">
        <v>2054</v>
      </c>
      <c r="B38" s="245">
        <v>2.4799999999999999E-2</v>
      </c>
      <c r="C38" s="242">
        <v>1.32E-2</v>
      </c>
      <c r="D38" s="242">
        <v>5.5100000000000003E-2</v>
      </c>
      <c r="E38" s="248">
        <v>3.44</v>
      </c>
    </row>
    <row r="39" spans="1:5" x14ac:dyDescent="0.3">
      <c r="A39" s="25">
        <v>2055</v>
      </c>
      <c r="B39" s="245">
        <v>2.4799999999999999E-2</v>
      </c>
      <c r="C39" s="242">
        <v>1.32E-2</v>
      </c>
      <c r="D39" s="242">
        <v>5.5100000000000003E-2</v>
      </c>
      <c r="E39" s="248">
        <v>3.44</v>
      </c>
    </row>
    <row r="40" spans="1:5" x14ac:dyDescent="0.3">
      <c r="A40" s="25">
        <v>2056</v>
      </c>
      <c r="B40" s="245">
        <v>2.4799999999999999E-2</v>
      </c>
      <c r="C40" s="242">
        <v>1.32E-2</v>
      </c>
      <c r="D40" s="242">
        <v>5.5100000000000003E-2</v>
      </c>
      <c r="E40" s="248">
        <v>3.44</v>
      </c>
    </row>
    <row r="41" spans="1:5" x14ac:dyDescent="0.3">
      <c r="A41" s="25">
        <v>2057</v>
      </c>
      <c r="B41" s="245">
        <v>2.4799999999999999E-2</v>
      </c>
      <c r="C41" s="242">
        <v>1.32E-2</v>
      </c>
      <c r="D41" s="242">
        <v>5.5100000000000003E-2</v>
      </c>
      <c r="E41" s="248">
        <v>3.44</v>
      </c>
    </row>
    <row r="42" spans="1:5" x14ac:dyDescent="0.3">
      <c r="A42" s="25">
        <v>2058</v>
      </c>
      <c r="B42" s="245">
        <v>2.4799999999999999E-2</v>
      </c>
      <c r="C42" s="242">
        <v>1.32E-2</v>
      </c>
      <c r="D42" s="242">
        <v>5.5100000000000003E-2</v>
      </c>
      <c r="E42" s="248">
        <v>3.44</v>
      </c>
    </row>
    <row r="43" spans="1:5" x14ac:dyDescent="0.3">
      <c r="A43" s="25">
        <v>2059</v>
      </c>
      <c r="B43" s="245">
        <v>2.4799999999999999E-2</v>
      </c>
      <c r="C43" s="242">
        <v>1.32E-2</v>
      </c>
      <c r="D43" s="242">
        <v>5.5100000000000003E-2</v>
      </c>
      <c r="E43" s="248">
        <v>3.44</v>
      </c>
    </row>
    <row r="44" spans="1:5" x14ac:dyDescent="0.3">
      <c r="A44" s="25">
        <v>2060</v>
      </c>
      <c r="B44" s="245">
        <v>2.4799999999999999E-2</v>
      </c>
      <c r="C44" s="242">
        <v>1.32E-2</v>
      </c>
      <c r="D44" s="242">
        <v>5.5100000000000003E-2</v>
      </c>
      <c r="E44" s="248">
        <v>3.44</v>
      </c>
    </row>
    <row r="45" spans="1:5" x14ac:dyDescent="0.3">
      <c r="A45" s="25">
        <v>2061</v>
      </c>
      <c r="B45" s="245">
        <v>2.4799999999999999E-2</v>
      </c>
      <c r="C45" s="242">
        <v>1.32E-2</v>
      </c>
      <c r="D45" s="242">
        <v>5.5100000000000003E-2</v>
      </c>
      <c r="E45" s="248">
        <v>3.44</v>
      </c>
    </row>
    <row r="46" spans="1:5" x14ac:dyDescent="0.3">
      <c r="A46" s="25">
        <v>2062</v>
      </c>
      <c r="B46" s="245">
        <v>2.4799999999999999E-2</v>
      </c>
      <c r="C46" s="242">
        <v>1.32E-2</v>
      </c>
      <c r="D46" s="242">
        <v>5.5100000000000003E-2</v>
      </c>
      <c r="E46" s="248">
        <v>3.44</v>
      </c>
    </row>
    <row r="47" spans="1:5" x14ac:dyDescent="0.3">
      <c r="A47" s="25">
        <v>2063</v>
      </c>
      <c r="B47" s="245">
        <v>2.4799999999999999E-2</v>
      </c>
      <c r="C47" s="242">
        <v>1.32E-2</v>
      </c>
      <c r="D47" s="242">
        <v>5.5100000000000003E-2</v>
      </c>
      <c r="E47" s="248">
        <v>3.44</v>
      </c>
    </row>
    <row r="48" spans="1:5" x14ac:dyDescent="0.3">
      <c r="A48" s="25">
        <v>2064</v>
      </c>
      <c r="B48" s="245">
        <v>2.4799999999999999E-2</v>
      </c>
      <c r="C48" s="242">
        <v>1.32E-2</v>
      </c>
      <c r="D48" s="242">
        <v>5.5100000000000003E-2</v>
      </c>
      <c r="E48" s="248">
        <v>3.44</v>
      </c>
    </row>
    <row r="49" spans="1:5" x14ac:dyDescent="0.3">
      <c r="A49" s="25">
        <v>2065</v>
      </c>
      <c r="B49" s="245">
        <v>2.4799999999999999E-2</v>
      </c>
      <c r="C49" s="242">
        <v>1.32E-2</v>
      </c>
      <c r="D49" s="242">
        <v>5.5100000000000003E-2</v>
      </c>
      <c r="E49" s="248">
        <v>3.44</v>
      </c>
    </row>
    <row r="50" spans="1:5" x14ac:dyDescent="0.3">
      <c r="A50" s="25">
        <v>2066</v>
      </c>
      <c r="B50" s="245">
        <v>2.4799999999999999E-2</v>
      </c>
      <c r="C50" s="242">
        <v>1.32E-2</v>
      </c>
      <c r="D50" s="242">
        <v>5.5100000000000003E-2</v>
      </c>
      <c r="E50" s="248">
        <v>3.44</v>
      </c>
    </row>
    <row r="51" spans="1:5" x14ac:dyDescent="0.3">
      <c r="A51" s="25">
        <v>2067</v>
      </c>
      <c r="B51" s="245">
        <v>2.4799999999999999E-2</v>
      </c>
      <c r="C51" s="242">
        <v>1.32E-2</v>
      </c>
      <c r="D51" s="242">
        <v>5.5100000000000003E-2</v>
      </c>
      <c r="E51" s="248">
        <v>3.44</v>
      </c>
    </row>
    <row r="52" spans="1:5" x14ac:dyDescent="0.3">
      <c r="A52" s="25">
        <v>2068</v>
      </c>
      <c r="B52" s="245">
        <v>2.4799999999999999E-2</v>
      </c>
      <c r="C52" s="242">
        <v>1.32E-2</v>
      </c>
      <c r="D52" s="242">
        <v>5.5100000000000003E-2</v>
      </c>
      <c r="E52" s="248">
        <v>3.44</v>
      </c>
    </row>
    <row r="53" spans="1:5" x14ac:dyDescent="0.3">
      <c r="A53" s="25">
        <v>2069</v>
      </c>
      <c r="B53" s="245">
        <v>2.4799999999999999E-2</v>
      </c>
      <c r="C53" s="242">
        <v>1.32E-2</v>
      </c>
      <c r="D53" s="242">
        <v>5.5100000000000003E-2</v>
      </c>
      <c r="E53" s="248">
        <v>3.44</v>
      </c>
    </row>
    <row r="54" spans="1:5" x14ac:dyDescent="0.3">
      <c r="A54" s="25">
        <v>2070</v>
      </c>
      <c r="B54" s="245">
        <v>2.4799999999999999E-2</v>
      </c>
      <c r="C54" s="242">
        <v>1.32E-2</v>
      </c>
      <c r="D54" s="242">
        <v>5.5100000000000003E-2</v>
      </c>
      <c r="E54" s="248">
        <v>3.44</v>
      </c>
    </row>
    <row r="55" spans="1:5" x14ac:dyDescent="0.3">
      <c r="A55" s="25">
        <v>2071</v>
      </c>
      <c r="B55" s="245">
        <v>2.4799999999999999E-2</v>
      </c>
      <c r="C55" s="242">
        <v>1.32E-2</v>
      </c>
      <c r="D55" s="242">
        <v>5.5100000000000003E-2</v>
      </c>
      <c r="E55" s="248">
        <v>3.44</v>
      </c>
    </row>
    <row r="56" spans="1:5" x14ac:dyDescent="0.3">
      <c r="A56" s="25">
        <v>2072</v>
      </c>
      <c r="B56" s="245">
        <v>2.4799999999999999E-2</v>
      </c>
      <c r="C56" s="242">
        <v>1.32E-2</v>
      </c>
      <c r="D56" s="242">
        <v>5.5100000000000003E-2</v>
      </c>
      <c r="E56" s="248">
        <v>3.44</v>
      </c>
    </row>
    <row r="57" spans="1:5" x14ac:dyDescent="0.3">
      <c r="A57" s="25">
        <v>2073</v>
      </c>
      <c r="B57" s="245">
        <v>2.4799999999999999E-2</v>
      </c>
      <c r="C57" s="242">
        <v>1.32E-2</v>
      </c>
      <c r="D57" s="242">
        <v>5.5100000000000003E-2</v>
      </c>
      <c r="E57" s="248">
        <v>3.44</v>
      </c>
    </row>
    <row r="58" spans="1:5" x14ac:dyDescent="0.3">
      <c r="A58" s="25">
        <v>2074</v>
      </c>
      <c r="B58" s="245">
        <v>2.4799999999999999E-2</v>
      </c>
      <c r="C58" s="242">
        <v>1.32E-2</v>
      </c>
      <c r="D58" s="242">
        <v>5.5100000000000003E-2</v>
      </c>
      <c r="E58" s="248">
        <v>3.44</v>
      </c>
    </row>
    <row r="59" spans="1:5" x14ac:dyDescent="0.3">
      <c r="A59" s="25">
        <v>2075</v>
      </c>
      <c r="B59" s="245">
        <v>2.4799999999999999E-2</v>
      </c>
      <c r="C59" s="242">
        <v>1.32E-2</v>
      </c>
      <c r="D59" s="242">
        <v>5.5100000000000003E-2</v>
      </c>
      <c r="E59" s="248">
        <v>3.44</v>
      </c>
    </row>
    <row r="60" spans="1:5" x14ac:dyDescent="0.3">
      <c r="A60" s="25">
        <v>2076</v>
      </c>
      <c r="B60" s="245">
        <v>2.4799999999999999E-2</v>
      </c>
      <c r="C60" s="242">
        <v>1.32E-2</v>
      </c>
      <c r="D60" s="242">
        <v>5.5100000000000003E-2</v>
      </c>
      <c r="E60" s="248">
        <v>3.44</v>
      </c>
    </row>
    <row r="61" spans="1:5" x14ac:dyDescent="0.3">
      <c r="A61" s="25">
        <v>2077</v>
      </c>
      <c r="B61" s="245">
        <v>2.4799999999999999E-2</v>
      </c>
      <c r="C61" s="242">
        <v>1.32E-2</v>
      </c>
      <c r="D61" s="242">
        <v>5.5100000000000003E-2</v>
      </c>
      <c r="E61" s="248">
        <v>3.44</v>
      </c>
    </row>
    <row r="62" spans="1:5" x14ac:dyDescent="0.3">
      <c r="A62" s="25">
        <v>2078</v>
      </c>
      <c r="B62" s="245">
        <v>2.4799999999999999E-2</v>
      </c>
      <c r="C62" s="242">
        <v>1.32E-2</v>
      </c>
      <c r="D62" s="242">
        <v>5.5100000000000003E-2</v>
      </c>
      <c r="E62" s="248">
        <v>3.44</v>
      </c>
    </row>
    <row r="63" spans="1:5" x14ac:dyDescent="0.3">
      <c r="A63" s="25">
        <v>2079</v>
      </c>
      <c r="B63" s="245">
        <v>2.4799999999999999E-2</v>
      </c>
      <c r="C63" s="242">
        <v>1.32E-2</v>
      </c>
      <c r="D63" s="242">
        <v>5.5100000000000003E-2</v>
      </c>
      <c r="E63" s="248">
        <v>3.44</v>
      </c>
    </row>
    <row r="64" spans="1:5" x14ac:dyDescent="0.3">
      <c r="A64" s="25">
        <v>2080</v>
      </c>
      <c r="B64" s="245">
        <v>2.4799999999999999E-2</v>
      </c>
      <c r="C64" s="242">
        <v>1.32E-2</v>
      </c>
      <c r="D64" s="242">
        <v>5.5100000000000003E-2</v>
      </c>
      <c r="E64" s="248">
        <v>3.44</v>
      </c>
    </row>
    <row r="65" spans="1:5" x14ac:dyDescent="0.3">
      <c r="A65" s="25">
        <v>2081</v>
      </c>
      <c r="B65" s="245">
        <v>2.4799999999999999E-2</v>
      </c>
      <c r="C65" s="242">
        <v>1.32E-2</v>
      </c>
      <c r="D65" s="242">
        <v>5.5100000000000003E-2</v>
      </c>
      <c r="E65" s="248">
        <v>3.44</v>
      </c>
    </row>
    <row r="66" spans="1:5" x14ac:dyDescent="0.3">
      <c r="A66" s="25">
        <v>2082</v>
      </c>
      <c r="B66" s="245">
        <v>2.4799999999999999E-2</v>
      </c>
      <c r="C66" s="242">
        <v>1.32E-2</v>
      </c>
      <c r="D66" s="242">
        <v>5.5100000000000003E-2</v>
      </c>
      <c r="E66" s="248">
        <v>3.44</v>
      </c>
    </row>
    <row r="67" spans="1:5" x14ac:dyDescent="0.3">
      <c r="A67" s="25">
        <v>2083</v>
      </c>
      <c r="B67" s="245">
        <v>2.4799999999999999E-2</v>
      </c>
      <c r="C67" s="242">
        <v>1.32E-2</v>
      </c>
      <c r="D67" s="242">
        <v>5.5100000000000003E-2</v>
      </c>
      <c r="E67" s="248">
        <v>3.44</v>
      </c>
    </row>
    <row r="68" spans="1:5" x14ac:dyDescent="0.3">
      <c r="A68" s="25">
        <v>2084</v>
      </c>
      <c r="B68" s="245">
        <v>2.4799999999999999E-2</v>
      </c>
      <c r="C68" s="242">
        <v>1.32E-2</v>
      </c>
      <c r="D68" s="242">
        <v>5.5100000000000003E-2</v>
      </c>
      <c r="E68" s="248">
        <v>3.44</v>
      </c>
    </row>
    <row r="69" spans="1:5" x14ac:dyDescent="0.3">
      <c r="A69" s="25">
        <v>2085</v>
      </c>
      <c r="B69" s="245">
        <v>2.4799999999999999E-2</v>
      </c>
      <c r="C69" s="242">
        <v>1.32E-2</v>
      </c>
      <c r="D69" s="242">
        <v>5.5100000000000003E-2</v>
      </c>
      <c r="E69" s="248">
        <v>3.44</v>
      </c>
    </row>
    <row r="70" spans="1:5" x14ac:dyDescent="0.3">
      <c r="A70" s="25">
        <v>2086</v>
      </c>
      <c r="B70" s="245">
        <v>2.4799999999999999E-2</v>
      </c>
      <c r="C70" s="242">
        <v>1.32E-2</v>
      </c>
      <c r="D70" s="242">
        <v>5.5100000000000003E-2</v>
      </c>
      <c r="E70" s="248">
        <v>3.44</v>
      </c>
    </row>
    <row r="71" spans="1:5" x14ac:dyDescent="0.3">
      <c r="A71" s="25">
        <v>2087</v>
      </c>
      <c r="B71" s="245">
        <v>2.4799999999999999E-2</v>
      </c>
      <c r="C71" s="242">
        <v>1.32E-2</v>
      </c>
      <c r="D71" s="242">
        <v>5.5100000000000003E-2</v>
      </c>
      <c r="E71" s="248">
        <v>3.44</v>
      </c>
    </row>
    <row r="72" spans="1:5" x14ac:dyDescent="0.3">
      <c r="A72" s="25">
        <v>2088</v>
      </c>
      <c r="B72" s="245">
        <v>2.4799999999999999E-2</v>
      </c>
      <c r="C72" s="242">
        <v>1.32E-2</v>
      </c>
      <c r="D72" s="242">
        <v>5.5100000000000003E-2</v>
      </c>
      <c r="E72" s="248">
        <v>3.44</v>
      </c>
    </row>
    <row r="73" spans="1:5" x14ac:dyDescent="0.3">
      <c r="A73" s="25">
        <v>2089</v>
      </c>
      <c r="B73" s="245">
        <v>2.4799999999999999E-2</v>
      </c>
      <c r="C73" s="242">
        <v>1.32E-2</v>
      </c>
      <c r="D73" s="242">
        <v>5.5100000000000003E-2</v>
      </c>
      <c r="E73" s="248">
        <v>3.44</v>
      </c>
    </row>
    <row r="74" spans="1:5" x14ac:dyDescent="0.3">
      <c r="A74" s="25">
        <v>2090</v>
      </c>
      <c r="B74" s="245">
        <v>2.4799999999999999E-2</v>
      </c>
      <c r="C74" s="242">
        <v>1.32E-2</v>
      </c>
      <c r="D74" s="242">
        <v>5.5100000000000003E-2</v>
      </c>
      <c r="E74" s="248">
        <v>3.44</v>
      </c>
    </row>
    <row r="75" spans="1:5" x14ac:dyDescent="0.3">
      <c r="A75" s="25">
        <v>2091</v>
      </c>
      <c r="B75" s="245">
        <v>2.4799999999999999E-2</v>
      </c>
      <c r="C75" s="242">
        <v>1.32E-2</v>
      </c>
      <c r="D75" s="242">
        <v>5.5100000000000003E-2</v>
      </c>
      <c r="E75" s="248">
        <v>3.44</v>
      </c>
    </row>
    <row r="76" spans="1:5" x14ac:dyDescent="0.3">
      <c r="A76" s="25">
        <v>2092</v>
      </c>
      <c r="B76" s="245">
        <v>2.4799999999999999E-2</v>
      </c>
      <c r="C76" s="242">
        <v>1.32E-2</v>
      </c>
      <c r="D76" s="242">
        <v>5.5100000000000003E-2</v>
      </c>
      <c r="E76" s="248">
        <v>3.44</v>
      </c>
    </row>
    <row r="77" spans="1:5" x14ac:dyDescent="0.3">
      <c r="A77" s="25">
        <v>2093</v>
      </c>
      <c r="B77" s="245">
        <v>2.4799999999999999E-2</v>
      </c>
      <c r="C77" s="242">
        <v>1.32E-2</v>
      </c>
      <c r="D77" s="242">
        <v>5.5100000000000003E-2</v>
      </c>
      <c r="E77" s="248">
        <v>3.44</v>
      </c>
    </row>
    <row r="78" spans="1:5" x14ac:dyDescent="0.3">
      <c r="A78" s="25">
        <v>2094</v>
      </c>
      <c r="B78" s="245">
        <v>2.4799999999999999E-2</v>
      </c>
      <c r="C78" s="242">
        <v>1.32E-2</v>
      </c>
      <c r="D78" s="242">
        <v>5.5100000000000003E-2</v>
      </c>
      <c r="E78" s="248">
        <v>3.44</v>
      </c>
    </row>
    <row r="79" spans="1:5" x14ac:dyDescent="0.3">
      <c r="A79" s="25">
        <v>2095</v>
      </c>
      <c r="B79" s="245">
        <v>2.4799999999999999E-2</v>
      </c>
      <c r="C79" s="242">
        <v>1.32E-2</v>
      </c>
      <c r="D79" s="242">
        <v>5.5100000000000003E-2</v>
      </c>
      <c r="E79" s="248">
        <v>3.44</v>
      </c>
    </row>
    <row r="80" spans="1:5" x14ac:dyDescent="0.3">
      <c r="A80" s="25">
        <v>2096</v>
      </c>
      <c r="B80" s="245">
        <v>2.4799999999999999E-2</v>
      </c>
      <c r="C80" s="242">
        <v>1.32E-2</v>
      </c>
      <c r="D80" s="242">
        <v>5.5100000000000003E-2</v>
      </c>
      <c r="E80" s="248">
        <v>3.44</v>
      </c>
    </row>
    <row r="81" spans="1:5" x14ac:dyDescent="0.3">
      <c r="A81" s="25">
        <v>2097</v>
      </c>
      <c r="B81" s="245">
        <v>2.4799999999999999E-2</v>
      </c>
      <c r="C81" s="242">
        <v>1.32E-2</v>
      </c>
      <c r="D81" s="242">
        <v>5.5100000000000003E-2</v>
      </c>
      <c r="E81" s="248">
        <v>3.44</v>
      </c>
    </row>
    <row r="82" spans="1:5" x14ac:dyDescent="0.3">
      <c r="A82" s="25">
        <v>2098</v>
      </c>
      <c r="B82" s="245">
        <v>2.4799999999999999E-2</v>
      </c>
      <c r="C82" s="242">
        <v>1.32E-2</v>
      </c>
      <c r="D82" s="242">
        <v>5.5100000000000003E-2</v>
      </c>
      <c r="E82" s="248">
        <v>3.44</v>
      </c>
    </row>
    <row r="83" spans="1:5" x14ac:dyDescent="0.3">
      <c r="A83" s="25">
        <v>2099</v>
      </c>
      <c r="B83" s="245">
        <v>2.4799999999999999E-2</v>
      </c>
      <c r="C83" s="242">
        <v>1.32E-2</v>
      </c>
      <c r="D83" s="242">
        <v>5.5100000000000003E-2</v>
      </c>
      <c r="E83" s="248">
        <v>3.44</v>
      </c>
    </row>
    <row r="84" spans="1:5" x14ac:dyDescent="0.3">
      <c r="A84" s="25">
        <v>2100</v>
      </c>
      <c r="B84" s="245">
        <v>2.4799999999999999E-2</v>
      </c>
      <c r="C84" s="242">
        <v>1.32E-2</v>
      </c>
      <c r="D84" s="242">
        <v>5.5100000000000003E-2</v>
      </c>
      <c r="E84" s="248">
        <v>3.44</v>
      </c>
    </row>
    <row r="85" spans="1:5" x14ac:dyDescent="0.3">
      <c r="A85" s="25">
        <v>2101</v>
      </c>
      <c r="B85" s="245">
        <v>2.4799999999999999E-2</v>
      </c>
      <c r="C85" s="242">
        <v>1.32E-2</v>
      </c>
      <c r="D85" s="242">
        <v>5.5100000000000003E-2</v>
      </c>
      <c r="E85" s="248">
        <v>3.44</v>
      </c>
    </row>
    <row r="86" spans="1:5" x14ac:dyDescent="0.3">
      <c r="A86" s="25">
        <v>2102</v>
      </c>
      <c r="B86" s="245">
        <v>2.4799999999999999E-2</v>
      </c>
      <c r="C86" s="242">
        <v>1.32E-2</v>
      </c>
      <c r="D86" s="242">
        <v>5.5100000000000003E-2</v>
      </c>
      <c r="E86" s="248">
        <v>3.44</v>
      </c>
    </row>
    <row r="87" spans="1:5" x14ac:dyDescent="0.3">
      <c r="A87" s="25">
        <v>2103</v>
      </c>
      <c r="B87" s="245">
        <v>2.4799999999999999E-2</v>
      </c>
      <c r="C87" s="242">
        <v>1.32E-2</v>
      </c>
      <c r="D87" s="242">
        <v>5.5100000000000003E-2</v>
      </c>
      <c r="E87" s="248">
        <v>3.44</v>
      </c>
    </row>
    <row r="88" spans="1:5" x14ac:dyDescent="0.3">
      <c r="A88" s="25">
        <v>2104</v>
      </c>
      <c r="B88" s="245">
        <v>2.4799999999999999E-2</v>
      </c>
      <c r="C88" s="242">
        <v>1.32E-2</v>
      </c>
      <c r="D88" s="242">
        <v>5.5100000000000003E-2</v>
      </c>
      <c r="E88" s="248">
        <v>3.44</v>
      </c>
    </row>
    <row r="89" spans="1:5" x14ac:dyDescent="0.3">
      <c r="A89" s="25">
        <v>2105</v>
      </c>
      <c r="B89" s="245">
        <v>2.4799999999999999E-2</v>
      </c>
      <c r="C89" s="242">
        <v>1.32E-2</v>
      </c>
      <c r="D89" s="242">
        <v>5.5100000000000003E-2</v>
      </c>
      <c r="E89" s="248">
        <v>3.44</v>
      </c>
    </row>
    <row r="90" spans="1:5" x14ac:dyDescent="0.3">
      <c r="A90" s="25">
        <v>2106</v>
      </c>
      <c r="B90" s="245">
        <v>2.4799999999999999E-2</v>
      </c>
      <c r="C90" s="242">
        <v>1.32E-2</v>
      </c>
      <c r="D90" s="242">
        <v>5.5100000000000003E-2</v>
      </c>
      <c r="E90" s="248">
        <v>3.44</v>
      </c>
    </row>
    <row r="91" spans="1:5" x14ac:dyDescent="0.3">
      <c r="A91" s="25">
        <v>2107</v>
      </c>
      <c r="B91" s="245">
        <v>2.4799999999999999E-2</v>
      </c>
      <c r="C91" s="242">
        <v>1.32E-2</v>
      </c>
      <c r="D91" s="242">
        <v>5.5100000000000003E-2</v>
      </c>
      <c r="E91" s="248">
        <v>3.44</v>
      </c>
    </row>
    <row r="92" spans="1:5" x14ac:dyDescent="0.3">
      <c r="A92" s="25">
        <v>2108</v>
      </c>
      <c r="B92" s="245">
        <v>2.4799999999999999E-2</v>
      </c>
      <c r="C92" s="242">
        <v>1.32E-2</v>
      </c>
      <c r="D92" s="242">
        <v>5.5100000000000003E-2</v>
      </c>
      <c r="E92" s="248">
        <v>3.44</v>
      </c>
    </row>
    <row r="93" spans="1:5" x14ac:dyDescent="0.3">
      <c r="A93" s="25">
        <v>2109</v>
      </c>
      <c r="B93" s="245">
        <v>2.4799999999999999E-2</v>
      </c>
      <c r="C93" s="242">
        <v>1.32E-2</v>
      </c>
      <c r="D93" s="242">
        <v>5.5100000000000003E-2</v>
      </c>
      <c r="E93" s="248">
        <v>3.44</v>
      </c>
    </row>
    <row r="94" spans="1:5" x14ac:dyDescent="0.3">
      <c r="A94" s="25">
        <v>2110</v>
      </c>
      <c r="B94" s="245">
        <v>2.4799999999999999E-2</v>
      </c>
      <c r="C94" s="242">
        <v>1.32E-2</v>
      </c>
      <c r="D94" s="242">
        <v>5.5100000000000003E-2</v>
      </c>
      <c r="E94" s="248">
        <v>3.44</v>
      </c>
    </row>
    <row r="95" spans="1:5" x14ac:dyDescent="0.3">
      <c r="A95" s="25">
        <v>2111</v>
      </c>
      <c r="B95" s="245">
        <v>2.4799999999999999E-2</v>
      </c>
      <c r="C95" s="242">
        <v>1.32E-2</v>
      </c>
      <c r="D95" s="242">
        <v>5.5100000000000003E-2</v>
      </c>
      <c r="E95" s="248">
        <v>3.44</v>
      </c>
    </row>
    <row r="96" spans="1:5" x14ac:dyDescent="0.3">
      <c r="A96" s="25">
        <v>2112</v>
      </c>
      <c r="B96" s="245">
        <v>2.4799999999999999E-2</v>
      </c>
      <c r="C96" s="242">
        <v>1.32E-2</v>
      </c>
      <c r="D96" s="242">
        <v>5.5100000000000003E-2</v>
      </c>
      <c r="E96" s="248">
        <v>3.44</v>
      </c>
    </row>
    <row r="97" spans="1:5" x14ac:dyDescent="0.3">
      <c r="A97" s="25">
        <v>2113</v>
      </c>
      <c r="B97" s="245">
        <v>2.4799999999999999E-2</v>
      </c>
      <c r="C97" s="242">
        <v>1.32E-2</v>
      </c>
      <c r="D97" s="242">
        <v>5.5100000000000003E-2</v>
      </c>
      <c r="E97" s="248">
        <v>3.44</v>
      </c>
    </row>
    <row r="98" spans="1:5" x14ac:dyDescent="0.3">
      <c r="A98" s="25">
        <v>2114</v>
      </c>
      <c r="B98" s="245">
        <v>2.4799999999999999E-2</v>
      </c>
      <c r="C98" s="242">
        <v>1.32E-2</v>
      </c>
      <c r="D98" s="242">
        <v>5.5100000000000003E-2</v>
      </c>
      <c r="E98" s="248">
        <v>3.44</v>
      </c>
    </row>
    <row r="99" spans="1:5" x14ac:dyDescent="0.3">
      <c r="A99" s="25">
        <v>2115</v>
      </c>
      <c r="B99" s="245">
        <v>2.4799999999999999E-2</v>
      </c>
      <c r="C99" s="242">
        <v>1.32E-2</v>
      </c>
      <c r="D99" s="242">
        <v>5.5100000000000003E-2</v>
      </c>
      <c r="E99" s="248">
        <v>3.44</v>
      </c>
    </row>
    <row r="100" spans="1:5" x14ac:dyDescent="0.3">
      <c r="A100" s="25">
        <v>2116</v>
      </c>
      <c r="B100" s="245">
        <v>2.4799999999999999E-2</v>
      </c>
      <c r="C100" s="242">
        <v>1.32E-2</v>
      </c>
      <c r="D100" s="242">
        <v>5.5100000000000003E-2</v>
      </c>
      <c r="E100" s="248">
        <v>3.44</v>
      </c>
    </row>
    <row r="101" spans="1:5" x14ac:dyDescent="0.3">
      <c r="A101" s="25">
        <v>2117</v>
      </c>
      <c r="B101" s="245">
        <v>2.4799999999999999E-2</v>
      </c>
      <c r="C101" s="242">
        <v>1.32E-2</v>
      </c>
      <c r="D101" s="242">
        <v>5.5100000000000003E-2</v>
      </c>
      <c r="E101" s="248">
        <v>3.44</v>
      </c>
    </row>
    <row r="102" spans="1:5" x14ac:dyDescent="0.3">
      <c r="A102" s="25">
        <v>2118</v>
      </c>
      <c r="B102" s="245">
        <v>2.4799999999999999E-2</v>
      </c>
      <c r="C102" s="242">
        <v>1.32E-2</v>
      </c>
      <c r="D102" s="242">
        <v>5.5100000000000003E-2</v>
      </c>
      <c r="E102" s="248">
        <v>3.44</v>
      </c>
    </row>
    <row r="103" spans="1:5" x14ac:dyDescent="0.3">
      <c r="A103" s="25">
        <v>2119</v>
      </c>
      <c r="B103" s="245">
        <v>2.4799999999999999E-2</v>
      </c>
      <c r="C103" s="242">
        <v>1.32E-2</v>
      </c>
      <c r="D103" s="242">
        <v>5.5100000000000003E-2</v>
      </c>
      <c r="E103" s="248">
        <v>3.44</v>
      </c>
    </row>
    <row r="104" spans="1:5" x14ac:dyDescent="0.3">
      <c r="A104" s="25">
        <v>2120</v>
      </c>
      <c r="B104" s="245">
        <v>2.4799999999999999E-2</v>
      </c>
      <c r="C104" s="242">
        <v>1.32E-2</v>
      </c>
      <c r="D104" s="242">
        <v>5.5100000000000003E-2</v>
      </c>
      <c r="E104" s="248">
        <v>3.44</v>
      </c>
    </row>
    <row r="105" spans="1:5" x14ac:dyDescent="0.3">
      <c r="A105" s="25">
        <v>2121</v>
      </c>
      <c r="B105" s="245">
        <v>2.4799999999999999E-2</v>
      </c>
      <c r="C105" s="242">
        <v>1.32E-2</v>
      </c>
      <c r="D105" s="242">
        <v>5.5100000000000003E-2</v>
      </c>
      <c r="E105" s="248">
        <v>3.44</v>
      </c>
    </row>
    <row r="106" spans="1:5" x14ac:dyDescent="0.3">
      <c r="A106" s="25">
        <v>2122</v>
      </c>
      <c r="B106" s="245">
        <v>2.4799999999999999E-2</v>
      </c>
      <c r="C106" s="242">
        <v>1.32E-2</v>
      </c>
      <c r="D106" s="242">
        <v>5.5100000000000003E-2</v>
      </c>
      <c r="E106" s="248">
        <v>3.44</v>
      </c>
    </row>
    <row r="107" spans="1:5" x14ac:dyDescent="0.3">
      <c r="A107" s="25">
        <v>2123</v>
      </c>
      <c r="B107" s="245">
        <v>2.4799999999999999E-2</v>
      </c>
      <c r="C107" s="242">
        <v>1.32E-2</v>
      </c>
      <c r="D107" s="242">
        <v>5.5100000000000003E-2</v>
      </c>
      <c r="E107" s="248">
        <v>3.44</v>
      </c>
    </row>
    <row r="108" spans="1:5" x14ac:dyDescent="0.3">
      <c r="A108" s="25">
        <v>2124</v>
      </c>
      <c r="B108" s="245">
        <v>2.4799999999999999E-2</v>
      </c>
      <c r="C108" s="242">
        <v>1.32E-2</v>
      </c>
      <c r="D108" s="242">
        <v>5.5100000000000003E-2</v>
      </c>
      <c r="E108" s="248">
        <v>3.44</v>
      </c>
    </row>
    <row r="109" spans="1:5" x14ac:dyDescent="0.3">
      <c r="A109" s="25">
        <v>2125</v>
      </c>
      <c r="B109" s="245">
        <v>2.4799999999999999E-2</v>
      </c>
      <c r="C109" s="242">
        <v>1.32E-2</v>
      </c>
      <c r="D109" s="242">
        <v>5.5100000000000003E-2</v>
      </c>
      <c r="E109" s="248">
        <v>3.44</v>
      </c>
    </row>
    <row r="110" spans="1:5" x14ac:dyDescent="0.3">
      <c r="A110" s="25">
        <v>2126</v>
      </c>
      <c r="B110" s="245">
        <v>2.4799999999999999E-2</v>
      </c>
      <c r="C110" s="242">
        <v>1.32E-2</v>
      </c>
      <c r="D110" s="242">
        <v>5.5100000000000003E-2</v>
      </c>
      <c r="E110" s="248">
        <v>3.44</v>
      </c>
    </row>
    <row r="111" spans="1:5" x14ac:dyDescent="0.3">
      <c r="A111" s="25">
        <v>2127</v>
      </c>
      <c r="B111" s="245">
        <v>2.4799999999999999E-2</v>
      </c>
      <c r="C111" s="242">
        <v>1.32E-2</v>
      </c>
      <c r="D111" s="242">
        <v>5.5100000000000003E-2</v>
      </c>
      <c r="E111" s="248">
        <v>3.44</v>
      </c>
    </row>
    <row r="112" spans="1:5" x14ac:dyDescent="0.3">
      <c r="A112" s="25">
        <v>2128</v>
      </c>
      <c r="B112" s="245">
        <v>2.4799999999999999E-2</v>
      </c>
      <c r="C112" s="242">
        <v>1.32E-2</v>
      </c>
      <c r="D112" s="242">
        <v>5.5100000000000003E-2</v>
      </c>
      <c r="E112" s="248">
        <v>3.44</v>
      </c>
    </row>
    <row r="113" spans="1:5" x14ac:dyDescent="0.3">
      <c r="A113" s="25">
        <v>2129</v>
      </c>
      <c r="B113" s="245">
        <v>2.4799999999999999E-2</v>
      </c>
      <c r="C113" s="242">
        <v>1.32E-2</v>
      </c>
      <c r="D113" s="242">
        <v>5.5100000000000003E-2</v>
      </c>
      <c r="E113" s="248">
        <v>3.44</v>
      </c>
    </row>
    <row r="114" spans="1:5" ht="15" thickBot="1" x14ac:dyDescent="0.35">
      <c r="A114" s="26">
        <v>2130</v>
      </c>
      <c r="B114" s="246">
        <v>2.4799999999999999E-2</v>
      </c>
      <c r="C114" s="243">
        <v>1.32E-2</v>
      </c>
      <c r="D114" s="243">
        <v>5.5100000000000003E-2</v>
      </c>
      <c r="E114" s="248">
        <v>3.44</v>
      </c>
    </row>
  </sheetData>
  <sheetProtection sheet="1" objects="1" scenarios="1" formatCells="0" formatColumns="0" formatRows="0" insertColumns="0" insertRows="0" insertHyperlinks="0" deleteColumns="0" deleteRows="0" sort="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481C7-DF5B-4000-85F7-FBE4B6484F0D}">
  <sheetPr>
    <tabColor rgb="FF87BCA2"/>
  </sheetPr>
  <dimension ref="A1:R7"/>
  <sheetViews>
    <sheetView workbookViewId="0">
      <selection activeCell="D12" sqref="D12"/>
    </sheetView>
  </sheetViews>
  <sheetFormatPr defaultRowHeight="14.4" x14ac:dyDescent="0.3"/>
  <cols>
    <col min="1" max="1" width="21.5546875" style="168" bestFit="1" customWidth="1"/>
    <col min="2" max="2" width="18.109375" style="168" customWidth="1"/>
    <col min="3" max="9" width="18.109375" customWidth="1"/>
    <col min="10" max="10" width="18.109375" style="168" customWidth="1"/>
    <col min="11" max="17" width="18.109375" customWidth="1"/>
    <col min="18" max="18" width="17.44140625" style="168" customWidth="1"/>
  </cols>
  <sheetData>
    <row r="1" spans="1:18" ht="28.8" x14ac:dyDescent="0.3">
      <c r="A1" s="84" t="s">
        <v>411</v>
      </c>
      <c r="B1" s="172" t="s">
        <v>397</v>
      </c>
      <c r="C1" s="172" t="s">
        <v>405</v>
      </c>
      <c r="D1" s="172" t="s">
        <v>406</v>
      </c>
      <c r="E1" s="172" t="s">
        <v>450</v>
      </c>
      <c r="F1" s="172" t="s">
        <v>407</v>
      </c>
      <c r="G1" s="172" t="s">
        <v>408</v>
      </c>
      <c r="H1" s="172" t="s">
        <v>409</v>
      </c>
      <c r="I1" s="172" t="s">
        <v>410</v>
      </c>
      <c r="J1" s="172" t="s">
        <v>403</v>
      </c>
      <c r="K1" s="172" t="s">
        <v>404</v>
      </c>
      <c r="L1" s="172" t="s">
        <v>399</v>
      </c>
      <c r="M1" s="172" t="s">
        <v>418</v>
      </c>
      <c r="N1" s="172" t="s">
        <v>398</v>
      </c>
      <c r="O1" s="172" t="s">
        <v>400</v>
      </c>
      <c r="P1" s="172" t="s">
        <v>401</v>
      </c>
      <c r="Q1" s="172" t="s">
        <v>402</v>
      </c>
      <c r="R1" s="172" t="s">
        <v>449</v>
      </c>
    </row>
    <row r="2" spans="1:18" ht="15" thickBot="1" x14ac:dyDescent="0.35">
      <c r="A2" s="163" t="s">
        <v>7</v>
      </c>
      <c r="B2" s="173" t="s">
        <v>395</v>
      </c>
      <c r="C2" s="173" t="s">
        <v>319</v>
      </c>
      <c r="D2" s="173" t="s">
        <v>319</v>
      </c>
      <c r="E2" s="173" t="s">
        <v>319</v>
      </c>
      <c r="F2" s="173" t="s">
        <v>319</v>
      </c>
      <c r="G2" s="173" t="s">
        <v>319</v>
      </c>
      <c r="H2" s="173" t="s">
        <v>319</v>
      </c>
      <c r="I2" s="173" t="s">
        <v>319</v>
      </c>
      <c r="J2" s="226" t="s">
        <v>395</v>
      </c>
      <c r="K2" s="173" t="s">
        <v>396</v>
      </c>
      <c r="L2" s="173" t="s">
        <v>396</v>
      </c>
      <c r="M2" s="173" t="s">
        <v>396</v>
      </c>
      <c r="N2" s="173" t="s">
        <v>396</v>
      </c>
      <c r="O2" s="173" t="s">
        <v>396</v>
      </c>
      <c r="P2" s="173" t="s">
        <v>396</v>
      </c>
      <c r="Q2" s="173" t="s">
        <v>396</v>
      </c>
      <c r="R2" s="227" t="s">
        <v>319</v>
      </c>
    </row>
    <row r="3" spans="1:18" x14ac:dyDescent="0.3">
      <c r="A3" s="169" t="s">
        <v>412</v>
      </c>
      <c r="B3" s="231">
        <v>132.11935909183333</v>
      </c>
      <c r="C3" s="232">
        <v>0</v>
      </c>
      <c r="D3" s="232">
        <v>60.345583199999993</v>
      </c>
      <c r="E3" s="232">
        <v>60.345583199999993</v>
      </c>
      <c r="F3" s="193">
        <v>0</v>
      </c>
      <c r="G3" s="193">
        <v>0</v>
      </c>
      <c r="H3" s="193">
        <v>0</v>
      </c>
      <c r="I3" s="228">
        <v>0</v>
      </c>
      <c r="J3" s="231">
        <v>226.0954119448445</v>
      </c>
      <c r="K3" s="232">
        <v>0.20488382085575652</v>
      </c>
      <c r="L3" s="232">
        <v>0.17514069451697126</v>
      </c>
      <c r="M3" s="232">
        <v>0.17514069451697126</v>
      </c>
      <c r="N3" s="232">
        <v>0</v>
      </c>
      <c r="O3" s="232">
        <v>0.31761801833625214</v>
      </c>
      <c r="P3" s="232">
        <v>0.20040663470845821</v>
      </c>
      <c r="Q3" s="237">
        <v>0.20040663470845821</v>
      </c>
      <c r="R3" s="180">
        <v>5.47</v>
      </c>
    </row>
    <row r="4" spans="1:18" x14ac:dyDescent="0.3">
      <c r="A4" s="170" t="s">
        <v>413</v>
      </c>
      <c r="B4" s="233">
        <v>132.11935909183333</v>
      </c>
      <c r="C4" s="234">
        <v>0</v>
      </c>
      <c r="D4" s="234">
        <v>60.345583199999993</v>
      </c>
      <c r="E4" s="234">
        <v>60.345583199999993</v>
      </c>
      <c r="F4">
        <v>0</v>
      </c>
      <c r="G4">
        <v>0</v>
      </c>
      <c r="H4">
        <v>0</v>
      </c>
      <c r="I4" s="229">
        <v>0</v>
      </c>
      <c r="J4" s="233">
        <v>226.0954119448445</v>
      </c>
      <c r="K4" s="234">
        <v>0.20488382085575652</v>
      </c>
      <c r="L4" s="234">
        <v>0.17514069451697126</v>
      </c>
      <c r="M4" s="234">
        <v>0.17514069451697126</v>
      </c>
      <c r="N4" s="234">
        <v>0.31761801833625214</v>
      </c>
      <c r="O4" s="234">
        <v>0.31761801833625214</v>
      </c>
      <c r="P4" s="234">
        <v>0.31761801833625214</v>
      </c>
      <c r="Q4" s="238">
        <v>0.20040663470845821</v>
      </c>
      <c r="R4" s="181">
        <v>5.47</v>
      </c>
    </row>
    <row r="5" spans="1:18" x14ac:dyDescent="0.3">
      <c r="A5" s="170" t="s">
        <v>414</v>
      </c>
      <c r="B5" s="233">
        <v>132.11935909183333</v>
      </c>
      <c r="C5" s="234">
        <v>0</v>
      </c>
      <c r="D5" s="234">
        <v>22.6028666744802</v>
      </c>
      <c r="E5" s="234">
        <v>22.6028666744802</v>
      </c>
      <c r="F5">
        <v>0</v>
      </c>
      <c r="G5">
        <v>0</v>
      </c>
      <c r="H5">
        <v>0</v>
      </c>
      <c r="I5" s="229">
        <v>0</v>
      </c>
      <c r="J5" s="233">
        <v>176.59677996974443</v>
      </c>
      <c r="K5" s="234">
        <v>0.20488382085575652</v>
      </c>
      <c r="L5" s="234">
        <v>0.85906230846120135</v>
      </c>
      <c r="M5" s="234">
        <v>0.17514069451697126</v>
      </c>
      <c r="N5" s="234">
        <v>0.28764959999999995</v>
      </c>
      <c r="O5" s="234">
        <v>0.31761801833625214</v>
      </c>
      <c r="P5" s="234">
        <v>0.28764959999999995</v>
      </c>
      <c r="Q5" s="238">
        <v>0.20040663470845821</v>
      </c>
      <c r="R5" s="182">
        <v>5.43</v>
      </c>
    </row>
    <row r="6" spans="1:18" x14ac:dyDescent="0.3">
      <c r="A6" s="170" t="s">
        <v>415</v>
      </c>
      <c r="B6" s="233">
        <v>132.11935909183333</v>
      </c>
      <c r="C6" s="234">
        <v>0</v>
      </c>
      <c r="D6" s="234">
        <v>22.6028666744802</v>
      </c>
      <c r="E6" s="234">
        <v>22.6028666744802</v>
      </c>
      <c r="F6">
        <v>0</v>
      </c>
      <c r="G6">
        <v>0</v>
      </c>
      <c r="H6">
        <v>0</v>
      </c>
      <c r="I6" s="229">
        <v>0</v>
      </c>
      <c r="J6" s="233">
        <v>176.59677996974443</v>
      </c>
      <c r="K6" s="234">
        <v>0.20488382085575652</v>
      </c>
      <c r="L6" s="234">
        <v>0.34571540425531921</v>
      </c>
      <c r="M6" s="234">
        <v>0.17514069451697126</v>
      </c>
      <c r="N6" s="234">
        <v>0</v>
      </c>
      <c r="O6" s="234">
        <v>0.31761801833625214</v>
      </c>
      <c r="P6" s="234">
        <v>0.34571540425531921</v>
      </c>
      <c r="Q6" s="238">
        <v>0.20040663470845821</v>
      </c>
      <c r="R6" s="182">
        <v>5.37</v>
      </c>
    </row>
    <row r="7" spans="1:18" ht="15" thickBot="1" x14ac:dyDescent="0.35">
      <c r="A7" s="171" t="s">
        <v>416</v>
      </c>
      <c r="B7" s="235">
        <v>132.11935909183333</v>
      </c>
      <c r="C7" s="236">
        <v>0</v>
      </c>
      <c r="D7" s="236">
        <v>22.6028666744802</v>
      </c>
      <c r="E7" s="236">
        <v>22.6028666744802</v>
      </c>
      <c r="F7" s="194">
        <v>0</v>
      </c>
      <c r="G7" s="194">
        <v>0</v>
      </c>
      <c r="H7" s="194">
        <v>0</v>
      </c>
      <c r="I7" s="230">
        <v>0</v>
      </c>
      <c r="J7" s="235">
        <v>176.59677996974443</v>
      </c>
      <c r="K7" s="236">
        <v>0.20488382085575652</v>
      </c>
      <c r="L7" s="236">
        <v>0.78099706737065233</v>
      </c>
      <c r="M7" s="236">
        <v>0.17514069451697126</v>
      </c>
      <c r="N7" s="236">
        <v>0.28764959999999995</v>
      </c>
      <c r="O7" s="236">
        <v>0.31761801833625214</v>
      </c>
      <c r="P7" s="236">
        <v>0.28764959999999995</v>
      </c>
      <c r="Q7" s="239">
        <v>0.20040663470845821</v>
      </c>
      <c r="R7" s="183">
        <v>5.37</v>
      </c>
    </row>
  </sheetData>
  <sheetProtection sheet="1" objects="1" scenarios="1" formatCells="0" formatColumns="0" formatRows="0" insertColumns="0" insertRows="0" insertHyperlinks="0" deleteColumns="0" deleteRows="0" sort="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CA386-7AB6-433C-A659-06A568EFCD71}">
  <sheetPr>
    <tabColor rgb="FF646AFF"/>
  </sheetPr>
  <dimension ref="A1:S9"/>
  <sheetViews>
    <sheetView workbookViewId="0">
      <selection activeCell="E19" sqref="E19"/>
    </sheetView>
  </sheetViews>
  <sheetFormatPr defaultRowHeight="14.4" x14ac:dyDescent="0.3"/>
  <cols>
    <col min="1" max="1" width="20" customWidth="1"/>
    <col min="2" max="13" width="18" customWidth="1"/>
    <col min="14" max="14" width="22.33203125" customWidth="1"/>
    <col min="15" max="15" width="23.109375" customWidth="1"/>
    <col min="16" max="16" width="22.33203125" customWidth="1"/>
    <col min="17" max="17" width="23.109375" customWidth="1"/>
    <col min="18" max="19" width="18" customWidth="1"/>
    <col min="20" max="20" width="11" bestFit="1" customWidth="1"/>
  </cols>
  <sheetData>
    <row r="1" spans="1:19" x14ac:dyDescent="0.3">
      <c r="A1" s="255" t="s">
        <v>452</v>
      </c>
      <c r="B1" s="256" t="str">
        <f>B2&amp;"_MEAN"</f>
        <v>Foundation_MEAN</v>
      </c>
      <c r="C1" s="256" t="str">
        <f>C2&amp;"_SD"</f>
        <v>Foundation_SD</v>
      </c>
      <c r="D1" s="256" t="str">
        <f>D2&amp;"_MEAN"</f>
        <v>Structural_MEAN</v>
      </c>
      <c r="E1" s="256" t="str">
        <f t="shared" ref="E1" si="0">E2&amp;"_SD"</f>
        <v>Structural_SD</v>
      </c>
      <c r="F1" s="256" t="str">
        <f t="shared" ref="F1" si="1">F2&amp;"_MEAN"</f>
        <v>Envelope_MEAN</v>
      </c>
      <c r="G1" s="256" t="str">
        <f t="shared" ref="G1" si="2">G2&amp;"_SD"</f>
        <v>Envelope_SD</v>
      </c>
      <c r="H1" s="256" t="str">
        <f t="shared" ref="H1" si="3">H2&amp;"_MEAN"</f>
        <v>Window_MEAN</v>
      </c>
      <c r="I1" s="256" t="str">
        <f t="shared" ref="I1" si="4">I2&amp;"_SD"</f>
        <v>Window_SD</v>
      </c>
      <c r="J1" s="256" t="str">
        <f t="shared" ref="J1" si="5">J2&amp;"_MEAN"</f>
        <v>Interior_MEAN</v>
      </c>
      <c r="K1" s="256" t="str">
        <f t="shared" ref="K1" si="6">K2&amp;"_SD"</f>
        <v>Interior_SD</v>
      </c>
      <c r="L1" s="256" t="str">
        <f t="shared" ref="L1" si="7">L2&amp;"_MEAN"</f>
        <v>Technical_MEAN</v>
      </c>
      <c r="M1" s="256" t="str">
        <f t="shared" ref="M1" si="8">M2&amp;"_SD"</f>
        <v>Technical_SD</v>
      </c>
      <c r="N1" s="256" t="str">
        <f t="shared" ref="N1:P1" si="9">N2&amp;"_MEAN"</f>
        <v>ConstructionA5_MEAN</v>
      </c>
      <c r="O1" s="256" t="str">
        <f t="shared" ref="O1:Q1" si="10">O2&amp;"_SD"</f>
        <v>ConstructionA5_SD</v>
      </c>
      <c r="P1" s="256" t="str">
        <f t="shared" si="9"/>
        <v>Energy_MEAN</v>
      </c>
      <c r="Q1" s="256" t="str">
        <f t="shared" si="10"/>
        <v>Energy_SD</v>
      </c>
      <c r="R1" s="256" t="str">
        <f t="shared" ref="R1" si="11">R2&amp;"_MEAN"</f>
        <v>Demolition_MEAN</v>
      </c>
      <c r="S1" s="256" t="str">
        <f t="shared" ref="S1" si="12">S2&amp;"_SD"</f>
        <v>Demolition_SD</v>
      </c>
    </row>
    <row r="2" spans="1:19" x14ac:dyDescent="0.3">
      <c r="A2" s="257"/>
      <c r="B2" s="256" t="s">
        <v>372</v>
      </c>
      <c r="C2" s="256" t="str">
        <f>B2</f>
        <v>Foundation</v>
      </c>
      <c r="D2" s="256" t="s">
        <v>373</v>
      </c>
      <c r="E2" s="256" t="str">
        <f>D2</f>
        <v>Structural</v>
      </c>
      <c r="F2" s="256" t="s">
        <v>374</v>
      </c>
      <c r="G2" s="256" t="str">
        <f>F2</f>
        <v>Envelope</v>
      </c>
      <c r="H2" s="256" t="s">
        <v>375</v>
      </c>
      <c r="I2" s="256" t="str">
        <f>H2</f>
        <v>Window</v>
      </c>
      <c r="J2" s="256" t="s">
        <v>376</v>
      </c>
      <c r="K2" s="256" t="str">
        <f>J2</f>
        <v>Interior</v>
      </c>
      <c r="L2" s="256" t="s">
        <v>381</v>
      </c>
      <c r="M2" s="256" t="str">
        <f>L2</f>
        <v>Technical</v>
      </c>
      <c r="N2" s="256" t="s">
        <v>379</v>
      </c>
      <c r="O2" s="256" t="str">
        <f>N2</f>
        <v>ConstructionA5</v>
      </c>
      <c r="P2" s="256" t="s">
        <v>377</v>
      </c>
      <c r="Q2" s="256" t="str">
        <f>P2</f>
        <v>Energy</v>
      </c>
      <c r="R2" s="256" t="s">
        <v>380</v>
      </c>
      <c r="S2" s="256" t="str">
        <f>R2</f>
        <v>Demolition</v>
      </c>
    </row>
    <row r="3" spans="1:19" ht="15" thickBot="1" x14ac:dyDescent="0.35">
      <c r="A3" s="253" t="s">
        <v>317</v>
      </c>
      <c r="B3" s="254" t="s">
        <v>7</v>
      </c>
      <c r="C3" s="254" t="s">
        <v>7</v>
      </c>
      <c r="D3" s="254" t="s">
        <v>7</v>
      </c>
      <c r="E3" s="254" t="s">
        <v>7</v>
      </c>
      <c r="F3" s="254" t="s">
        <v>7</v>
      </c>
      <c r="G3" s="254" t="s">
        <v>7</v>
      </c>
      <c r="H3" s="254" t="s">
        <v>7</v>
      </c>
      <c r="I3" s="254" t="s">
        <v>7</v>
      </c>
      <c r="J3" s="254" t="s">
        <v>7</v>
      </c>
      <c r="K3" s="254" t="s">
        <v>7</v>
      </c>
      <c r="L3" s="254" t="s">
        <v>7</v>
      </c>
      <c r="M3" s="254" t="s">
        <v>7</v>
      </c>
      <c r="N3" s="254" t="s">
        <v>7</v>
      </c>
      <c r="O3" s="254" t="s">
        <v>7</v>
      </c>
      <c r="P3" s="254" t="s">
        <v>7</v>
      </c>
      <c r="Q3" s="254" t="s">
        <v>7</v>
      </c>
      <c r="R3" s="254" t="s">
        <v>7</v>
      </c>
      <c r="S3" s="254" t="s">
        <v>7</v>
      </c>
    </row>
    <row r="4" spans="1:19" x14ac:dyDescent="0.3">
      <c r="A4" s="258" t="s">
        <v>378</v>
      </c>
      <c r="B4" s="218">
        <v>1</v>
      </c>
      <c r="C4" s="219">
        <v>0</v>
      </c>
      <c r="D4" s="218">
        <v>1</v>
      </c>
      <c r="E4" s="219">
        <v>0</v>
      </c>
      <c r="F4" s="218">
        <v>1</v>
      </c>
      <c r="G4" s="219">
        <v>0</v>
      </c>
      <c r="H4" s="218">
        <v>1</v>
      </c>
      <c r="I4" s="219">
        <v>0</v>
      </c>
      <c r="J4" s="218">
        <v>1</v>
      </c>
      <c r="K4" s="219">
        <v>0</v>
      </c>
      <c r="L4" s="218">
        <v>1</v>
      </c>
      <c r="M4" s="219">
        <v>0</v>
      </c>
      <c r="N4" s="218">
        <v>1</v>
      </c>
      <c r="O4" s="219">
        <v>0</v>
      </c>
      <c r="P4" s="218">
        <v>1</v>
      </c>
      <c r="Q4" s="219">
        <v>0</v>
      </c>
      <c r="R4" s="218">
        <v>0</v>
      </c>
      <c r="S4" s="220">
        <f>R4*0.3</f>
        <v>0</v>
      </c>
    </row>
    <row r="5" spans="1:19" x14ac:dyDescent="0.3">
      <c r="A5" s="259" t="s">
        <v>18</v>
      </c>
      <c r="B5" s="215">
        <v>0</v>
      </c>
      <c r="C5" s="216">
        <v>0</v>
      </c>
      <c r="D5" s="215">
        <v>0.25</v>
      </c>
      <c r="E5" s="216">
        <f t="shared" ref="C5:E9" si="13">D5*0.3</f>
        <v>7.4999999999999997E-2</v>
      </c>
      <c r="F5" s="215">
        <v>0.75</v>
      </c>
      <c r="G5" s="216">
        <f t="shared" ref="G5:G9" si="14">F5*0.3</f>
        <v>0.22499999999999998</v>
      </c>
      <c r="H5" s="215">
        <v>1</v>
      </c>
      <c r="I5" s="216">
        <v>0</v>
      </c>
      <c r="J5" s="215">
        <v>1</v>
      </c>
      <c r="K5" s="216">
        <v>0</v>
      </c>
      <c r="L5" s="215">
        <v>1</v>
      </c>
      <c r="M5" s="216">
        <v>0</v>
      </c>
      <c r="N5" s="215">
        <v>0.5</v>
      </c>
      <c r="O5" s="216">
        <f t="shared" ref="O5:O9" si="15">N5*0.3</f>
        <v>0.15</v>
      </c>
      <c r="P5" s="215">
        <v>1</v>
      </c>
      <c r="Q5" s="216">
        <v>0</v>
      </c>
      <c r="R5" s="215">
        <v>0</v>
      </c>
      <c r="S5" s="221">
        <f t="shared" ref="S5:S8" si="16">R5*0.3</f>
        <v>0</v>
      </c>
    </row>
    <row r="6" spans="1:19" x14ac:dyDescent="0.3">
      <c r="A6" s="260" t="s">
        <v>368</v>
      </c>
      <c r="B6" s="215">
        <v>0</v>
      </c>
      <c r="C6" s="216">
        <f t="shared" si="13"/>
        <v>0</v>
      </c>
      <c r="D6" s="215">
        <v>0.15</v>
      </c>
      <c r="E6" s="216">
        <v>0.05</v>
      </c>
      <c r="F6" s="215">
        <v>0.25</v>
      </c>
      <c r="G6" s="216">
        <f t="shared" si="14"/>
        <v>7.4999999999999997E-2</v>
      </c>
      <c r="H6" s="215">
        <v>1</v>
      </c>
      <c r="I6" s="216">
        <v>0</v>
      </c>
      <c r="J6" s="215">
        <v>1</v>
      </c>
      <c r="K6" s="216">
        <v>0</v>
      </c>
      <c r="L6" s="215">
        <v>1</v>
      </c>
      <c r="M6" s="216">
        <v>0</v>
      </c>
      <c r="N6" s="215">
        <v>0.25</v>
      </c>
      <c r="O6" s="216">
        <f t="shared" si="15"/>
        <v>7.4999999999999997E-2</v>
      </c>
      <c r="P6" s="215">
        <v>1</v>
      </c>
      <c r="Q6" s="216">
        <v>0</v>
      </c>
      <c r="R6" s="215">
        <v>0</v>
      </c>
      <c r="S6" s="221">
        <f t="shared" si="16"/>
        <v>0</v>
      </c>
    </row>
    <row r="7" spans="1:19" x14ac:dyDescent="0.3">
      <c r="A7" s="260" t="s">
        <v>369</v>
      </c>
      <c r="B7" s="215">
        <v>0</v>
      </c>
      <c r="C7" s="216">
        <f t="shared" si="13"/>
        <v>0</v>
      </c>
      <c r="D7" s="217">
        <v>0</v>
      </c>
      <c r="E7" s="216">
        <f t="shared" si="13"/>
        <v>0</v>
      </c>
      <c r="F7" s="217">
        <v>0</v>
      </c>
      <c r="G7" s="216">
        <f t="shared" si="14"/>
        <v>0</v>
      </c>
      <c r="H7" s="217">
        <v>0</v>
      </c>
      <c r="I7" s="216">
        <f t="shared" ref="I7:I9" si="17">H7*0.3</f>
        <v>0</v>
      </c>
      <c r="J7" s="217">
        <v>1</v>
      </c>
      <c r="K7" s="216">
        <v>0</v>
      </c>
      <c r="L7" s="217">
        <v>0</v>
      </c>
      <c r="M7" s="216">
        <f t="shared" ref="M7:M9" si="18">L7*0.3</f>
        <v>0</v>
      </c>
      <c r="N7" s="217">
        <v>0</v>
      </c>
      <c r="O7" s="216">
        <f t="shared" si="15"/>
        <v>0</v>
      </c>
      <c r="P7" s="217">
        <v>1.7419653811806042</v>
      </c>
      <c r="Q7" s="216">
        <v>0.17418851651626704</v>
      </c>
      <c r="R7" s="217">
        <v>0</v>
      </c>
      <c r="S7" s="221">
        <f t="shared" si="16"/>
        <v>0</v>
      </c>
    </row>
    <row r="8" spans="1:19" x14ac:dyDescent="0.3">
      <c r="A8" s="260" t="s">
        <v>370</v>
      </c>
      <c r="B8" s="215">
        <v>0</v>
      </c>
      <c r="C8" s="216">
        <f t="shared" si="13"/>
        <v>0</v>
      </c>
      <c r="D8" s="217">
        <v>0</v>
      </c>
      <c r="E8" s="216">
        <f t="shared" si="13"/>
        <v>0</v>
      </c>
      <c r="F8" s="217">
        <v>0</v>
      </c>
      <c r="G8" s="216">
        <f t="shared" si="14"/>
        <v>0</v>
      </c>
      <c r="H8" s="217">
        <v>0</v>
      </c>
      <c r="I8" s="216">
        <f t="shared" si="17"/>
        <v>0</v>
      </c>
      <c r="J8" s="217">
        <v>0</v>
      </c>
      <c r="K8" s="216">
        <f t="shared" ref="K8:K9" si="19">J8*0.3</f>
        <v>0</v>
      </c>
      <c r="L8" s="217">
        <v>0</v>
      </c>
      <c r="M8" s="216">
        <f t="shared" si="18"/>
        <v>0</v>
      </c>
      <c r="N8" s="217">
        <v>0</v>
      </c>
      <c r="O8" s="216">
        <f t="shared" si="15"/>
        <v>0</v>
      </c>
      <c r="P8" s="217">
        <v>1.7419653811806042</v>
      </c>
      <c r="Q8" s="216">
        <v>0.17418851651626704</v>
      </c>
      <c r="R8" s="217">
        <v>0</v>
      </c>
      <c r="S8" s="221">
        <f t="shared" si="16"/>
        <v>0</v>
      </c>
    </row>
    <row r="9" spans="1:19" ht="15" thickBot="1" x14ac:dyDescent="0.35">
      <c r="A9" s="261" t="s">
        <v>371</v>
      </c>
      <c r="B9" s="222">
        <v>0</v>
      </c>
      <c r="C9" s="223">
        <f t="shared" si="13"/>
        <v>0</v>
      </c>
      <c r="D9" s="224">
        <v>0</v>
      </c>
      <c r="E9" s="223">
        <f t="shared" si="13"/>
        <v>0</v>
      </c>
      <c r="F9" s="224">
        <v>0</v>
      </c>
      <c r="G9" s="223">
        <f t="shared" si="14"/>
        <v>0</v>
      </c>
      <c r="H9" s="224">
        <v>0</v>
      </c>
      <c r="I9" s="223">
        <f t="shared" si="17"/>
        <v>0</v>
      </c>
      <c r="J9" s="224">
        <v>0</v>
      </c>
      <c r="K9" s="223">
        <f t="shared" si="19"/>
        <v>0</v>
      </c>
      <c r="L9" s="224">
        <v>0</v>
      </c>
      <c r="M9" s="223">
        <f t="shared" si="18"/>
        <v>0</v>
      </c>
      <c r="N9" s="224">
        <v>0</v>
      </c>
      <c r="O9" s="223">
        <f t="shared" si="15"/>
        <v>0</v>
      </c>
      <c r="P9" s="224">
        <v>0</v>
      </c>
      <c r="Q9" s="223">
        <v>0</v>
      </c>
      <c r="R9" s="224">
        <v>1</v>
      </c>
      <c r="S9" s="225">
        <v>0</v>
      </c>
    </row>
  </sheetData>
  <sheetProtection sheet="1" objects="1" scenarios="1" formatCells="0" formatColumns="0" formatRows="0" insertColumns="0" insertRows="0" insertHyperlinks="0" deleteColumns="0" deleteRows="0" sort="0"/>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ECF08-DFF6-4C28-BCF7-CD0D3ACEFD7C}">
  <sheetPr>
    <tabColor theme="0" tint="-9.9978637043366805E-2"/>
  </sheetPr>
  <dimension ref="A1:Q14"/>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9.109375" style="88"/>
    <col min="14" max="14" width="16" style="88" bestFit="1" customWidth="1"/>
    <col min="15" max="15" width="14.44140625" style="88" bestFit="1" customWidth="1"/>
    <col min="16" max="16" width="14.6640625" style="88" bestFit="1" customWidth="1"/>
    <col min="17" max="17" width="17.6640625" style="88" bestFit="1" customWidth="1"/>
  </cols>
  <sheetData>
    <row r="1" spans="1:17" ht="15" thickBot="1" x14ac:dyDescent="0.35">
      <c r="A1" s="101" t="s">
        <v>318</v>
      </c>
      <c r="B1" s="2" t="s">
        <v>236</v>
      </c>
      <c r="C1" s="2" t="s">
        <v>235</v>
      </c>
      <c r="D1" s="85" t="s">
        <v>230</v>
      </c>
      <c r="F1" s="104" t="s">
        <v>233</v>
      </c>
      <c r="G1" s="89" t="s">
        <v>240</v>
      </c>
      <c r="H1" s="89" t="s">
        <v>241</v>
      </c>
      <c r="I1" s="89" t="s">
        <v>242</v>
      </c>
      <c r="K1" s="104" t="s">
        <v>246</v>
      </c>
      <c r="L1" s="4" t="s">
        <v>239</v>
      </c>
      <c r="M1" s="85" t="s">
        <v>234</v>
      </c>
      <c r="N1" s="85" t="s">
        <v>243</v>
      </c>
      <c r="O1" s="85" t="s">
        <v>241</v>
      </c>
      <c r="P1" s="85" t="s">
        <v>242</v>
      </c>
      <c r="Q1" s="85" t="s">
        <v>244</v>
      </c>
    </row>
    <row r="2" spans="1:17" ht="15" thickBot="1" x14ac:dyDescent="0.35">
      <c r="A2" s="102" t="s">
        <v>317</v>
      </c>
      <c r="B2" s="5" t="s">
        <v>4</v>
      </c>
      <c r="C2" s="5" t="s">
        <v>4</v>
      </c>
      <c r="D2" s="5" t="s">
        <v>245</v>
      </c>
      <c r="F2" s="105" t="s">
        <v>317</v>
      </c>
      <c r="G2" s="5" t="s">
        <v>4</v>
      </c>
      <c r="H2" s="5" t="s">
        <v>4</v>
      </c>
      <c r="I2" s="5" t="s">
        <v>4</v>
      </c>
      <c r="K2" s="108" t="s">
        <v>317</v>
      </c>
      <c r="L2" s="5" t="s">
        <v>7</v>
      </c>
      <c r="M2" s="5" t="s">
        <v>7</v>
      </c>
      <c r="N2" s="5" t="s">
        <v>4</v>
      </c>
      <c r="O2" s="5" t="s">
        <v>4</v>
      </c>
      <c r="P2" s="5" t="s">
        <v>4</v>
      </c>
      <c r="Q2" s="5" t="s">
        <v>4</v>
      </c>
    </row>
    <row r="3" spans="1:17" ht="21.6" customHeight="1" x14ac:dyDescent="0.3">
      <c r="A3" s="7" t="s">
        <v>454</v>
      </c>
      <c r="B3" s="100">
        <f>IF(D3="Data",N3,(G3*3+H3+I3)/5)</f>
        <v>0.22200000000000003</v>
      </c>
      <c r="C3" s="100">
        <f>IF(D3="Data",Q3,(I3-H3)/5)</f>
        <v>0.03</v>
      </c>
      <c r="D3" s="88" t="s">
        <v>232</v>
      </c>
      <c r="F3" s="106"/>
      <c r="G3" s="92">
        <v>0.22</v>
      </c>
      <c r="H3" s="93">
        <v>0.15</v>
      </c>
      <c r="I3" s="94">
        <v>0.3</v>
      </c>
      <c r="K3" s="106"/>
      <c r="L3" s="81"/>
      <c r="M3" s="86"/>
      <c r="N3" s="87"/>
      <c r="O3" s="87"/>
      <c r="P3" s="87"/>
      <c r="Q3" s="86"/>
    </row>
    <row r="4" spans="1:17" ht="21.6" customHeight="1" x14ac:dyDescent="0.3">
      <c r="A4" s="10" t="s">
        <v>455</v>
      </c>
      <c r="B4" s="100">
        <f>IF(D4="Data",N4,(G4*3+H4+I4)/5)</f>
        <v>0.246</v>
      </c>
      <c r="C4" s="100">
        <f>IF(D4="Data",Q4,(I4-H4)/5)</f>
        <v>2.4E-2</v>
      </c>
      <c r="D4" s="88" t="s">
        <v>232</v>
      </c>
      <c r="F4" s="106"/>
      <c r="G4" s="95">
        <v>0.25</v>
      </c>
      <c r="H4" s="96">
        <v>0.18</v>
      </c>
      <c r="I4" s="90">
        <v>0.3</v>
      </c>
      <c r="M4" s="86"/>
      <c r="N4" s="87"/>
      <c r="O4" s="87"/>
      <c r="P4" s="87"/>
      <c r="Q4" s="86"/>
    </row>
    <row r="5" spans="1:17" ht="21.6" customHeight="1" x14ac:dyDescent="0.3">
      <c r="A5" s="12" t="s">
        <v>456</v>
      </c>
      <c r="B5" s="100">
        <f t="shared" ref="B5:B14" si="0">IF(D5="Data",N5,(G5*3+H5+I5)/5)</f>
        <v>0.3</v>
      </c>
      <c r="C5" s="100">
        <f t="shared" ref="C5:C14" si="1">IF(D5="Data",Q5,(I5-H5)/5)</f>
        <v>0.04</v>
      </c>
      <c r="D5" s="88" t="s">
        <v>232</v>
      </c>
      <c r="F5" s="106"/>
      <c r="G5" s="95">
        <v>0.3</v>
      </c>
      <c r="H5" s="96">
        <v>0.2</v>
      </c>
      <c r="I5" s="90">
        <v>0.4</v>
      </c>
      <c r="M5" s="86"/>
      <c r="N5" s="87"/>
      <c r="O5" s="87"/>
      <c r="P5" s="87"/>
      <c r="Q5" s="86"/>
    </row>
    <row r="6" spans="1:17" ht="21.6" customHeight="1" x14ac:dyDescent="0.3">
      <c r="A6" s="10" t="s">
        <v>457</v>
      </c>
      <c r="B6" s="100">
        <f t="shared" si="0"/>
        <v>0.40000000000000008</v>
      </c>
      <c r="C6" s="100">
        <f t="shared" si="1"/>
        <v>2.0000000000000007E-2</v>
      </c>
      <c r="D6" s="88" t="s">
        <v>232</v>
      </c>
      <c r="F6" s="106"/>
      <c r="G6" s="95">
        <v>0.4</v>
      </c>
      <c r="H6" s="96">
        <v>0.35</v>
      </c>
      <c r="I6" s="90">
        <v>0.45</v>
      </c>
      <c r="M6" s="86"/>
      <c r="N6" s="87"/>
      <c r="O6" s="87"/>
      <c r="P6" s="87"/>
      <c r="Q6" s="86"/>
    </row>
    <row r="7" spans="1:17" ht="21.6" customHeight="1" x14ac:dyDescent="0.3">
      <c r="A7" s="12" t="s">
        <v>458</v>
      </c>
      <c r="B7" s="100">
        <f t="shared" si="0"/>
        <v>0.25</v>
      </c>
      <c r="C7" s="100">
        <f t="shared" si="1"/>
        <v>1.9999999999999997E-2</v>
      </c>
      <c r="D7" s="88" t="s">
        <v>232</v>
      </c>
      <c r="F7" s="106"/>
      <c r="G7" s="95">
        <v>0.25</v>
      </c>
      <c r="H7" s="96">
        <v>0.2</v>
      </c>
      <c r="I7" s="90">
        <v>0.3</v>
      </c>
      <c r="M7" s="86"/>
      <c r="N7" s="87"/>
      <c r="O7" s="87"/>
      <c r="P7" s="87"/>
      <c r="Q7" s="86"/>
    </row>
    <row r="8" spans="1:17" ht="21.6" customHeight="1" x14ac:dyDescent="0.3">
      <c r="A8" s="12" t="s">
        <v>459</v>
      </c>
      <c r="B8" s="100">
        <f t="shared" si="0"/>
        <v>0.25</v>
      </c>
      <c r="C8" s="100">
        <f t="shared" si="1"/>
        <v>1.9999999999999997E-2</v>
      </c>
      <c r="D8" s="88" t="s">
        <v>232</v>
      </c>
      <c r="G8" s="95">
        <v>0.25</v>
      </c>
      <c r="H8" s="96">
        <v>0.2</v>
      </c>
      <c r="I8" s="90">
        <v>0.3</v>
      </c>
      <c r="M8" s="86"/>
      <c r="N8" s="87"/>
      <c r="O8" s="87"/>
      <c r="P8" s="87"/>
      <c r="Q8" s="86"/>
    </row>
    <row r="9" spans="1:17" ht="21.6" customHeight="1" x14ac:dyDescent="0.3">
      <c r="A9" s="12" t="s">
        <v>460</v>
      </c>
      <c r="B9" s="100">
        <f t="shared" si="0"/>
        <v>0.6</v>
      </c>
      <c r="C9" s="100">
        <f t="shared" si="1"/>
        <v>3.9999999999999994E-2</v>
      </c>
      <c r="D9" s="88" t="s">
        <v>232</v>
      </c>
      <c r="F9" s="106"/>
      <c r="G9" s="95">
        <v>0.6</v>
      </c>
      <c r="H9" s="96">
        <v>0.5</v>
      </c>
      <c r="I9" s="90">
        <v>0.7</v>
      </c>
      <c r="M9" s="86"/>
      <c r="N9" s="87"/>
      <c r="O9" s="87"/>
      <c r="P9" s="87"/>
      <c r="Q9" s="86"/>
    </row>
    <row r="10" spans="1:17" ht="21.6" customHeight="1" x14ac:dyDescent="0.3">
      <c r="A10" s="12" t="s">
        <v>461</v>
      </c>
      <c r="B10" s="100">
        <f t="shared" si="0"/>
        <v>0</v>
      </c>
      <c r="C10" s="100">
        <f t="shared" si="1"/>
        <v>0</v>
      </c>
      <c r="D10" s="88" t="s">
        <v>232</v>
      </c>
      <c r="F10" s="106"/>
      <c r="G10" s="95">
        <v>0</v>
      </c>
      <c r="H10" s="96">
        <v>0</v>
      </c>
      <c r="I10" s="90">
        <v>0</v>
      </c>
      <c r="M10" s="86"/>
      <c r="N10" s="87"/>
      <c r="O10" s="87"/>
      <c r="P10" s="87"/>
      <c r="Q10" s="86"/>
    </row>
    <row r="11" spans="1:17" ht="21.6" customHeight="1" x14ac:dyDescent="0.3">
      <c r="A11" s="12" t="s">
        <v>462</v>
      </c>
      <c r="B11" s="100">
        <f t="shared" si="0"/>
        <v>0.2</v>
      </c>
      <c r="C11" s="100">
        <f t="shared" si="1"/>
        <v>3.9999999999999994E-2</v>
      </c>
      <c r="D11" s="88" t="s">
        <v>232</v>
      </c>
      <c r="F11" s="106"/>
      <c r="G11" s="95">
        <v>0.2</v>
      </c>
      <c r="H11" s="96">
        <v>0.1</v>
      </c>
      <c r="I11" s="90">
        <v>0.3</v>
      </c>
      <c r="M11" s="86"/>
      <c r="N11" s="87"/>
      <c r="O11" s="87"/>
      <c r="P11" s="87"/>
      <c r="Q11" s="86"/>
    </row>
    <row r="12" spans="1:17" ht="21.6" customHeight="1" x14ac:dyDescent="0.3">
      <c r="A12" s="12" t="s">
        <v>19</v>
      </c>
      <c r="B12" s="100">
        <f t="shared" si="0"/>
        <v>0.2</v>
      </c>
      <c r="C12" s="100">
        <f t="shared" si="1"/>
        <v>3.9999999999999994E-2</v>
      </c>
      <c r="D12" s="88" t="s">
        <v>232</v>
      </c>
      <c r="F12" s="106"/>
      <c r="G12" s="95">
        <v>0.2</v>
      </c>
      <c r="H12" s="96">
        <v>0.1</v>
      </c>
      <c r="I12" s="90">
        <v>0.3</v>
      </c>
      <c r="K12" s="106"/>
      <c r="L12" s="81"/>
      <c r="M12" s="86"/>
      <c r="N12" s="87"/>
      <c r="O12" s="87"/>
      <c r="P12" s="87"/>
      <c r="Q12" s="86"/>
    </row>
    <row r="13" spans="1:17" ht="21.6" customHeight="1" x14ac:dyDescent="0.3">
      <c r="A13" s="12" t="s">
        <v>20</v>
      </c>
      <c r="B13" s="100">
        <f t="shared" si="0"/>
        <v>0.3</v>
      </c>
      <c r="C13" s="100">
        <f t="shared" si="1"/>
        <v>0.04</v>
      </c>
      <c r="D13" s="88" t="s">
        <v>232</v>
      </c>
      <c r="F13" s="106"/>
      <c r="G13" s="95">
        <v>0.3</v>
      </c>
      <c r="H13" s="96">
        <v>0.2</v>
      </c>
      <c r="I13" s="90">
        <v>0.4</v>
      </c>
      <c r="M13" s="86"/>
      <c r="N13" s="87"/>
      <c r="O13" s="87"/>
      <c r="P13" s="87"/>
      <c r="Q13" s="86"/>
    </row>
    <row r="14" spans="1:17" ht="21.6" customHeight="1" thickBot="1" x14ac:dyDescent="0.35">
      <c r="A14" s="14" t="s">
        <v>464</v>
      </c>
      <c r="B14" s="100">
        <f t="shared" si="0"/>
        <v>0.3</v>
      </c>
      <c r="C14" s="100">
        <f t="shared" si="1"/>
        <v>1.9999999999999997E-2</v>
      </c>
      <c r="D14" s="88" t="s">
        <v>232</v>
      </c>
      <c r="F14" s="106"/>
      <c r="G14" s="97">
        <v>0.3</v>
      </c>
      <c r="H14" s="98">
        <v>0.25</v>
      </c>
      <c r="I14" s="99">
        <v>0.35</v>
      </c>
      <c r="M14" s="86"/>
      <c r="N14" s="87"/>
      <c r="O14" s="87"/>
      <c r="P14" s="87"/>
      <c r="Q14" s="86"/>
    </row>
  </sheetData>
  <dataValidations count="1">
    <dataValidation type="list" allowBlank="1" showInputMessage="1" showErrorMessage="1" sqref="D3:D14" xr:uid="{3EEDA458-8262-46AE-BA53-11D8DB80EC1A}">
      <formula1>"Data,Expert Estimate"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FC814-7FA5-45E2-B866-EE24E66A0B3C}">
  <sheetPr>
    <tabColor theme="0" tint="-9.9978637043366805E-2"/>
  </sheetPr>
  <dimension ref="A1:Q14"/>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8.88671875" style="88"/>
    <col min="14" max="14" width="16" style="88" bestFit="1" customWidth="1"/>
    <col min="15" max="15" width="14.44140625" style="88" bestFit="1" customWidth="1"/>
    <col min="16" max="16" width="14.6640625" style="88" bestFit="1" customWidth="1"/>
    <col min="17" max="17" width="17.6640625" style="88" bestFit="1" customWidth="1"/>
  </cols>
  <sheetData>
    <row r="1" spans="1:17" s="112" customFormat="1" ht="47.4" customHeight="1" thickBot="1" x14ac:dyDescent="0.35">
      <c r="A1" s="109" t="s">
        <v>318</v>
      </c>
      <c r="B1" s="110" t="s">
        <v>298</v>
      </c>
      <c r="C1" s="110" t="s">
        <v>300</v>
      </c>
      <c r="D1" s="111" t="s">
        <v>230</v>
      </c>
      <c r="F1" s="113" t="s">
        <v>233</v>
      </c>
      <c r="G1" s="111" t="s">
        <v>240</v>
      </c>
      <c r="H1" s="111" t="s">
        <v>241</v>
      </c>
      <c r="I1" s="111" t="s">
        <v>242</v>
      </c>
      <c r="K1" s="113" t="s">
        <v>246</v>
      </c>
      <c r="L1" s="114" t="s">
        <v>239</v>
      </c>
      <c r="M1" s="111" t="s">
        <v>234</v>
      </c>
      <c r="N1" s="111" t="s">
        <v>243</v>
      </c>
      <c r="O1" s="111" t="s">
        <v>241</v>
      </c>
      <c r="P1" s="111" t="s">
        <v>242</v>
      </c>
      <c r="Q1" s="111" t="s">
        <v>244</v>
      </c>
    </row>
    <row r="2" spans="1:17" ht="15" thickBot="1" x14ac:dyDescent="0.35">
      <c r="A2" s="102" t="s">
        <v>317</v>
      </c>
      <c r="B2" s="6" t="s">
        <v>299</v>
      </c>
      <c r="C2" s="6" t="s">
        <v>299</v>
      </c>
      <c r="D2" s="5" t="s">
        <v>245</v>
      </c>
      <c r="F2" s="105" t="s">
        <v>317</v>
      </c>
      <c r="G2" s="6" t="s">
        <v>299</v>
      </c>
      <c r="H2" s="6" t="s">
        <v>299</v>
      </c>
      <c r="I2" s="6" t="s">
        <v>299</v>
      </c>
      <c r="K2" s="108" t="s">
        <v>317</v>
      </c>
      <c r="L2" s="5" t="s">
        <v>7</v>
      </c>
      <c r="M2" s="5" t="s">
        <v>7</v>
      </c>
      <c r="N2" s="6" t="s">
        <v>299</v>
      </c>
      <c r="O2" s="6" t="s">
        <v>299</v>
      </c>
      <c r="P2" s="6" t="s">
        <v>299</v>
      </c>
      <c r="Q2" s="6" t="s">
        <v>299</v>
      </c>
    </row>
    <row r="3" spans="1:17" ht="21.6" customHeight="1" x14ac:dyDescent="0.3">
      <c r="A3" s="7" t="s">
        <v>454</v>
      </c>
      <c r="B3" s="115">
        <f>IF(D3="Data",N3,(G3*3+H3+I3)/5)</f>
        <v>0.80000000000000016</v>
      </c>
      <c r="C3" s="115">
        <f>IF(D3="Data",Q3,(I3-H3)/5)</f>
        <v>3.2000000000000008E-2</v>
      </c>
      <c r="D3" s="88" t="s">
        <v>232</v>
      </c>
      <c r="F3" s="106"/>
      <c r="G3" s="123">
        <v>0.8</v>
      </c>
      <c r="H3" s="116">
        <f>G3*0.9</f>
        <v>0.72000000000000008</v>
      </c>
      <c r="I3" s="117">
        <f>G3*1.1</f>
        <v>0.88000000000000012</v>
      </c>
      <c r="K3" s="106"/>
      <c r="L3" s="81"/>
      <c r="M3" s="86"/>
      <c r="N3" s="87"/>
      <c r="O3" s="87"/>
      <c r="P3" s="87"/>
      <c r="Q3" s="86"/>
    </row>
    <row r="4" spans="1:17" ht="21.6" customHeight="1" x14ac:dyDescent="0.3">
      <c r="A4" s="10" t="s">
        <v>455</v>
      </c>
      <c r="B4" s="115">
        <f>IF(D4="Data",N4,(G4*3+H4+I4)/5)</f>
        <v>0.80000000000000016</v>
      </c>
      <c r="C4" s="115">
        <f>IF(D4="Data",Q4,(I4-H4)/5)</f>
        <v>3.2000000000000008E-2</v>
      </c>
      <c r="D4" s="88" t="s">
        <v>232</v>
      </c>
      <c r="F4" s="106"/>
      <c r="G4" s="124">
        <v>0.8</v>
      </c>
      <c r="H4" s="119">
        <f t="shared" ref="H4:H14" si="0">G4*0.9</f>
        <v>0.72000000000000008</v>
      </c>
      <c r="I4" s="120">
        <f>G4*1.1</f>
        <v>0.88000000000000012</v>
      </c>
      <c r="M4" s="86"/>
      <c r="N4" s="87"/>
      <c r="O4" s="87"/>
      <c r="P4" s="87"/>
      <c r="Q4" s="86"/>
    </row>
    <row r="5" spans="1:17" ht="21.6" customHeight="1" x14ac:dyDescent="0.3">
      <c r="A5" s="12" t="s">
        <v>456</v>
      </c>
      <c r="B5" s="115">
        <f t="shared" ref="B5:B14" si="1">IF(D5="Data",N5,(G5*3+H5+I5)/5)</f>
        <v>0.80000000000000016</v>
      </c>
      <c r="C5" s="115">
        <f t="shared" ref="C5:C14" si="2">IF(D5="Data",Q5,(I5-H5)/5)</f>
        <v>3.2000000000000008E-2</v>
      </c>
      <c r="D5" s="88" t="s">
        <v>232</v>
      </c>
      <c r="F5" s="106"/>
      <c r="G5" s="124">
        <v>0.8</v>
      </c>
      <c r="H5" s="119">
        <f t="shared" si="0"/>
        <v>0.72000000000000008</v>
      </c>
      <c r="I5" s="120">
        <f t="shared" ref="I5:I14" si="3">G5*1.1</f>
        <v>0.88000000000000012</v>
      </c>
      <c r="M5" s="86"/>
      <c r="N5" s="87"/>
      <c r="O5" s="87"/>
      <c r="P5" s="87"/>
      <c r="Q5" s="86"/>
    </row>
    <row r="6" spans="1:17" ht="21.6" customHeight="1" x14ac:dyDescent="0.3">
      <c r="A6" s="10" t="s">
        <v>457</v>
      </c>
      <c r="B6" s="115">
        <f t="shared" si="1"/>
        <v>0.65</v>
      </c>
      <c r="C6" s="115">
        <f t="shared" si="2"/>
        <v>2.6000000000000002E-2</v>
      </c>
      <c r="D6" s="88" t="s">
        <v>232</v>
      </c>
      <c r="F6" s="106"/>
      <c r="G6" s="124">
        <v>0.65</v>
      </c>
      <c r="H6" s="119">
        <f t="shared" si="0"/>
        <v>0.58500000000000008</v>
      </c>
      <c r="I6" s="120">
        <f t="shared" si="3"/>
        <v>0.71500000000000008</v>
      </c>
      <c r="M6" s="86"/>
      <c r="N6" s="87"/>
      <c r="O6" s="87"/>
      <c r="P6" s="87"/>
      <c r="Q6" s="86"/>
    </row>
    <row r="7" spans="1:17" ht="21.6" customHeight="1" x14ac:dyDescent="0.3">
      <c r="A7" s="12" t="s">
        <v>458</v>
      </c>
      <c r="B7" s="115">
        <f t="shared" si="1"/>
        <v>0.65</v>
      </c>
      <c r="C7" s="115">
        <f t="shared" si="2"/>
        <v>2.6000000000000002E-2</v>
      </c>
      <c r="D7" s="88" t="s">
        <v>232</v>
      </c>
      <c r="F7" s="106"/>
      <c r="G7" s="124">
        <v>0.65</v>
      </c>
      <c r="H7" s="119">
        <f t="shared" si="0"/>
        <v>0.58500000000000008</v>
      </c>
      <c r="I7" s="120">
        <f t="shared" si="3"/>
        <v>0.71500000000000008</v>
      </c>
      <c r="M7" s="86"/>
      <c r="N7" s="87"/>
      <c r="O7" s="87"/>
      <c r="P7" s="87"/>
      <c r="Q7" s="86"/>
    </row>
    <row r="8" spans="1:17" ht="21.6" customHeight="1" x14ac:dyDescent="0.3">
      <c r="A8" s="12" t="s">
        <v>459</v>
      </c>
      <c r="B8" s="115">
        <f t="shared" si="1"/>
        <v>0.65</v>
      </c>
      <c r="C8" s="115">
        <f t="shared" si="2"/>
        <v>2.6000000000000002E-2</v>
      </c>
      <c r="D8" s="88" t="s">
        <v>232</v>
      </c>
      <c r="G8" s="125">
        <v>0.65</v>
      </c>
      <c r="H8" s="119">
        <f t="shared" si="0"/>
        <v>0.58500000000000008</v>
      </c>
      <c r="I8" s="120">
        <f t="shared" si="3"/>
        <v>0.71500000000000008</v>
      </c>
      <c r="M8" s="86"/>
      <c r="N8" s="87"/>
      <c r="O8" s="87"/>
      <c r="P8" s="87"/>
      <c r="Q8" s="86"/>
    </row>
    <row r="9" spans="1:17" ht="21.6" customHeight="1" x14ac:dyDescent="0.3">
      <c r="A9" s="12" t="s">
        <v>460</v>
      </c>
      <c r="B9" s="115">
        <f t="shared" si="1"/>
        <v>0.65</v>
      </c>
      <c r="C9" s="115">
        <f t="shared" si="2"/>
        <v>2.6000000000000002E-2</v>
      </c>
      <c r="D9" s="88" t="s">
        <v>232</v>
      </c>
      <c r="F9" s="106"/>
      <c r="G9" s="125">
        <v>0.65</v>
      </c>
      <c r="H9" s="119">
        <f t="shared" si="0"/>
        <v>0.58500000000000008</v>
      </c>
      <c r="I9" s="120">
        <f t="shared" si="3"/>
        <v>0.71500000000000008</v>
      </c>
      <c r="M9" s="86"/>
      <c r="N9" s="87"/>
      <c r="O9" s="87"/>
      <c r="P9" s="87"/>
      <c r="Q9" s="86"/>
    </row>
    <row r="10" spans="1:17" ht="21.6" customHeight="1" x14ac:dyDescent="0.3">
      <c r="A10" s="12" t="s">
        <v>461</v>
      </c>
      <c r="B10" s="115">
        <f t="shared" si="1"/>
        <v>0.9</v>
      </c>
      <c r="C10" s="115">
        <f t="shared" si="2"/>
        <v>3.6000000000000011E-2</v>
      </c>
      <c r="D10" s="88" t="s">
        <v>232</v>
      </c>
      <c r="F10" s="106"/>
      <c r="G10" s="125">
        <v>0.9</v>
      </c>
      <c r="H10" s="119">
        <f t="shared" si="0"/>
        <v>0.81</v>
      </c>
      <c r="I10" s="120">
        <f t="shared" si="3"/>
        <v>0.9900000000000001</v>
      </c>
      <c r="M10" s="86"/>
      <c r="N10" s="87"/>
      <c r="O10" s="87"/>
      <c r="P10" s="87"/>
      <c r="Q10" s="86"/>
    </row>
    <row r="11" spans="1:17" ht="21.6" customHeight="1" x14ac:dyDescent="0.3">
      <c r="A11" s="12" t="s">
        <v>462</v>
      </c>
      <c r="B11" s="115">
        <f t="shared" si="1"/>
        <v>0.9</v>
      </c>
      <c r="C11" s="115">
        <f t="shared" si="2"/>
        <v>3.6000000000000011E-2</v>
      </c>
      <c r="D11" s="88" t="s">
        <v>232</v>
      </c>
      <c r="F11" s="106"/>
      <c r="G11" s="125">
        <v>0.9</v>
      </c>
      <c r="H11" s="119">
        <f t="shared" si="0"/>
        <v>0.81</v>
      </c>
      <c r="I11" s="120">
        <f t="shared" si="3"/>
        <v>0.9900000000000001</v>
      </c>
      <c r="M11" s="86"/>
      <c r="N11" s="87"/>
      <c r="O11" s="87"/>
      <c r="P11" s="87"/>
      <c r="Q11" s="86"/>
    </row>
    <row r="12" spans="1:17" ht="21.6" customHeight="1" x14ac:dyDescent="0.3">
      <c r="A12" s="12" t="s">
        <v>19</v>
      </c>
      <c r="B12" s="115">
        <f t="shared" si="1"/>
        <v>0.80000000000000016</v>
      </c>
      <c r="C12" s="115">
        <f t="shared" si="2"/>
        <v>3.2000000000000008E-2</v>
      </c>
      <c r="D12" s="88" t="s">
        <v>232</v>
      </c>
      <c r="F12" s="106"/>
      <c r="G12" s="125">
        <v>0.8</v>
      </c>
      <c r="H12" s="119">
        <f t="shared" si="0"/>
        <v>0.72000000000000008</v>
      </c>
      <c r="I12" s="120">
        <f t="shared" si="3"/>
        <v>0.88000000000000012</v>
      </c>
      <c r="K12" s="106"/>
      <c r="L12" s="81"/>
      <c r="M12" s="86"/>
      <c r="N12" s="87"/>
      <c r="O12" s="87"/>
      <c r="P12" s="87"/>
      <c r="Q12" s="86"/>
    </row>
    <row r="13" spans="1:17" ht="21.6" customHeight="1" x14ac:dyDescent="0.3">
      <c r="A13" s="12" t="s">
        <v>20</v>
      </c>
      <c r="B13" s="115">
        <f t="shared" si="1"/>
        <v>0.80000000000000016</v>
      </c>
      <c r="C13" s="115">
        <f t="shared" si="2"/>
        <v>3.2000000000000008E-2</v>
      </c>
      <c r="D13" s="88" t="s">
        <v>232</v>
      </c>
      <c r="F13" s="106"/>
      <c r="G13" s="125">
        <v>0.8</v>
      </c>
      <c r="H13" s="119">
        <f t="shared" si="0"/>
        <v>0.72000000000000008</v>
      </c>
      <c r="I13" s="120">
        <f t="shared" si="3"/>
        <v>0.88000000000000012</v>
      </c>
      <c r="M13" s="86"/>
      <c r="N13" s="87"/>
      <c r="O13" s="87"/>
      <c r="P13" s="87"/>
      <c r="Q13" s="86"/>
    </row>
    <row r="14" spans="1:17" ht="21.6" customHeight="1" thickBot="1" x14ac:dyDescent="0.35">
      <c r="A14" s="14" t="s">
        <v>464</v>
      </c>
      <c r="B14" s="115">
        <f t="shared" si="1"/>
        <v>0.7</v>
      </c>
      <c r="C14" s="115">
        <f t="shared" si="2"/>
        <v>2.8000000000000004E-2</v>
      </c>
      <c r="D14" s="88" t="s">
        <v>232</v>
      </c>
      <c r="F14" s="106"/>
      <c r="G14" s="126">
        <v>0.7</v>
      </c>
      <c r="H14" s="121">
        <f t="shared" si="0"/>
        <v>0.63</v>
      </c>
      <c r="I14" s="122">
        <f t="shared" si="3"/>
        <v>0.77</v>
      </c>
      <c r="M14" s="86"/>
      <c r="N14" s="87"/>
      <c r="O14" s="87"/>
      <c r="P14" s="87"/>
      <c r="Q14" s="86"/>
    </row>
  </sheetData>
  <dataValidations count="1">
    <dataValidation type="list" allowBlank="1" showInputMessage="1" showErrorMessage="1" sqref="D3:D14" xr:uid="{3B8924E1-01A7-4BB5-BB86-F806D46C8013}">
      <formula1>"Data,Expert Estimate"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BCE88-D2CC-4DFA-AE86-E2CE0A26AE26}">
  <sheetPr>
    <tabColor theme="0" tint="-9.9978637043366805E-2"/>
  </sheetPr>
  <dimension ref="A1:Q14"/>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8.88671875" style="88"/>
    <col min="14" max="14" width="16" style="88" bestFit="1" customWidth="1"/>
    <col min="15" max="15" width="14.44140625" style="88" bestFit="1" customWidth="1"/>
    <col min="16" max="16" width="14.6640625" style="88" bestFit="1" customWidth="1"/>
    <col min="17" max="17" width="17.6640625" style="88" bestFit="1" customWidth="1"/>
  </cols>
  <sheetData>
    <row r="1" spans="1:17" s="112" customFormat="1" ht="47.4" customHeight="1" thickBot="1" x14ac:dyDescent="0.35">
      <c r="A1" s="109" t="s">
        <v>318</v>
      </c>
      <c r="B1" s="110" t="s">
        <v>237</v>
      </c>
      <c r="C1" s="110" t="s">
        <v>238</v>
      </c>
      <c r="D1" s="111" t="s">
        <v>230</v>
      </c>
      <c r="F1" s="113" t="s">
        <v>233</v>
      </c>
      <c r="G1" s="111" t="s">
        <v>240</v>
      </c>
      <c r="H1" s="111" t="s">
        <v>241</v>
      </c>
      <c r="I1" s="111" t="s">
        <v>242</v>
      </c>
      <c r="K1" s="113" t="s">
        <v>246</v>
      </c>
      <c r="L1" s="114" t="s">
        <v>239</v>
      </c>
      <c r="M1" s="111" t="s">
        <v>234</v>
      </c>
      <c r="N1" s="111" t="s">
        <v>243</v>
      </c>
      <c r="O1" s="111" t="s">
        <v>241</v>
      </c>
      <c r="P1" s="111" t="s">
        <v>242</v>
      </c>
      <c r="Q1" s="111" t="s">
        <v>244</v>
      </c>
    </row>
    <row r="2" spans="1:17" ht="15" thickBot="1" x14ac:dyDescent="0.35">
      <c r="A2" s="102" t="s">
        <v>317</v>
      </c>
      <c r="B2" s="6" t="s">
        <v>6</v>
      </c>
      <c r="C2" s="6" t="s">
        <v>6</v>
      </c>
      <c r="D2" s="5" t="s">
        <v>245</v>
      </c>
      <c r="F2" s="105" t="s">
        <v>317</v>
      </c>
      <c r="G2" s="118" t="s">
        <v>6</v>
      </c>
      <c r="H2" s="118" t="s">
        <v>6</v>
      </c>
      <c r="I2" s="118" t="s">
        <v>6</v>
      </c>
      <c r="K2" s="108" t="s">
        <v>317</v>
      </c>
      <c r="L2" s="5" t="s">
        <v>7</v>
      </c>
      <c r="M2" s="5" t="s">
        <v>7</v>
      </c>
      <c r="N2" s="6" t="s">
        <v>6</v>
      </c>
      <c r="O2" s="6" t="s">
        <v>6</v>
      </c>
      <c r="P2" s="6" t="s">
        <v>6</v>
      </c>
      <c r="Q2" s="6" t="s">
        <v>6</v>
      </c>
    </row>
    <row r="3" spans="1:17" ht="21.6" customHeight="1" x14ac:dyDescent="0.3">
      <c r="A3" s="7" t="s">
        <v>454</v>
      </c>
      <c r="B3" s="115">
        <f>IF(D3="Data",N3,(G3*3+H3+I3)/5)</f>
        <v>0.20000000000000004</v>
      </c>
      <c r="C3" s="115">
        <f>IF(D3="Data",Q3,(I3-H3)/5)</f>
        <v>8.0000000000000019E-3</v>
      </c>
      <c r="D3" s="88" t="s">
        <v>232</v>
      </c>
      <c r="F3" s="106"/>
      <c r="G3" s="123">
        <v>0.2</v>
      </c>
      <c r="H3" s="116">
        <f>G3*0.9</f>
        <v>0.18000000000000002</v>
      </c>
      <c r="I3" s="117">
        <f>G3*1.1</f>
        <v>0.22000000000000003</v>
      </c>
      <c r="K3" s="106"/>
      <c r="L3" s="81"/>
      <c r="M3" s="86"/>
      <c r="N3" s="87"/>
      <c r="O3" s="87"/>
      <c r="P3" s="87"/>
      <c r="Q3" s="86"/>
    </row>
    <row r="4" spans="1:17" ht="21.6" customHeight="1" x14ac:dyDescent="0.3">
      <c r="A4" s="10" t="s">
        <v>455</v>
      </c>
      <c r="B4" s="115">
        <f>IF(D4="Data",N4,(G4*3+H4+I4)/5)</f>
        <v>0.25</v>
      </c>
      <c r="C4" s="115">
        <f>IF(D4="Data",Q4,(I4-H4)/5)</f>
        <v>1.0000000000000004E-2</v>
      </c>
      <c r="D4" s="88" t="s">
        <v>232</v>
      </c>
      <c r="F4" s="106"/>
      <c r="G4" s="124">
        <v>0.25</v>
      </c>
      <c r="H4" s="119">
        <f t="shared" ref="H4:H14" si="0">G4*0.9</f>
        <v>0.22500000000000001</v>
      </c>
      <c r="I4" s="120">
        <f>G4*1.1</f>
        <v>0.27500000000000002</v>
      </c>
      <c r="M4" s="86"/>
      <c r="N4" s="87"/>
      <c r="O4" s="87"/>
      <c r="P4" s="87"/>
      <c r="Q4" s="86"/>
    </row>
    <row r="5" spans="1:17" ht="21.6" customHeight="1" x14ac:dyDescent="0.3">
      <c r="A5" s="12" t="s">
        <v>456</v>
      </c>
      <c r="B5" s="115">
        <f t="shared" ref="B5:B14" si="1">IF(D5="Data",N5,(G5*3+H5+I5)/5)</f>
        <v>0.15</v>
      </c>
      <c r="C5" s="115">
        <f t="shared" ref="C5:C14" si="2">IF(D5="Data",Q5,(I5-H5)/5)</f>
        <v>6.0000000000000001E-3</v>
      </c>
      <c r="D5" s="88" t="s">
        <v>232</v>
      </c>
      <c r="F5" s="106"/>
      <c r="G5" s="124">
        <v>0.15</v>
      </c>
      <c r="H5" s="119">
        <f t="shared" si="0"/>
        <v>0.13500000000000001</v>
      </c>
      <c r="I5" s="120">
        <f t="shared" ref="I5:I14" si="3">G5*1.1</f>
        <v>0.16500000000000001</v>
      </c>
      <c r="M5" s="86"/>
      <c r="N5" s="87"/>
      <c r="O5" s="87"/>
      <c r="P5" s="87"/>
      <c r="Q5" s="86"/>
    </row>
    <row r="6" spans="1:17" ht="21.6" customHeight="1" x14ac:dyDescent="0.3">
      <c r="A6" s="10" t="s">
        <v>457</v>
      </c>
      <c r="B6" s="115">
        <f t="shared" si="1"/>
        <v>0.25</v>
      </c>
      <c r="C6" s="115">
        <f t="shared" si="2"/>
        <v>1.0000000000000004E-2</v>
      </c>
      <c r="D6" s="88" t="s">
        <v>232</v>
      </c>
      <c r="F6" s="106"/>
      <c r="G6" s="124">
        <v>0.25</v>
      </c>
      <c r="H6" s="119">
        <f t="shared" si="0"/>
        <v>0.22500000000000001</v>
      </c>
      <c r="I6" s="120">
        <f t="shared" si="3"/>
        <v>0.27500000000000002</v>
      </c>
      <c r="M6" s="86"/>
      <c r="N6" s="87"/>
      <c r="O6" s="87"/>
      <c r="P6" s="87"/>
      <c r="Q6" s="86"/>
    </row>
    <row r="7" spans="1:17" ht="21.6" customHeight="1" x14ac:dyDescent="0.3">
      <c r="A7" s="12" t="s">
        <v>458</v>
      </c>
      <c r="B7" s="115">
        <f t="shared" si="1"/>
        <v>0.25</v>
      </c>
      <c r="C7" s="115">
        <f t="shared" si="2"/>
        <v>1.0000000000000004E-2</v>
      </c>
      <c r="D7" s="88" t="s">
        <v>232</v>
      </c>
      <c r="F7" s="106"/>
      <c r="G7" s="124">
        <v>0.25</v>
      </c>
      <c r="H7" s="119">
        <f t="shared" si="0"/>
        <v>0.22500000000000001</v>
      </c>
      <c r="I7" s="120">
        <f t="shared" si="3"/>
        <v>0.27500000000000002</v>
      </c>
      <c r="M7" s="86"/>
      <c r="N7" s="87"/>
      <c r="O7" s="87"/>
      <c r="P7" s="87"/>
      <c r="Q7" s="86"/>
    </row>
    <row r="8" spans="1:17" ht="21.6" customHeight="1" x14ac:dyDescent="0.3">
      <c r="A8" s="12" t="s">
        <v>459</v>
      </c>
      <c r="B8" s="115">
        <f t="shared" si="1"/>
        <v>0.25</v>
      </c>
      <c r="C8" s="115">
        <f t="shared" si="2"/>
        <v>1.0000000000000004E-2</v>
      </c>
      <c r="D8" s="88" t="s">
        <v>232</v>
      </c>
      <c r="G8" s="125">
        <v>0.25</v>
      </c>
      <c r="H8" s="119">
        <f t="shared" si="0"/>
        <v>0.22500000000000001</v>
      </c>
      <c r="I8" s="120">
        <f t="shared" si="3"/>
        <v>0.27500000000000002</v>
      </c>
      <c r="M8" s="86"/>
      <c r="N8" s="87"/>
      <c r="O8" s="87"/>
      <c r="P8" s="87"/>
      <c r="Q8" s="86"/>
    </row>
    <row r="9" spans="1:17" ht="21.6" customHeight="1" x14ac:dyDescent="0.3">
      <c r="A9" s="12" t="s">
        <v>460</v>
      </c>
      <c r="B9" s="115">
        <f t="shared" si="1"/>
        <v>0.10000000000000002</v>
      </c>
      <c r="C9" s="115">
        <f t="shared" si="2"/>
        <v>4.000000000000001E-3</v>
      </c>
      <c r="D9" s="88" t="s">
        <v>232</v>
      </c>
      <c r="F9" s="106"/>
      <c r="G9" s="125">
        <v>0.1</v>
      </c>
      <c r="H9" s="119">
        <f t="shared" si="0"/>
        <v>9.0000000000000011E-2</v>
      </c>
      <c r="I9" s="120">
        <f t="shared" si="3"/>
        <v>0.11000000000000001</v>
      </c>
      <c r="M9" s="86"/>
      <c r="N9" s="87"/>
      <c r="O9" s="87"/>
      <c r="P9" s="87"/>
      <c r="Q9" s="86"/>
    </row>
    <row r="10" spans="1:17" ht="21.6" customHeight="1" x14ac:dyDescent="0.3">
      <c r="A10" s="12" t="s">
        <v>461</v>
      </c>
      <c r="B10" s="115">
        <f t="shared" si="1"/>
        <v>0.01</v>
      </c>
      <c r="C10" s="115">
        <f t="shared" si="2"/>
        <v>4.0000000000000002E-4</v>
      </c>
      <c r="D10" s="88" t="s">
        <v>232</v>
      </c>
      <c r="F10" s="106"/>
      <c r="G10" s="125">
        <v>0.01</v>
      </c>
      <c r="H10" s="119">
        <f t="shared" si="0"/>
        <v>9.0000000000000011E-3</v>
      </c>
      <c r="I10" s="120">
        <f t="shared" si="3"/>
        <v>1.1000000000000001E-2</v>
      </c>
      <c r="M10" s="86"/>
      <c r="N10" s="87"/>
      <c r="O10" s="87"/>
      <c r="P10" s="87"/>
      <c r="Q10" s="86"/>
    </row>
    <row r="11" spans="1:17" ht="21.6" customHeight="1" x14ac:dyDescent="0.3">
      <c r="A11" s="12" t="s">
        <v>462</v>
      </c>
      <c r="B11" s="115">
        <f t="shared" si="1"/>
        <v>0.01</v>
      </c>
      <c r="C11" s="115">
        <f t="shared" si="2"/>
        <v>4.0000000000000002E-4</v>
      </c>
      <c r="D11" s="88" t="s">
        <v>232</v>
      </c>
      <c r="F11" s="106"/>
      <c r="G11" s="125">
        <v>0.01</v>
      </c>
      <c r="H11" s="119">
        <f t="shared" si="0"/>
        <v>9.0000000000000011E-3</v>
      </c>
      <c r="I11" s="120">
        <f t="shared" si="3"/>
        <v>1.1000000000000001E-2</v>
      </c>
      <c r="M11" s="86"/>
      <c r="N11" s="87"/>
      <c r="O11" s="87"/>
      <c r="P11" s="87"/>
      <c r="Q11" s="86"/>
    </row>
    <row r="12" spans="1:17" ht="21.6" customHeight="1" x14ac:dyDescent="0.3">
      <c r="A12" s="12" t="s">
        <v>19</v>
      </c>
      <c r="B12" s="115">
        <f t="shared" si="1"/>
        <v>0.01</v>
      </c>
      <c r="C12" s="115">
        <f t="shared" si="2"/>
        <v>4.0000000000000002E-4</v>
      </c>
      <c r="D12" s="88" t="s">
        <v>232</v>
      </c>
      <c r="F12" s="106"/>
      <c r="G12" s="125">
        <v>0.01</v>
      </c>
      <c r="H12" s="119">
        <f t="shared" si="0"/>
        <v>9.0000000000000011E-3</v>
      </c>
      <c r="I12" s="120">
        <f t="shared" si="3"/>
        <v>1.1000000000000001E-2</v>
      </c>
      <c r="K12" s="106"/>
      <c r="L12" s="81"/>
      <c r="M12" s="86"/>
      <c r="N12" s="87"/>
      <c r="O12" s="87"/>
      <c r="P12" s="87"/>
      <c r="Q12" s="86"/>
    </row>
    <row r="13" spans="1:17" ht="21.6" customHeight="1" x14ac:dyDescent="0.3">
      <c r="A13" s="12" t="s">
        <v>20</v>
      </c>
      <c r="B13" s="115">
        <f t="shared" si="1"/>
        <v>0.25</v>
      </c>
      <c r="C13" s="115">
        <f t="shared" si="2"/>
        <v>1.0000000000000004E-2</v>
      </c>
      <c r="D13" s="88" t="s">
        <v>232</v>
      </c>
      <c r="F13" s="106"/>
      <c r="G13" s="125">
        <v>0.25</v>
      </c>
      <c r="H13" s="119">
        <f t="shared" si="0"/>
        <v>0.22500000000000001</v>
      </c>
      <c r="I13" s="120">
        <f t="shared" si="3"/>
        <v>0.27500000000000002</v>
      </c>
      <c r="M13" s="86"/>
      <c r="N13" s="87"/>
      <c r="O13" s="87"/>
      <c r="P13" s="87"/>
      <c r="Q13" s="86"/>
    </row>
    <row r="14" spans="1:17" ht="21.6" customHeight="1" thickBot="1" x14ac:dyDescent="0.35">
      <c r="A14" s="14" t="s">
        <v>464</v>
      </c>
      <c r="B14" s="115">
        <f t="shared" si="1"/>
        <v>0.25</v>
      </c>
      <c r="C14" s="115">
        <f t="shared" si="2"/>
        <v>1.0000000000000004E-2</v>
      </c>
      <c r="D14" s="88" t="s">
        <v>232</v>
      </c>
      <c r="F14" s="106"/>
      <c r="G14" s="126">
        <v>0.25</v>
      </c>
      <c r="H14" s="121">
        <f t="shared" si="0"/>
        <v>0.22500000000000001</v>
      </c>
      <c r="I14" s="122">
        <f t="shared" si="3"/>
        <v>0.27500000000000002</v>
      </c>
      <c r="M14" s="86"/>
      <c r="N14" s="87"/>
      <c r="O14" s="87"/>
      <c r="P14" s="87"/>
      <c r="Q14" s="86"/>
    </row>
  </sheetData>
  <dataValidations count="1">
    <dataValidation type="list" allowBlank="1" showInputMessage="1" showErrorMessage="1" sqref="D3:D14" xr:uid="{ABAFD39D-6969-4223-8256-22B5E6769E1B}">
      <formula1>"Data,Expert Estimate"</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AC39-45D7-4F6C-B536-C954B8B4DA1C}">
  <sheetPr>
    <tabColor theme="0" tint="-9.9978637043366805E-2"/>
  </sheetPr>
  <dimension ref="A1:Q14"/>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8.88671875" style="88"/>
    <col min="14" max="14" width="16" style="88" bestFit="1" customWidth="1"/>
    <col min="15" max="15" width="14.44140625" style="88" bestFit="1" customWidth="1"/>
    <col min="16" max="16" width="14.6640625" style="88" bestFit="1" customWidth="1"/>
    <col min="17" max="17" width="17.6640625" style="88" bestFit="1" customWidth="1"/>
  </cols>
  <sheetData>
    <row r="1" spans="1:17" s="112" customFormat="1" ht="47.4" customHeight="1" thickBot="1" x14ac:dyDescent="0.35">
      <c r="A1" s="109" t="s">
        <v>318</v>
      </c>
      <c r="B1" s="2" t="s">
        <v>271</v>
      </c>
      <c r="C1" s="2" t="s">
        <v>272</v>
      </c>
      <c r="D1" s="111" t="s">
        <v>230</v>
      </c>
      <c r="F1" s="113" t="s">
        <v>233</v>
      </c>
      <c r="G1" s="111" t="s">
        <v>240</v>
      </c>
      <c r="H1" s="111" t="s">
        <v>241</v>
      </c>
      <c r="I1" s="111" t="s">
        <v>242</v>
      </c>
      <c r="K1" s="113" t="s">
        <v>246</v>
      </c>
      <c r="L1" s="114" t="s">
        <v>239</v>
      </c>
      <c r="M1" s="111" t="s">
        <v>234</v>
      </c>
      <c r="N1" s="111" t="s">
        <v>243</v>
      </c>
      <c r="O1" s="111" t="s">
        <v>241</v>
      </c>
      <c r="P1" s="111" t="s">
        <v>242</v>
      </c>
      <c r="Q1" s="111" t="s">
        <v>244</v>
      </c>
    </row>
    <row r="2" spans="1:17" ht="15" thickBot="1" x14ac:dyDescent="0.35">
      <c r="A2" s="102" t="s">
        <v>317</v>
      </c>
      <c r="B2" s="5" t="s">
        <v>5</v>
      </c>
      <c r="C2" s="5" t="s">
        <v>5</v>
      </c>
      <c r="D2" s="5" t="s">
        <v>245</v>
      </c>
      <c r="F2" s="105" t="s">
        <v>317</v>
      </c>
      <c r="G2" s="5" t="s">
        <v>5</v>
      </c>
      <c r="H2" s="5" t="s">
        <v>5</v>
      </c>
      <c r="I2" s="5" t="s">
        <v>5</v>
      </c>
      <c r="K2" s="108" t="s">
        <v>317</v>
      </c>
      <c r="L2" s="5" t="s">
        <v>7</v>
      </c>
      <c r="M2" s="5" t="s">
        <v>7</v>
      </c>
      <c r="N2" s="6" t="s">
        <v>6</v>
      </c>
      <c r="O2" s="6" t="s">
        <v>6</v>
      </c>
      <c r="P2" s="6" t="s">
        <v>6</v>
      </c>
      <c r="Q2" s="6" t="s">
        <v>6</v>
      </c>
    </row>
    <row r="3" spans="1:17" ht="21.6" customHeight="1" x14ac:dyDescent="0.3">
      <c r="A3" s="7" t="s">
        <v>454</v>
      </c>
      <c r="B3" s="115">
        <f>IF(D3="Data",N3,(G3*3+H3+I3)/5)</f>
        <v>0</v>
      </c>
      <c r="C3" s="115">
        <f>IF(D3="Data",Q3,(I3-H3)/5)</f>
        <v>0</v>
      </c>
      <c r="D3" s="88" t="s">
        <v>232</v>
      </c>
      <c r="F3" s="106"/>
      <c r="G3" s="9">
        <v>0</v>
      </c>
      <c r="H3" s="116">
        <f>G3*0.9</f>
        <v>0</v>
      </c>
      <c r="I3" s="117">
        <f>G3*1.1</f>
        <v>0</v>
      </c>
      <c r="K3" s="106"/>
      <c r="L3" s="81"/>
      <c r="M3" s="86"/>
      <c r="N3" s="87"/>
      <c r="O3" s="87"/>
      <c r="P3" s="87"/>
      <c r="Q3" s="86"/>
    </row>
    <row r="4" spans="1:17" ht="21.6" customHeight="1" x14ac:dyDescent="0.3">
      <c r="A4" s="10" t="s">
        <v>455</v>
      </c>
      <c r="B4" s="115">
        <f>IF(D4="Data",N4,(G4*3+H4+I4)/5)</f>
        <v>0</v>
      </c>
      <c r="C4" s="115">
        <f>IF(D4="Data",Q4,(I4-H4)/5)</f>
        <v>0</v>
      </c>
      <c r="D4" s="88" t="s">
        <v>232</v>
      </c>
      <c r="F4" s="106"/>
      <c r="G4" s="11">
        <v>0</v>
      </c>
      <c r="H4" s="119">
        <f t="shared" ref="H4:H14" si="0">G4*0.9</f>
        <v>0</v>
      </c>
      <c r="I4" s="120">
        <f>G4*1.1</f>
        <v>0</v>
      </c>
      <c r="M4" s="86"/>
      <c r="N4" s="87"/>
      <c r="O4" s="87"/>
      <c r="P4" s="87"/>
      <c r="Q4" s="86"/>
    </row>
    <row r="5" spans="1:17" ht="21.6" customHeight="1" x14ac:dyDescent="0.3">
      <c r="A5" s="12" t="s">
        <v>456</v>
      </c>
      <c r="B5" s="115">
        <f t="shared" ref="B5:B14" si="1">IF(D5="Data",N5,(G5*3+H5+I5)/5)</f>
        <v>20</v>
      </c>
      <c r="C5" s="115">
        <f t="shared" ref="C5:C14" si="2">IF(D5="Data",Q5,(I5-H5)/5)</f>
        <v>0.8</v>
      </c>
      <c r="D5" s="88" t="s">
        <v>232</v>
      </c>
      <c r="F5" s="106"/>
      <c r="G5" s="11">
        <v>20</v>
      </c>
      <c r="H5" s="119">
        <f t="shared" si="0"/>
        <v>18</v>
      </c>
      <c r="I5" s="120">
        <f t="shared" ref="I5:I14" si="3">G5*1.1</f>
        <v>22</v>
      </c>
      <c r="M5" s="86"/>
      <c r="N5" s="87"/>
      <c r="O5" s="87"/>
      <c r="P5" s="87"/>
      <c r="Q5" s="86"/>
    </row>
    <row r="6" spans="1:17" ht="21.6" customHeight="1" x14ac:dyDescent="0.3">
      <c r="A6" s="10" t="s">
        <v>457</v>
      </c>
      <c r="B6" s="115">
        <f t="shared" si="1"/>
        <v>20</v>
      </c>
      <c r="C6" s="115">
        <f t="shared" si="2"/>
        <v>0.8</v>
      </c>
      <c r="D6" s="88" t="s">
        <v>232</v>
      </c>
      <c r="F6" s="106"/>
      <c r="G6" s="11">
        <v>20</v>
      </c>
      <c r="H6" s="119">
        <f t="shared" si="0"/>
        <v>18</v>
      </c>
      <c r="I6" s="120">
        <f t="shared" si="3"/>
        <v>22</v>
      </c>
      <c r="M6" s="86"/>
      <c r="N6" s="87"/>
      <c r="O6" s="87"/>
      <c r="P6" s="87"/>
      <c r="Q6" s="86"/>
    </row>
    <row r="7" spans="1:17" ht="21.6" customHeight="1" x14ac:dyDescent="0.3">
      <c r="A7" s="12" t="s">
        <v>458</v>
      </c>
      <c r="B7" s="115">
        <f t="shared" si="1"/>
        <v>20</v>
      </c>
      <c r="C7" s="115">
        <f t="shared" si="2"/>
        <v>0.8</v>
      </c>
      <c r="D7" s="88" t="s">
        <v>232</v>
      </c>
      <c r="F7" s="106"/>
      <c r="G7" s="11">
        <v>20</v>
      </c>
      <c r="H7" s="119">
        <f t="shared" si="0"/>
        <v>18</v>
      </c>
      <c r="I7" s="120">
        <f t="shared" si="3"/>
        <v>22</v>
      </c>
      <c r="M7" s="86"/>
      <c r="N7" s="87"/>
      <c r="O7" s="87"/>
      <c r="P7" s="87"/>
      <c r="Q7" s="86"/>
    </row>
    <row r="8" spans="1:17" ht="21.6" customHeight="1" x14ac:dyDescent="0.3">
      <c r="A8" s="12" t="s">
        <v>459</v>
      </c>
      <c r="B8" s="115">
        <f t="shared" si="1"/>
        <v>20</v>
      </c>
      <c r="C8" s="115">
        <f t="shared" si="2"/>
        <v>0.8</v>
      </c>
      <c r="D8" s="88" t="s">
        <v>232</v>
      </c>
      <c r="G8" s="13">
        <v>20</v>
      </c>
      <c r="H8" s="119">
        <f t="shared" si="0"/>
        <v>18</v>
      </c>
      <c r="I8" s="120">
        <f t="shared" si="3"/>
        <v>22</v>
      </c>
      <c r="M8" s="86"/>
      <c r="N8" s="87"/>
      <c r="O8" s="87"/>
      <c r="P8" s="87"/>
      <c r="Q8" s="86"/>
    </row>
    <row r="9" spans="1:17" ht="21.6" customHeight="1" x14ac:dyDescent="0.3">
      <c r="A9" s="12" t="s">
        <v>460</v>
      </c>
      <c r="B9" s="115">
        <f t="shared" si="1"/>
        <v>20</v>
      </c>
      <c r="C9" s="115">
        <f t="shared" si="2"/>
        <v>0.8</v>
      </c>
      <c r="D9" s="88" t="s">
        <v>232</v>
      </c>
      <c r="F9" s="106"/>
      <c r="G9" s="13">
        <v>20</v>
      </c>
      <c r="H9" s="119">
        <f t="shared" si="0"/>
        <v>18</v>
      </c>
      <c r="I9" s="120">
        <f t="shared" si="3"/>
        <v>22</v>
      </c>
      <c r="M9" s="86"/>
      <c r="N9" s="87"/>
      <c r="O9" s="87"/>
      <c r="P9" s="87"/>
      <c r="Q9" s="86"/>
    </row>
    <row r="10" spans="1:17" ht="21.6" customHeight="1" x14ac:dyDescent="0.3">
      <c r="A10" s="12" t="s">
        <v>461</v>
      </c>
      <c r="B10" s="115">
        <f t="shared" si="1"/>
        <v>20</v>
      </c>
      <c r="C10" s="115">
        <f t="shared" si="2"/>
        <v>0.8</v>
      </c>
      <c r="D10" s="88" t="s">
        <v>232</v>
      </c>
      <c r="F10" s="106"/>
      <c r="G10" s="13">
        <v>20</v>
      </c>
      <c r="H10" s="119">
        <f t="shared" si="0"/>
        <v>18</v>
      </c>
      <c r="I10" s="120">
        <f t="shared" si="3"/>
        <v>22</v>
      </c>
      <c r="M10" s="86"/>
      <c r="N10" s="87"/>
      <c r="O10" s="87"/>
      <c r="P10" s="87"/>
      <c r="Q10" s="86"/>
    </row>
    <row r="11" spans="1:17" ht="21.6" customHeight="1" x14ac:dyDescent="0.3">
      <c r="A11" s="12" t="s">
        <v>462</v>
      </c>
      <c r="B11" s="115">
        <f t="shared" si="1"/>
        <v>20</v>
      </c>
      <c r="C11" s="115">
        <f t="shared" si="2"/>
        <v>0.8</v>
      </c>
      <c r="D11" s="88" t="s">
        <v>232</v>
      </c>
      <c r="F11" s="106"/>
      <c r="G11" s="13">
        <v>20</v>
      </c>
      <c r="H11" s="119">
        <f t="shared" si="0"/>
        <v>18</v>
      </c>
      <c r="I11" s="120">
        <f t="shared" si="3"/>
        <v>22</v>
      </c>
      <c r="M11" s="86"/>
      <c r="N11" s="87"/>
      <c r="O11" s="87"/>
      <c r="P11" s="87"/>
      <c r="Q11" s="86"/>
    </row>
    <row r="12" spans="1:17" ht="21.6" customHeight="1" x14ac:dyDescent="0.3">
      <c r="A12" s="12" t="s">
        <v>19</v>
      </c>
      <c r="B12" s="115">
        <f t="shared" si="1"/>
        <v>20</v>
      </c>
      <c r="C12" s="115">
        <f t="shared" si="2"/>
        <v>0.8</v>
      </c>
      <c r="D12" s="88" t="s">
        <v>232</v>
      </c>
      <c r="F12" s="106"/>
      <c r="G12" s="13">
        <v>20</v>
      </c>
      <c r="H12" s="119">
        <f t="shared" si="0"/>
        <v>18</v>
      </c>
      <c r="I12" s="120">
        <f t="shared" si="3"/>
        <v>22</v>
      </c>
      <c r="K12" s="106"/>
      <c r="L12" s="81"/>
      <c r="M12" s="86"/>
      <c r="N12" s="87"/>
      <c r="O12" s="87"/>
      <c r="P12" s="87"/>
      <c r="Q12" s="86"/>
    </row>
    <row r="13" spans="1:17" ht="21.6" customHeight="1" x14ac:dyDescent="0.3">
      <c r="A13" s="12" t="s">
        <v>20</v>
      </c>
      <c r="B13" s="115">
        <f t="shared" si="1"/>
        <v>20</v>
      </c>
      <c r="C13" s="115">
        <f t="shared" si="2"/>
        <v>0.8</v>
      </c>
      <c r="D13" s="88" t="s">
        <v>232</v>
      </c>
      <c r="F13" s="106"/>
      <c r="G13" s="13">
        <v>20</v>
      </c>
      <c r="H13" s="119">
        <f t="shared" si="0"/>
        <v>18</v>
      </c>
      <c r="I13" s="120">
        <f t="shared" si="3"/>
        <v>22</v>
      </c>
      <c r="M13" s="86"/>
      <c r="N13" s="87"/>
      <c r="O13" s="87"/>
      <c r="P13" s="87"/>
      <c r="Q13" s="86"/>
    </row>
    <row r="14" spans="1:17" ht="21.6" customHeight="1" thickBot="1" x14ac:dyDescent="0.35">
      <c r="A14" s="14" t="s">
        <v>464</v>
      </c>
      <c r="B14" s="115">
        <f t="shared" si="1"/>
        <v>20</v>
      </c>
      <c r="C14" s="115">
        <f t="shared" si="2"/>
        <v>0.8</v>
      </c>
      <c r="D14" s="88" t="s">
        <v>232</v>
      </c>
      <c r="F14" s="106"/>
      <c r="G14" s="15">
        <v>20</v>
      </c>
      <c r="H14" s="121">
        <f t="shared" si="0"/>
        <v>18</v>
      </c>
      <c r="I14" s="122">
        <f t="shared" si="3"/>
        <v>22</v>
      </c>
      <c r="M14" s="86"/>
      <c r="N14" s="87"/>
      <c r="O14" s="87"/>
      <c r="P14" s="87"/>
      <c r="Q14" s="86"/>
    </row>
  </sheetData>
  <dataValidations count="1">
    <dataValidation type="list" allowBlank="1" showInputMessage="1" showErrorMessage="1" sqref="D3:D14" xr:uid="{7C1A0AAB-7B54-4734-A8B3-09AE1F4ABDC4}">
      <formula1>"Data,Expert Estimate"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7E757-2FE0-4F68-86D4-0C1D136268CF}">
  <sheetPr>
    <tabColor theme="0" tint="-9.9978637043366805E-2"/>
  </sheetPr>
  <dimension ref="A1:Q14"/>
  <sheetViews>
    <sheetView workbookViewId="0">
      <selection activeCell="F18" sqref="F18"/>
    </sheetView>
  </sheetViews>
  <sheetFormatPr defaultRowHeight="14.4" x14ac:dyDescent="0.3"/>
  <cols>
    <col min="1" max="1" width="22.109375" style="103" bestFit="1" customWidth="1"/>
    <col min="2" max="2" width="14.441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9.109375" style="88"/>
    <col min="14" max="14" width="16" style="88" bestFit="1" customWidth="1"/>
    <col min="15" max="15" width="14.44140625" style="88" bestFit="1" customWidth="1"/>
    <col min="16" max="16" width="14.6640625" style="88" bestFit="1" customWidth="1"/>
    <col min="17" max="17" width="17.6640625" style="88" bestFit="1" customWidth="1"/>
  </cols>
  <sheetData>
    <row r="1" spans="1:17" s="112" customFormat="1" ht="47.4" customHeight="1" thickBot="1" x14ac:dyDescent="0.35">
      <c r="A1" s="109" t="s">
        <v>318</v>
      </c>
      <c r="B1" s="2" t="s">
        <v>514</v>
      </c>
      <c r="C1" s="2" t="s">
        <v>382</v>
      </c>
      <c r="D1" s="111" t="s">
        <v>230</v>
      </c>
      <c r="F1" s="113" t="s">
        <v>233</v>
      </c>
      <c r="G1" s="111" t="s">
        <v>240</v>
      </c>
      <c r="H1" s="111" t="s">
        <v>241</v>
      </c>
      <c r="I1" s="111" t="s">
        <v>242</v>
      </c>
      <c r="K1" s="113" t="s">
        <v>246</v>
      </c>
      <c r="L1" s="114" t="s">
        <v>239</v>
      </c>
      <c r="M1" s="111" t="s">
        <v>234</v>
      </c>
      <c r="N1" s="111" t="s">
        <v>243</v>
      </c>
      <c r="O1" s="111" t="s">
        <v>241</v>
      </c>
      <c r="P1" s="111" t="s">
        <v>242</v>
      </c>
      <c r="Q1" s="111" t="s">
        <v>244</v>
      </c>
    </row>
    <row r="2" spans="1:17" ht="15" thickBot="1" x14ac:dyDescent="0.35">
      <c r="A2" s="102" t="s">
        <v>317</v>
      </c>
      <c r="B2" s="5" t="s">
        <v>5</v>
      </c>
      <c r="C2" s="5" t="s">
        <v>5</v>
      </c>
      <c r="D2" s="5" t="s">
        <v>245</v>
      </c>
      <c r="F2" s="105" t="s">
        <v>317</v>
      </c>
      <c r="G2" s="5" t="s">
        <v>5</v>
      </c>
      <c r="H2" s="5" t="s">
        <v>5</v>
      </c>
      <c r="I2" s="5" t="s">
        <v>5</v>
      </c>
      <c r="K2" s="108" t="s">
        <v>317</v>
      </c>
      <c r="L2" s="5" t="s">
        <v>7</v>
      </c>
      <c r="M2" s="5" t="s">
        <v>7</v>
      </c>
      <c r="N2" s="6" t="s">
        <v>6</v>
      </c>
      <c r="O2" s="6" t="s">
        <v>6</v>
      </c>
      <c r="P2" s="6" t="s">
        <v>6</v>
      </c>
      <c r="Q2" s="6" t="s">
        <v>6</v>
      </c>
    </row>
    <row r="3" spans="1:17" ht="21.6" customHeight="1" x14ac:dyDescent="0.3">
      <c r="A3" s="7" t="s">
        <v>454</v>
      </c>
      <c r="B3" s="115">
        <f>IF(D3="Data",N3,(G3*3+H3+I3)/5)</f>
        <v>45.651611785872234</v>
      </c>
      <c r="C3" s="115">
        <f>IF(D3="Data",Q3,(I3-H3)/5)</f>
        <v>1.8260644714348899</v>
      </c>
      <c r="D3" s="88" t="s">
        <v>232</v>
      </c>
      <c r="F3" s="106"/>
      <c r="G3" s="9">
        <v>45.651611785872234</v>
      </c>
      <c r="H3" s="116">
        <f>G3*0.9</f>
        <v>41.086450607285009</v>
      </c>
      <c r="I3" s="117">
        <f>G3*1.1</f>
        <v>50.216772964459459</v>
      </c>
      <c r="K3" s="106"/>
      <c r="L3" s="81"/>
      <c r="M3" s="86"/>
      <c r="N3" s="87"/>
      <c r="O3" s="87"/>
      <c r="P3" s="87"/>
      <c r="Q3" s="86"/>
    </row>
    <row r="4" spans="1:17" ht="21.6" customHeight="1" x14ac:dyDescent="0.3">
      <c r="A4" s="10" t="s">
        <v>455</v>
      </c>
      <c r="B4" s="115">
        <f>IF(D4="Data",N4,(G4*3+H4+I4)/5)</f>
        <v>46.720917289078344</v>
      </c>
      <c r="C4" s="115">
        <f>IF(D4="Data",Q4,(I4-H4)/5)</f>
        <v>1.8688366915631334</v>
      </c>
      <c r="D4" s="88" t="s">
        <v>232</v>
      </c>
      <c r="F4" s="106"/>
      <c r="G4" s="11">
        <v>46.720917289078344</v>
      </c>
      <c r="H4" s="119">
        <f t="shared" ref="H4:H14" si="0">G4*0.9</f>
        <v>42.048825560170513</v>
      </c>
      <c r="I4" s="120">
        <f>G4*1.1</f>
        <v>51.393009017986181</v>
      </c>
      <c r="M4" s="86"/>
      <c r="N4" s="87"/>
      <c r="O4" s="87"/>
      <c r="P4" s="87"/>
      <c r="Q4" s="86"/>
    </row>
    <row r="5" spans="1:17" ht="21.6" customHeight="1" x14ac:dyDescent="0.3">
      <c r="A5" s="12" t="s">
        <v>456</v>
      </c>
      <c r="B5" s="115">
        <f t="shared" ref="B5:B14" si="1">IF(D5="Data",N5,(G5*3+H5+I5)/5)</f>
        <v>65.71851332863028</v>
      </c>
      <c r="C5" s="115">
        <f t="shared" ref="C5:C14" si="2">IF(D5="Data",Q5,(I5-H5)/5)</f>
        <v>2.6287405331452121</v>
      </c>
      <c r="D5" s="88" t="s">
        <v>232</v>
      </c>
      <c r="F5" s="106"/>
      <c r="G5" s="11">
        <v>65.718513328630266</v>
      </c>
      <c r="H5" s="119">
        <f t="shared" si="0"/>
        <v>59.146661995767239</v>
      </c>
      <c r="I5" s="120">
        <f t="shared" ref="I5:I14" si="3">G5*1.1</f>
        <v>72.2903646614933</v>
      </c>
      <c r="M5" s="86"/>
      <c r="N5" s="87"/>
      <c r="O5" s="87"/>
      <c r="P5" s="87"/>
      <c r="Q5" s="86"/>
    </row>
    <row r="6" spans="1:17" ht="21.6" customHeight="1" x14ac:dyDescent="0.3">
      <c r="A6" s="10" t="s">
        <v>457</v>
      </c>
      <c r="B6" s="115">
        <f t="shared" si="1"/>
        <v>48.734642922099887</v>
      </c>
      <c r="C6" s="115">
        <f t="shared" si="2"/>
        <v>1.9493857168839965</v>
      </c>
      <c r="D6" s="88" t="s">
        <v>232</v>
      </c>
      <c r="F6" s="106"/>
      <c r="G6" s="11">
        <v>48.73464292209988</v>
      </c>
      <c r="H6" s="119">
        <f t="shared" si="0"/>
        <v>43.861178629889892</v>
      </c>
      <c r="I6" s="120">
        <f t="shared" si="3"/>
        <v>53.608107214309875</v>
      </c>
      <c r="M6" s="86"/>
      <c r="N6" s="87"/>
      <c r="O6" s="87"/>
      <c r="P6" s="87"/>
      <c r="Q6" s="86"/>
    </row>
    <row r="7" spans="1:17" ht="21.6" customHeight="1" x14ac:dyDescent="0.3">
      <c r="A7" s="12" t="s">
        <v>458</v>
      </c>
      <c r="B7" s="115">
        <f t="shared" si="1"/>
        <v>55.875899198018999</v>
      </c>
      <c r="C7" s="115">
        <f t="shared" si="2"/>
        <v>2.2350359679207612</v>
      </c>
      <c r="D7" s="88" t="s">
        <v>232</v>
      </c>
      <c r="F7" s="106"/>
      <c r="G7" s="11">
        <v>55.875899198018999</v>
      </c>
      <c r="H7" s="119">
        <f t="shared" si="0"/>
        <v>50.288309278217099</v>
      </c>
      <c r="I7" s="120">
        <f t="shared" si="3"/>
        <v>61.463489117820906</v>
      </c>
      <c r="M7" s="86"/>
      <c r="N7" s="87"/>
      <c r="O7" s="87"/>
      <c r="P7" s="87"/>
      <c r="Q7" s="86"/>
    </row>
    <row r="8" spans="1:17" ht="21.6" customHeight="1" x14ac:dyDescent="0.3">
      <c r="A8" s="12" t="s">
        <v>459</v>
      </c>
      <c r="B8" s="115">
        <f t="shared" si="1"/>
        <v>55.875899198018999</v>
      </c>
      <c r="C8" s="115">
        <f t="shared" si="2"/>
        <v>2.2350359679207612</v>
      </c>
      <c r="D8" s="88" t="s">
        <v>232</v>
      </c>
      <c r="G8" s="13">
        <v>55.875899198018999</v>
      </c>
      <c r="H8" s="119">
        <f t="shared" si="0"/>
        <v>50.288309278217099</v>
      </c>
      <c r="I8" s="120">
        <f t="shared" si="3"/>
        <v>61.463489117820906</v>
      </c>
      <c r="M8" s="86"/>
      <c r="N8" s="87"/>
      <c r="O8" s="87"/>
      <c r="P8" s="87"/>
      <c r="Q8" s="86"/>
    </row>
    <row r="9" spans="1:17" ht="21.6" customHeight="1" x14ac:dyDescent="0.3">
      <c r="A9" s="12" t="s">
        <v>460</v>
      </c>
      <c r="B9" s="115">
        <f t="shared" si="1"/>
        <v>48.734642922099887</v>
      </c>
      <c r="C9" s="115">
        <f t="shared" si="2"/>
        <v>1.9493857168839965</v>
      </c>
      <c r="D9" s="88" t="s">
        <v>232</v>
      </c>
      <c r="F9" s="106"/>
      <c r="G9" s="13">
        <v>48.73464292209988</v>
      </c>
      <c r="H9" s="119">
        <f t="shared" si="0"/>
        <v>43.861178629889892</v>
      </c>
      <c r="I9" s="120">
        <f t="shared" si="3"/>
        <v>53.608107214309875</v>
      </c>
      <c r="M9" s="86"/>
      <c r="N9" s="87"/>
      <c r="O9" s="87"/>
      <c r="P9" s="87"/>
      <c r="Q9" s="86"/>
    </row>
    <row r="10" spans="1:17" ht="21.6" customHeight="1" x14ac:dyDescent="0.3">
      <c r="A10" s="12" t="s">
        <v>461</v>
      </c>
      <c r="B10" s="115">
        <f t="shared" si="1"/>
        <v>48.734642922099887</v>
      </c>
      <c r="C10" s="115">
        <f t="shared" si="2"/>
        <v>1.9493857168839965</v>
      </c>
      <c r="D10" s="88" t="s">
        <v>232</v>
      </c>
      <c r="F10" s="106"/>
      <c r="G10" s="13">
        <v>48.73464292209988</v>
      </c>
      <c r="H10" s="119">
        <f t="shared" si="0"/>
        <v>43.861178629889892</v>
      </c>
      <c r="I10" s="120">
        <f t="shared" si="3"/>
        <v>53.608107214309875</v>
      </c>
      <c r="M10" s="86"/>
      <c r="N10" s="87"/>
      <c r="O10" s="87"/>
      <c r="P10" s="87"/>
      <c r="Q10" s="86"/>
    </row>
    <row r="11" spans="1:17" ht="21.6" customHeight="1" x14ac:dyDescent="0.3">
      <c r="A11" s="12" t="s">
        <v>462</v>
      </c>
      <c r="B11" s="115">
        <f t="shared" si="1"/>
        <v>48.734642922099887</v>
      </c>
      <c r="C11" s="115">
        <f t="shared" si="2"/>
        <v>1.9493857168839965</v>
      </c>
      <c r="D11" s="88" t="s">
        <v>232</v>
      </c>
      <c r="F11" s="106"/>
      <c r="G11" s="13">
        <v>48.73464292209988</v>
      </c>
      <c r="H11" s="119">
        <f t="shared" si="0"/>
        <v>43.861178629889892</v>
      </c>
      <c r="I11" s="120">
        <f t="shared" si="3"/>
        <v>53.608107214309875</v>
      </c>
      <c r="M11" s="86"/>
      <c r="N11" s="87"/>
      <c r="O11" s="87"/>
      <c r="P11" s="87"/>
      <c r="Q11" s="86"/>
    </row>
    <row r="12" spans="1:17" ht="21.6" customHeight="1" x14ac:dyDescent="0.3">
      <c r="A12" s="12" t="s">
        <v>19</v>
      </c>
      <c r="B12" s="115">
        <f t="shared" si="1"/>
        <v>48.734642922099887</v>
      </c>
      <c r="C12" s="115">
        <f t="shared" si="2"/>
        <v>1.9493857168839965</v>
      </c>
      <c r="D12" s="88" t="s">
        <v>232</v>
      </c>
      <c r="F12" s="106"/>
      <c r="G12" s="13">
        <v>48.73464292209988</v>
      </c>
      <c r="H12" s="119">
        <f t="shared" si="0"/>
        <v>43.861178629889892</v>
      </c>
      <c r="I12" s="120">
        <f t="shared" si="3"/>
        <v>53.608107214309875</v>
      </c>
      <c r="K12" s="106"/>
      <c r="L12" s="81"/>
      <c r="M12" s="86"/>
      <c r="N12" s="87"/>
      <c r="O12" s="87"/>
      <c r="P12" s="87"/>
      <c r="Q12" s="86"/>
    </row>
    <row r="13" spans="1:17" ht="21.6" customHeight="1" x14ac:dyDescent="0.3">
      <c r="A13" s="12" t="s">
        <v>20</v>
      </c>
      <c r="B13" s="115">
        <f t="shared" si="1"/>
        <v>48.734642922099887</v>
      </c>
      <c r="C13" s="115">
        <f t="shared" si="2"/>
        <v>1.9493857168839965</v>
      </c>
      <c r="D13" s="88" t="s">
        <v>232</v>
      </c>
      <c r="F13" s="106"/>
      <c r="G13" s="13">
        <v>48.73464292209988</v>
      </c>
      <c r="H13" s="119">
        <f t="shared" si="0"/>
        <v>43.861178629889892</v>
      </c>
      <c r="I13" s="120">
        <f t="shared" si="3"/>
        <v>53.608107214309875</v>
      </c>
      <c r="M13" s="86"/>
      <c r="N13" s="87"/>
      <c r="O13" s="87"/>
      <c r="P13" s="87"/>
      <c r="Q13" s="86"/>
    </row>
    <row r="14" spans="1:17" ht="21.6" customHeight="1" thickBot="1" x14ac:dyDescent="0.35">
      <c r="A14" s="14" t="s">
        <v>464</v>
      </c>
      <c r="B14" s="115">
        <f t="shared" si="1"/>
        <v>48.734642922099887</v>
      </c>
      <c r="C14" s="115">
        <f t="shared" si="2"/>
        <v>1.9493857168839965</v>
      </c>
      <c r="D14" s="88" t="s">
        <v>232</v>
      </c>
      <c r="F14" s="106"/>
      <c r="G14" s="15">
        <v>48.73464292209988</v>
      </c>
      <c r="H14" s="121">
        <f t="shared" si="0"/>
        <v>43.861178629889892</v>
      </c>
      <c r="I14" s="122">
        <f t="shared" si="3"/>
        <v>53.608107214309875</v>
      </c>
      <c r="M14" s="86"/>
      <c r="N14" s="87"/>
      <c r="O14" s="87"/>
      <c r="P14" s="87"/>
      <c r="Q14" s="86"/>
    </row>
  </sheetData>
  <dataValidations count="1">
    <dataValidation type="list" allowBlank="1" showInputMessage="1" showErrorMessage="1" sqref="D3:D14" xr:uid="{90877809-BC2B-45C7-B7DB-AD15D2B1A639}">
      <formula1>"Data,Expert Estimate"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846E9-FFFC-45A0-929C-27697ABF3FB3}">
  <sheetPr>
    <tabColor theme="0" tint="-9.9978637043366805E-2"/>
  </sheetPr>
  <dimension ref="A1:Q14"/>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9.109375" style="88"/>
    <col min="14" max="14" width="16" style="88" bestFit="1" customWidth="1"/>
    <col min="15" max="15" width="14.44140625" style="88" bestFit="1" customWidth="1"/>
    <col min="16" max="16" width="14.6640625" style="88" bestFit="1" customWidth="1"/>
    <col min="17" max="17" width="17.6640625" style="88" bestFit="1" customWidth="1"/>
  </cols>
  <sheetData>
    <row r="1" spans="1:17" s="112" customFormat="1" ht="47.4" customHeight="1" thickBot="1" x14ac:dyDescent="0.35">
      <c r="A1" s="109" t="s">
        <v>318</v>
      </c>
      <c r="B1" s="2" t="s">
        <v>515</v>
      </c>
      <c r="C1" s="2" t="s">
        <v>383</v>
      </c>
      <c r="D1" s="111" t="s">
        <v>230</v>
      </c>
      <c r="F1" s="113" t="s">
        <v>233</v>
      </c>
      <c r="G1" s="111" t="s">
        <v>240</v>
      </c>
      <c r="H1" s="111" t="s">
        <v>241</v>
      </c>
      <c r="I1" s="111" t="s">
        <v>242</v>
      </c>
      <c r="K1" s="113" t="s">
        <v>246</v>
      </c>
      <c r="L1" s="114" t="s">
        <v>239</v>
      </c>
      <c r="M1" s="111" t="s">
        <v>234</v>
      </c>
      <c r="N1" s="111" t="s">
        <v>243</v>
      </c>
      <c r="O1" s="111" t="s">
        <v>241</v>
      </c>
      <c r="P1" s="111" t="s">
        <v>242</v>
      </c>
      <c r="Q1" s="111" t="s">
        <v>244</v>
      </c>
    </row>
    <row r="2" spans="1:17" ht="15" thickBot="1" x14ac:dyDescent="0.35">
      <c r="A2" s="102" t="s">
        <v>317</v>
      </c>
      <c r="B2" s="5" t="s">
        <v>5</v>
      </c>
      <c r="C2" s="5" t="s">
        <v>5</v>
      </c>
      <c r="D2" s="5" t="s">
        <v>245</v>
      </c>
      <c r="F2" s="105" t="s">
        <v>317</v>
      </c>
      <c r="G2" s="5" t="s">
        <v>5</v>
      </c>
      <c r="H2" s="5" t="s">
        <v>5</v>
      </c>
      <c r="I2" s="5" t="s">
        <v>5</v>
      </c>
      <c r="K2" s="108" t="s">
        <v>317</v>
      </c>
      <c r="L2" s="5" t="s">
        <v>7</v>
      </c>
      <c r="M2" s="5" t="s">
        <v>7</v>
      </c>
      <c r="N2" s="6" t="s">
        <v>6</v>
      </c>
      <c r="O2" s="6" t="s">
        <v>6</v>
      </c>
      <c r="P2" s="6" t="s">
        <v>6</v>
      </c>
      <c r="Q2" s="6" t="s">
        <v>6</v>
      </c>
    </row>
    <row r="3" spans="1:17" ht="21.6" customHeight="1" x14ac:dyDescent="0.3">
      <c r="A3" s="7" t="s">
        <v>454</v>
      </c>
      <c r="B3" s="115">
        <f>IF(D3="Data",N3,(G3*3+H3+I3)/5)</f>
        <v>3</v>
      </c>
      <c r="C3" s="115">
        <f>IF(D3="Data",Q3,(I3-H3)/5)</f>
        <v>0.12000000000000002</v>
      </c>
      <c r="D3" s="88" t="s">
        <v>232</v>
      </c>
      <c r="F3" s="106"/>
      <c r="G3" s="9">
        <v>3</v>
      </c>
      <c r="H3" s="116">
        <f>G3*0.9</f>
        <v>2.7</v>
      </c>
      <c r="I3" s="117">
        <f>G3*1.1</f>
        <v>3.3000000000000003</v>
      </c>
      <c r="K3" s="106"/>
      <c r="L3" s="81"/>
      <c r="M3" s="86"/>
      <c r="N3" s="87"/>
      <c r="O3" s="87"/>
      <c r="P3" s="87"/>
      <c r="Q3" s="86"/>
    </row>
    <row r="4" spans="1:17" ht="21.6" customHeight="1" x14ac:dyDescent="0.3">
      <c r="A4" s="10" t="s">
        <v>455</v>
      </c>
      <c r="B4" s="115">
        <f>IF(D4="Data",N4,(G4*3+H4+I4)/5)</f>
        <v>3</v>
      </c>
      <c r="C4" s="115">
        <f>IF(D4="Data",Q4,(I4-H4)/5)</f>
        <v>0.12000000000000002</v>
      </c>
      <c r="D4" s="88" t="s">
        <v>232</v>
      </c>
      <c r="F4" s="106"/>
      <c r="G4" s="11">
        <v>3</v>
      </c>
      <c r="H4" s="119">
        <f t="shared" ref="H4:H14" si="0">G4*0.9</f>
        <v>2.7</v>
      </c>
      <c r="I4" s="120">
        <f>G4*1.1</f>
        <v>3.3000000000000003</v>
      </c>
      <c r="M4" s="86"/>
      <c r="N4" s="87"/>
      <c r="O4" s="87"/>
      <c r="P4" s="87"/>
      <c r="Q4" s="86"/>
    </row>
    <row r="5" spans="1:17" ht="21.6" customHeight="1" x14ac:dyDescent="0.3">
      <c r="A5" s="12" t="s">
        <v>456</v>
      </c>
      <c r="B5" s="115">
        <f t="shared" ref="B5:B14" si="1">IF(D5="Data",N5,(G5*3+H5+I5)/5)</f>
        <v>3</v>
      </c>
      <c r="C5" s="115">
        <f t="shared" ref="C5:C14" si="2">IF(D5="Data",Q5,(I5-H5)/5)</f>
        <v>0.12000000000000002</v>
      </c>
      <c r="D5" s="88" t="s">
        <v>232</v>
      </c>
      <c r="F5" s="106"/>
      <c r="G5" s="11">
        <v>3</v>
      </c>
      <c r="H5" s="119">
        <f t="shared" si="0"/>
        <v>2.7</v>
      </c>
      <c r="I5" s="120">
        <f t="shared" ref="I5:I14" si="3">G5*1.1</f>
        <v>3.3000000000000003</v>
      </c>
      <c r="M5" s="86"/>
      <c r="N5" s="87"/>
      <c r="O5" s="87"/>
      <c r="P5" s="87"/>
      <c r="Q5" s="86"/>
    </row>
    <row r="6" spans="1:17" ht="21.6" customHeight="1" x14ac:dyDescent="0.3">
      <c r="A6" s="10" t="s">
        <v>457</v>
      </c>
      <c r="B6" s="115">
        <f t="shared" si="1"/>
        <v>7</v>
      </c>
      <c r="C6" s="115">
        <f t="shared" si="2"/>
        <v>0.28000000000000025</v>
      </c>
      <c r="D6" s="88" t="s">
        <v>232</v>
      </c>
      <c r="F6" s="106"/>
      <c r="G6" s="11">
        <v>7</v>
      </c>
      <c r="H6" s="119">
        <f t="shared" si="0"/>
        <v>6.3</v>
      </c>
      <c r="I6" s="120">
        <f t="shared" si="3"/>
        <v>7.7000000000000011</v>
      </c>
      <c r="M6" s="86"/>
      <c r="N6" s="87"/>
      <c r="O6" s="87"/>
      <c r="P6" s="87"/>
      <c r="Q6" s="86"/>
    </row>
    <row r="7" spans="1:17" ht="21.6" customHeight="1" x14ac:dyDescent="0.3">
      <c r="A7" s="12" t="s">
        <v>458</v>
      </c>
      <c r="B7" s="115">
        <f t="shared" si="1"/>
        <v>7</v>
      </c>
      <c r="C7" s="115">
        <f t="shared" si="2"/>
        <v>0.28000000000000025</v>
      </c>
      <c r="D7" s="88" t="s">
        <v>232</v>
      </c>
      <c r="F7" s="106"/>
      <c r="G7" s="11">
        <v>7</v>
      </c>
      <c r="H7" s="119">
        <f t="shared" si="0"/>
        <v>6.3</v>
      </c>
      <c r="I7" s="120">
        <f t="shared" si="3"/>
        <v>7.7000000000000011</v>
      </c>
      <c r="M7" s="86"/>
      <c r="N7" s="87"/>
      <c r="O7" s="87"/>
      <c r="P7" s="87"/>
      <c r="Q7" s="86"/>
    </row>
    <row r="8" spans="1:17" ht="21.6" customHeight="1" x14ac:dyDescent="0.3">
      <c r="A8" s="12" t="s">
        <v>459</v>
      </c>
      <c r="B8" s="115">
        <f t="shared" si="1"/>
        <v>7</v>
      </c>
      <c r="C8" s="115">
        <f t="shared" si="2"/>
        <v>0.28000000000000025</v>
      </c>
      <c r="D8" s="88" t="s">
        <v>232</v>
      </c>
      <c r="G8" s="13">
        <v>7</v>
      </c>
      <c r="H8" s="119">
        <f t="shared" si="0"/>
        <v>6.3</v>
      </c>
      <c r="I8" s="120">
        <f t="shared" si="3"/>
        <v>7.7000000000000011</v>
      </c>
      <c r="M8" s="86"/>
      <c r="N8" s="87"/>
      <c r="O8" s="87"/>
      <c r="P8" s="87"/>
      <c r="Q8" s="86"/>
    </row>
    <row r="9" spans="1:17" ht="21.6" customHeight="1" x14ac:dyDescent="0.3">
      <c r="A9" s="12" t="s">
        <v>460</v>
      </c>
      <c r="B9" s="115">
        <f t="shared" si="1"/>
        <v>7</v>
      </c>
      <c r="C9" s="115">
        <f t="shared" si="2"/>
        <v>0.28000000000000025</v>
      </c>
      <c r="D9" s="88" t="s">
        <v>232</v>
      </c>
      <c r="F9" s="106"/>
      <c r="G9" s="13">
        <v>7</v>
      </c>
      <c r="H9" s="119">
        <f t="shared" si="0"/>
        <v>6.3</v>
      </c>
      <c r="I9" s="120">
        <f t="shared" si="3"/>
        <v>7.7000000000000011</v>
      </c>
      <c r="M9" s="86"/>
      <c r="N9" s="87"/>
      <c r="O9" s="87"/>
      <c r="P9" s="87"/>
      <c r="Q9" s="86"/>
    </row>
    <row r="10" spans="1:17" ht="21.6" customHeight="1" x14ac:dyDescent="0.3">
      <c r="A10" s="12" t="s">
        <v>461</v>
      </c>
      <c r="B10" s="115">
        <f t="shared" si="1"/>
        <v>7</v>
      </c>
      <c r="C10" s="115">
        <f t="shared" si="2"/>
        <v>0.28000000000000025</v>
      </c>
      <c r="D10" s="88" t="s">
        <v>232</v>
      </c>
      <c r="F10" s="106"/>
      <c r="G10" s="13">
        <v>7</v>
      </c>
      <c r="H10" s="119">
        <f t="shared" si="0"/>
        <v>6.3</v>
      </c>
      <c r="I10" s="120">
        <f t="shared" si="3"/>
        <v>7.7000000000000011</v>
      </c>
      <c r="M10" s="86"/>
      <c r="N10" s="87"/>
      <c r="O10" s="87"/>
      <c r="P10" s="87"/>
      <c r="Q10" s="86"/>
    </row>
    <row r="11" spans="1:17" ht="21.6" customHeight="1" x14ac:dyDescent="0.3">
      <c r="A11" s="12" t="s">
        <v>462</v>
      </c>
      <c r="B11" s="115">
        <f t="shared" si="1"/>
        <v>7</v>
      </c>
      <c r="C11" s="115">
        <f t="shared" si="2"/>
        <v>0.28000000000000025</v>
      </c>
      <c r="D11" s="88" t="s">
        <v>232</v>
      </c>
      <c r="F11" s="106"/>
      <c r="G11" s="13">
        <v>7</v>
      </c>
      <c r="H11" s="119">
        <f t="shared" si="0"/>
        <v>6.3</v>
      </c>
      <c r="I11" s="120">
        <f t="shared" si="3"/>
        <v>7.7000000000000011</v>
      </c>
      <c r="M11" s="86"/>
      <c r="N11" s="87"/>
      <c r="O11" s="87"/>
      <c r="P11" s="87"/>
      <c r="Q11" s="86"/>
    </row>
    <row r="12" spans="1:17" ht="21.6" customHeight="1" x14ac:dyDescent="0.3">
      <c r="A12" s="12" t="s">
        <v>19</v>
      </c>
      <c r="B12" s="115">
        <f t="shared" si="1"/>
        <v>7</v>
      </c>
      <c r="C12" s="115">
        <f t="shared" si="2"/>
        <v>0.28000000000000025</v>
      </c>
      <c r="D12" s="88" t="s">
        <v>232</v>
      </c>
      <c r="F12" s="106"/>
      <c r="G12" s="13">
        <v>7</v>
      </c>
      <c r="H12" s="119">
        <f t="shared" si="0"/>
        <v>6.3</v>
      </c>
      <c r="I12" s="120">
        <f t="shared" si="3"/>
        <v>7.7000000000000011</v>
      </c>
      <c r="K12" s="106"/>
      <c r="L12" s="81"/>
      <c r="M12" s="86"/>
      <c r="N12" s="87"/>
      <c r="O12" s="87"/>
      <c r="P12" s="87"/>
      <c r="Q12" s="86"/>
    </row>
    <row r="13" spans="1:17" ht="21.6" customHeight="1" x14ac:dyDescent="0.3">
      <c r="A13" s="12" t="s">
        <v>20</v>
      </c>
      <c r="B13" s="115">
        <f t="shared" si="1"/>
        <v>7</v>
      </c>
      <c r="C13" s="115">
        <f t="shared" si="2"/>
        <v>0.28000000000000025</v>
      </c>
      <c r="D13" s="88" t="s">
        <v>232</v>
      </c>
      <c r="F13" s="106"/>
      <c r="G13" s="13">
        <v>7</v>
      </c>
      <c r="H13" s="119">
        <f t="shared" si="0"/>
        <v>6.3</v>
      </c>
      <c r="I13" s="120">
        <f t="shared" si="3"/>
        <v>7.7000000000000011</v>
      </c>
      <c r="M13" s="86"/>
      <c r="N13" s="87"/>
      <c r="O13" s="87"/>
      <c r="P13" s="87"/>
      <c r="Q13" s="86"/>
    </row>
    <row r="14" spans="1:17" ht="21.6" customHeight="1" thickBot="1" x14ac:dyDescent="0.35">
      <c r="A14" s="14" t="s">
        <v>464</v>
      </c>
      <c r="B14" s="115">
        <f t="shared" si="1"/>
        <v>7</v>
      </c>
      <c r="C14" s="115">
        <f t="shared" si="2"/>
        <v>0.28000000000000025</v>
      </c>
      <c r="D14" s="88" t="s">
        <v>232</v>
      </c>
      <c r="F14" s="106"/>
      <c r="G14" s="15">
        <v>7</v>
      </c>
      <c r="H14" s="121">
        <f t="shared" si="0"/>
        <v>6.3</v>
      </c>
      <c r="I14" s="122">
        <f t="shared" si="3"/>
        <v>7.7000000000000011</v>
      </c>
      <c r="M14" s="86"/>
      <c r="N14" s="87"/>
      <c r="O14" s="87"/>
      <c r="P14" s="87"/>
      <c r="Q14" s="86"/>
    </row>
  </sheetData>
  <dataValidations count="1">
    <dataValidation type="list" allowBlank="1" showInputMessage="1" showErrorMessage="1" sqref="D3:D14" xr:uid="{88166CDD-CD1B-419D-B804-A77DFC27B5A5}">
      <formula1>"Data,Expert Estimate"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248AF-A4E1-47B6-8835-EB4952C6AB34}">
  <sheetPr>
    <tabColor theme="0" tint="-9.9978637043366805E-2"/>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9.1093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387</v>
      </c>
      <c r="C1" s="2" t="s">
        <v>388</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5" thickBot="1" x14ac:dyDescent="0.35">
      <c r="A2" s="102" t="s">
        <v>317</v>
      </c>
      <c r="B2" s="5" t="s">
        <v>386</v>
      </c>
      <c r="C2" s="5" t="s">
        <v>386</v>
      </c>
      <c r="D2" s="5" t="s">
        <v>245</v>
      </c>
      <c r="F2" s="105" t="s">
        <v>317</v>
      </c>
      <c r="G2" s="5" t="s">
        <v>386</v>
      </c>
      <c r="H2" s="5" t="s">
        <v>386</v>
      </c>
      <c r="I2" s="5" t="s">
        <v>386</v>
      </c>
      <c r="K2" s="108" t="s">
        <v>317</v>
      </c>
      <c r="L2" s="5" t="s">
        <v>7</v>
      </c>
      <c r="M2" s="5"/>
      <c r="N2" s="5"/>
      <c r="O2" s="5"/>
      <c r="P2" s="5" t="s">
        <v>7</v>
      </c>
      <c r="Q2" s="5" t="s">
        <v>386</v>
      </c>
      <c r="R2" s="5" t="s">
        <v>386</v>
      </c>
      <c r="S2" s="5" t="s">
        <v>386</v>
      </c>
      <c r="T2" s="5" t="s">
        <v>386</v>
      </c>
    </row>
    <row r="3" spans="1:20" ht="21.6" customHeight="1" x14ac:dyDescent="0.3">
      <c r="A3" s="7" t="s">
        <v>454</v>
      </c>
      <c r="B3" s="115">
        <f t="shared" ref="B3:B14" si="0">IF(D3="Data",Q3,(G3*3+H3+I3)/5)</f>
        <v>43</v>
      </c>
      <c r="C3" s="115">
        <f t="shared" ref="C3:C14" si="1">IF(D3="Data",T3,(I3-H3)/5)</f>
        <v>1.7200000000000002</v>
      </c>
      <c r="D3" s="91" t="s">
        <v>232</v>
      </c>
      <c r="F3" s="106"/>
      <c r="G3" s="186">
        <v>43</v>
      </c>
      <c r="H3" s="116">
        <f>0.9*G3</f>
        <v>38.700000000000003</v>
      </c>
      <c r="I3" s="117">
        <f>1.1*G3</f>
        <v>47.300000000000004</v>
      </c>
      <c r="K3" s="106"/>
      <c r="L3" s="185" t="s">
        <v>231</v>
      </c>
      <c r="M3" s="184" t="s">
        <v>278</v>
      </c>
      <c r="N3" s="184" t="s">
        <v>279</v>
      </c>
      <c r="O3" s="184"/>
      <c r="P3" s="83">
        <f ca="1">COUNTIF(INDIRECT("'"&amp;L3&amp;"'!"&amp;M3),O3)</f>
        <v>0</v>
      </c>
      <c r="Q3" s="82" t="e">
        <f ca="1">AVERAGEIF(INDIRECT("'"&amp;L3&amp;"'!"&amp;M3),O3,INDIRECT("'"&amp;L3&amp;"'!"&amp;N3))</f>
        <v>#DIV/0!</v>
      </c>
      <c r="R3" s="82">
        <f ca="1">_xlfn.MINIFS(INDIRECT("'"&amp;L3&amp;"'!"&amp;N3),INDIRECT("'"&amp;L3&amp;"'!"&amp;M3),O3)</f>
        <v>0</v>
      </c>
      <c r="S3" s="82">
        <f ca="1">_xlfn.MAXIFS(INDIRECT("'"&amp;L3&amp;"'!"&amp;N3),INDIRECT("'"&amp;L3&amp;"'!"&amp;M3),O3)</f>
        <v>0</v>
      </c>
      <c r="T3" s="83" t="e" cm="1" vm="1">
        <f t="array" aca="1" ref="T3" ca="1">_xlfn.STDEV.P(_xlfn._xlws.FILTER(INDIRECT("'"&amp;L3&amp;"'!"&amp;N3),INDIRECT("'"&amp;L3&amp;"'!"&amp;M3)=O3))</f>
        <v>#VALUE!</v>
      </c>
    </row>
    <row r="4" spans="1:20" ht="21.6" customHeight="1" x14ac:dyDescent="0.3">
      <c r="A4" s="10" t="s">
        <v>455</v>
      </c>
      <c r="B4" s="115">
        <f t="shared" si="0"/>
        <v>43</v>
      </c>
      <c r="C4" s="115">
        <f t="shared" si="1"/>
        <v>1.7200000000000002</v>
      </c>
      <c r="D4" s="91" t="s">
        <v>232</v>
      </c>
      <c r="F4" s="106"/>
      <c r="G4" s="187">
        <v>43</v>
      </c>
      <c r="H4" s="119">
        <f t="shared" ref="H4:H14" si="2">0.9*G4</f>
        <v>38.700000000000003</v>
      </c>
      <c r="I4" s="120">
        <f t="shared" ref="I4:I14" si="3">1.1*G4</f>
        <v>47.300000000000004</v>
      </c>
      <c r="L4" s="184" t="s">
        <v>231</v>
      </c>
      <c r="M4" s="184" t="s">
        <v>278</v>
      </c>
      <c r="N4" s="184" t="s">
        <v>279</v>
      </c>
      <c r="O4" s="184"/>
      <c r="P4" s="83">
        <f t="shared" ref="P4:P14" ca="1" si="4">COUNTIF(INDIRECT("'"&amp;L4&amp;"'!"&amp;M4),O4)</f>
        <v>0</v>
      </c>
      <c r="Q4" s="82" t="e">
        <f t="shared" ref="Q4:Q14" ca="1" si="5">AVERAGEIF(INDIRECT("'"&amp;L4&amp;"'!"&amp;M4),O4,INDIRECT("'"&amp;L4&amp;"'!"&amp;N4))</f>
        <v>#DIV/0!</v>
      </c>
      <c r="R4" s="82">
        <f t="shared" ref="R4:R14" ca="1" si="6">_xlfn.MINIFS(INDIRECT("'"&amp;L4&amp;"'!"&amp;N4),INDIRECT("'"&amp;L4&amp;"'!"&amp;M4),O4)</f>
        <v>0</v>
      </c>
      <c r="S4" s="82">
        <f t="shared" ref="S4:S14" ca="1" si="7">_xlfn.MAXIFS(INDIRECT("'"&amp;L4&amp;"'!"&amp;N4),INDIRECT("'"&amp;L4&amp;"'!"&amp;M4),O4)</f>
        <v>0</v>
      </c>
      <c r="T4" s="83" t="e" cm="1" vm="1">
        <f t="array" aca="1" ref="T4" ca="1">_xlfn.STDEV.P(_xlfn._xlws.FILTER(INDIRECT("'"&amp;L4&amp;"'!"&amp;N4),INDIRECT("'"&amp;L4&amp;"'!"&amp;M4)=O4))</f>
        <v>#VALUE!</v>
      </c>
    </row>
    <row r="5" spans="1:20" ht="21.6" customHeight="1" x14ac:dyDescent="0.3">
      <c r="A5" s="12" t="s">
        <v>456</v>
      </c>
      <c r="B5" s="115">
        <f t="shared" si="0"/>
        <v>43</v>
      </c>
      <c r="C5" s="115">
        <f t="shared" si="1"/>
        <v>1.7200000000000002</v>
      </c>
      <c r="D5" s="91" t="s">
        <v>232</v>
      </c>
      <c r="F5" s="106"/>
      <c r="G5" s="187">
        <v>43</v>
      </c>
      <c r="H5" s="119">
        <f t="shared" si="2"/>
        <v>38.700000000000003</v>
      </c>
      <c r="I5" s="120">
        <f t="shared" si="3"/>
        <v>47.300000000000004</v>
      </c>
      <c r="L5" s="184" t="s">
        <v>231</v>
      </c>
      <c r="M5" s="184" t="s">
        <v>278</v>
      </c>
      <c r="N5" s="184" t="s">
        <v>279</v>
      </c>
      <c r="O5" s="184"/>
      <c r="P5" s="83">
        <f t="shared" ca="1" si="4"/>
        <v>0</v>
      </c>
      <c r="Q5" s="82" t="e">
        <f t="shared" ca="1" si="5"/>
        <v>#DIV/0!</v>
      </c>
      <c r="R5" s="82">
        <f t="shared" ca="1" si="6"/>
        <v>0</v>
      </c>
      <c r="S5" s="82">
        <f t="shared" ca="1" si="7"/>
        <v>0</v>
      </c>
      <c r="T5" s="83" t="e" cm="1" vm="1">
        <f t="array" aca="1" ref="T5" ca="1">_xlfn.STDEV.P(_xlfn._xlws.FILTER(INDIRECT("'"&amp;L5&amp;"'!"&amp;N5),INDIRECT("'"&amp;L5&amp;"'!"&amp;M5)=O5))</f>
        <v>#VALUE!</v>
      </c>
    </row>
    <row r="6" spans="1:20" ht="21.6" customHeight="1" x14ac:dyDescent="0.3">
      <c r="A6" s="10" t="s">
        <v>457</v>
      </c>
      <c r="B6" s="115">
        <f t="shared" si="0"/>
        <v>43</v>
      </c>
      <c r="C6" s="115">
        <f t="shared" si="1"/>
        <v>1.7200000000000002</v>
      </c>
      <c r="D6" s="91" t="s">
        <v>232</v>
      </c>
      <c r="F6" s="106"/>
      <c r="G6" s="187">
        <v>43</v>
      </c>
      <c r="H6" s="119">
        <f t="shared" si="2"/>
        <v>38.700000000000003</v>
      </c>
      <c r="I6" s="120">
        <f t="shared" si="3"/>
        <v>47.300000000000004</v>
      </c>
      <c r="L6" s="184" t="s">
        <v>231</v>
      </c>
      <c r="M6" s="184" t="s">
        <v>278</v>
      </c>
      <c r="N6" s="184" t="s">
        <v>279</v>
      </c>
      <c r="O6" s="184"/>
      <c r="P6" s="83">
        <f t="shared" ca="1" si="4"/>
        <v>0</v>
      </c>
      <c r="Q6" s="82" t="e">
        <f t="shared" ca="1" si="5"/>
        <v>#DIV/0!</v>
      </c>
      <c r="R6" s="82">
        <f t="shared" ca="1" si="6"/>
        <v>0</v>
      </c>
      <c r="S6" s="82">
        <f t="shared" ca="1" si="7"/>
        <v>0</v>
      </c>
      <c r="T6" s="83" t="e" cm="1" vm="1">
        <f t="array" aca="1" ref="T6" ca="1">_xlfn.STDEV.P(_xlfn._xlws.FILTER(INDIRECT("'"&amp;L6&amp;"'!"&amp;N6),INDIRECT("'"&amp;L6&amp;"'!"&amp;M6)=O6))</f>
        <v>#VALUE!</v>
      </c>
    </row>
    <row r="7" spans="1:20" ht="21.6" customHeight="1" x14ac:dyDescent="0.3">
      <c r="A7" s="12" t="s">
        <v>458</v>
      </c>
      <c r="B7" s="115">
        <f t="shared" si="0"/>
        <v>43</v>
      </c>
      <c r="C7" s="115">
        <f t="shared" si="1"/>
        <v>1.7200000000000002</v>
      </c>
      <c r="D7" s="91" t="s">
        <v>232</v>
      </c>
      <c r="F7" s="106"/>
      <c r="G7" s="187">
        <v>43</v>
      </c>
      <c r="H7" s="119">
        <f t="shared" si="2"/>
        <v>38.700000000000003</v>
      </c>
      <c r="I7" s="120">
        <f t="shared" si="3"/>
        <v>47.300000000000004</v>
      </c>
      <c r="L7" s="184" t="s">
        <v>231</v>
      </c>
      <c r="M7" s="184" t="s">
        <v>278</v>
      </c>
      <c r="N7" s="184" t="s">
        <v>279</v>
      </c>
      <c r="O7" s="184"/>
      <c r="P7" s="83">
        <f t="shared" ca="1" si="4"/>
        <v>0</v>
      </c>
      <c r="Q7" s="82" t="e">
        <f t="shared" ca="1" si="5"/>
        <v>#DIV/0!</v>
      </c>
      <c r="R7" s="82">
        <f t="shared" ca="1" si="6"/>
        <v>0</v>
      </c>
      <c r="S7" s="82">
        <f t="shared" ca="1" si="7"/>
        <v>0</v>
      </c>
      <c r="T7" s="83" t="e" cm="1" vm="1">
        <f t="array" aca="1" ref="T7" ca="1">_xlfn.STDEV.P(_xlfn._xlws.FILTER(INDIRECT("'"&amp;L7&amp;"'!"&amp;N7),INDIRECT("'"&amp;L7&amp;"'!"&amp;M7)=O7))</f>
        <v>#VALUE!</v>
      </c>
    </row>
    <row r="8" spans="1:20" ht="21.6" customHeight="1" x14ac:dyDescent="0.3">
      <c r="A8" s="12" t="s">
        <v>459</v>
      </c>
      <c r="B8" s="115">
        <f t="shared" si="0"/>
        <v>43</v>
      </c>
      <c r="C8" s="115">
        <f t="shared" si="1"/>
        <v>1.7200000000000002</v>
      </c>
      <c r="D8" s="91" t="s">
        <v>232</v>
      </c>
      <c r="G8" s="187">
        <v>43</v>
      </c>
      <c r="H8" s="119">
        <f t="shared" si="2"/>
        <v>38.700000000000003</v>
      </c>
      <c r="I8" s="120">
        <f t="shared" si="3"/>
        <v>47.300000000000004</v>
      </c>
      <c r="L8" s="184" t="s">
        <v>231</v>
      </c>
      <c r="M8" s="184" t="s">
        <v>278</v>
      </c>
      <c r="N8" s="184" t="s">
        <v>279</v>
      </c>
      <c r="O8" s="184"/>
      <c r="P8" s="83">
        <f t="shared" ca="1" si="4"/>
        <v>0</v>
      </c>
      <c r="Q8" s="82" t="e">
        <f t="shared" ca="1" si="5"/>
        <v>#DIV/0!</v>
      </c>
      <c r="R8" s="82">
        <f t="shared" ca="1" si="6"/>
        <v>0</v>
      </c>
      <c r="S8" s="82">
        <f t="shared" ca="1" si="7"/>
        <v>0</v>
      </c>
      <c r="T8" s="83" t="e" cm="1" vm="1">
        <f t="array" aca="1" ref="T8" ca="1">_xlfn.STDEV.P(_xlfn._xlws.FILTER(INDIRECT("'"&amp;L8&amp;"'!"&amp;N8),INDIRECT("'"&amp;L8&amp;"'!"&amp;M8)=O8))</f>
        <v>#VALUE!</v>
      </c>
    </row>
    <row r="9" spans="1:20" ht="21.6" customHeight="1" x14ac:dyDescent="0.3">
      <c r="A9" s="12" t="s">
        <v>460</v>
      </c>
      <c r="B9" s="115">
        <f t="shared" si="0"/>
        <v>43</v>
      </c>
      <c r="C9" s="115">
        <f t="shared" si="1"/>
        <v>1.7200000000000002</v>
      </c>
      <c r="D9" s="91" t="s">
        <v>232</v>
      </c>
      <c r="F9" s="106"/>
      <c r="G9" s="187">
        <v>43</v>
      </c>
      <c r="H9" s="119">
        <f t="shared" si="2"/>
        <v>38.700000000000003</v>
      </c>
      <c r="I9" s="120">
        <f t="shared" si="3"/>
        <v>47.300000000000004</v>
      </c>
      <c r="L9" s="184" t="s">
        <v>231</v>
      </c>
      <c r="M9" s="184" t="s">
        <v>278</v>
      </c>
      <c r="N9" s="184" t="s">
        <v>279</v>
      </c>
      <c r="O9" s="184"/>
      <c r="P9" s="83">
        <f t="shared" ca="1" si="4"/>
        <v>0</v>
      </c>
      <c r="Q9" s="82" t="e">
        <f t="shared" ca="1" si="5"/>
        <v>#DIV/0!</v>
      </c>
      <c r="R9" s="82">
        <f t="shared" ca="1" si="6"/>
        <v>0</v>
      </c>
      <c r="S9" s="82">
        <f t="shared" ca="1" si="7"/>
        <v>0</v>
      </c>
      <c r="T9" s="83" t="e" cm="1" vm="1">
        <f t="array" aca="1" ref="T9" ca="1">_xlfn.STDEV.P(_xlfn._xlws.FILTER(INDIRECT("'"&amp;L9&amp;"'!"&amp;N9),INDIRECT("'"&amp;L9&amp;"'!"&amp;M9)=O9))</f>
        <v>#VALUE!</v>
      </c>
    </row>
    <row r="10" spans="1:20" ht="21.6" customHeight="1" x14ac:dyDescent="0.3">
      <c r="A10" s="12" t="s">
        <v>461</v>
      </c>
      <c r="B10" s="115">
        <f t="shared" si="0"/>
        <v>43</v>
      </c>
      <c r="C10" s="115">
        <f t="shared" si="1"/>
        <v>1.7200000000000002</v>
      </c>
      <c r="D10" s="91" t="s">
        <v>232</v>
      </c>
      <c r="F10" s="106"/>
      <c r="G10" s="187">
        <v>43</v>
      </c>
      <c r="H10" s="119">
        <f t="shared" si="2"/>
        <v>38.700000000000003</v>
      </c>
      <c r="I10" s="120">
        <f t="shared" si="3"/>
        <v>47.300000000000004</v>
      </c>
      <c r="L10" s="184" t="s">
        <v>231</v>
      </c>
      <c r="M10" s="184" t="s">
        <v>278</v>
      </c>
      <c r="N10" s="184" t="s">
        <v>279</v>
      </c>
      <c r="O10" s="184"/>
      <c r="P10" s="83">
        <f t="shared" ca="1" si="4"/>
        <v>0</v>
      </c>
      <c r="Q10" s="82" t="e">
        <f t="shared" ca="1" si="5"/>
        <v>#DIV/0!</v>
      </c>
      <c r="R10" s="82">
        <f t="shared" ca="1" si="6"/>
        <v>0</v>
      </c>
      <c r="S10" s="82">
        <f t="shared" ca="1" si="7"/>
        <v>0</v>
      </c>
      <c r="T10" s="83" t="e" cm="1" vm="1">
        <f t="array" aca="1" ref="T10" ca="1">_xlfn.STDEV.P(_xlfn._xlws.FILTER(INDIRECT("'"&amp;L10&amp;"'!"&amp;N10),INDIRECT("'"&amp;L10&amp;"'!"&amp;M10)=O10))</f>
        <v>#VALUE!</v>
      </c>
    </row>
    <row r="11" spans="1:20" ht="21.6" customHeight="1" x14ac:dyDescent="0.3">
      <c r="A11" s="12" t="s">
        <v>462</v>
      </c>
      <c r="B11" s="115">
        <f t="shared" si="0"/>
        <v>43</v>
      </c>
      <c r="C11" s="115">
        <f t="shared" si="1"/>
        <v>1.7200000000000002</v>
      </c>
      <c r="D11" s="91" t="s">
        <v>232</v>
      </c>
      <c r="F11" s="106"/>
      <c r="G11" s="187">
        <v>43</v>
      </c>
      <c r="H11" s="119">
        <f t="shared" si="2"/>
        <v>38.700000000000003</v>
      </c>
      <c r="I11" s="120">
        <f t="shared" si="3"/>
        <v>47.300000000000004</v>
      </c>
      <c r="L11" s="184" t="s">
        <v>231</v>
      </c>
      <c r="M11" s="184" t="s">
        <v>278</v>
      </c>
      <c r="N11" s="184" t="s">
        <v>279</v>
      </c>
      <c r="O11" s="184"/>
      <c r="P11" s="83">
        <f t="shared" ca="1" si="4"/>
        <v>0</v>
      </c>
      <c r="Q11" s="82" t="e">
        <f t="shared" ca="1" si="5"/>
        <v>#DIV/0!</v>
      </c>
      <c r="R11" s="82">
        <f t="shared" ca="1" si="6"/>
        <v>0</v>
      </c>
      <c r="S11" s="82">
        <f t="shared" ca="1" si="7"/>
        <v>0</v>
      </c>
      <c r="T11" s="83" t="e" cm="1" vm="1">
        <f t="array" aca="1" ref="T11" ca="1">_xlfn.STDEV.P(_xlfn._xlws.FILTER(INDIRECT("'"&amp;L11&amp;"'!"&amp;N11),INDIRECT("'"&amp;L11&amp;"'!"&amp;M11)=O11))</f>
        <v>#VALUE!</v>
      </c>
    </row>
    <row r="12" spans="1:20" ht="21.6" customHeight="1" x14ac:dyDescent="0.3">
      <c r="A12" s="12" t="s">
        <v>19</v>
      </c>
      <c r="B12" s="115">
        <f t="shared" si="0"/>
        <v>43</v>
      </c>
      <c r="C12" s="115">
        <f t="shared" si="1"/>
        <v>1.7200000000000002</v>
      </c>
      <c r="D12" s="91" t="s">
        <v>232</v>
      </c>
      <c r="F12" s="106"/>
      <c r="G12" s="187">
        <v>43</v>
      </c>
      <c r="H12" s="119">
        <f t="shared" si="2"/>
        <v>38.700000000000003</v>
      </c>
      <c r="I12" s="120">
        <f t="shared" si="3"/>
        <v>47.300000000000004</v>
      </c>
      <c r="K12" s="106"/>
      <c r="L12" s="184" t="s">
        <v>231</v>
      </c>
      <c r="M12" s="184" t="s">
        <v>278</v>
      </c>
      <c r="N12" s="184" t="s">
        <v>279</v>
      </c>
      <c r="O12" s="184"/>
      <c r="P12" s="83">
        <f t="shared" ca="1" si="4"/>
        <v>0</v>
      </c>
      <c r="Q12" s="82" t="e">
        <f t="shared" ca="1" si="5"/>
        <v>#DIV/0!</v>
      </c>
      <c r="R12" s="82">
        <f t="shared" ca="1" si="6"/>
        <v>0</v>
      </c>
      <c r="S12" s="82">
        <f t="shared" ca="1" si="7"/>
        <v>0</v>
      </c>
      <c r="T12" s="83" t="e" cm="1" vm="1">
        <f t="array" aca="1" ref="T12" ca="1">_xlfn.STDEV.P(_xlfn._xlws.FILTER(INDIRECT("'"&amp;L12&amp;"'!"&amp;N12),INDIRECT("'"&amp;L12&amp;"'!"&amp;M12)=O12))</f>
        <v>#VALUE!</v>
      </c>
    </row>
    <row r="13" spans="1:20" ht="21.6" customHeight="1" x14ac:dyDescent="0.3">
      <c r="A13" s="12" t="s">
        <v>20</v>
      </c>
      <c r="B13" s="115">
        <f t="shared" si="0"/>
        <v>43</v>
      </c>
      <c r="C13" s="115">
        <f t="shared" si="1"/>
        <v>1.7200000000000002</v>
      </c>
      <c r="D13" s="91" t="s">
        <v>232</v>
      </c>
      <c r="F13" s="106"/>
      <c r="G13" s="187">
        <v>43</v>
      </c>
      <c r="H13" s="119">
        <f t="shared" si="2"/>
        <v>38.700000000000003</v>
      </c>
      <c r="I13" s="120">
        <f t="shared" si="3"/>
        <v>47.300000000000004</v>
      </c>
      <c r="L13" s="184" t="s">
        <v>231</v>
      </c>
      <c r="M13" s="184" t="s">
        <v>278</v>
      </c>
      <c r="N13" s="184" t="s">
        <v>279</v>
      </c>
      <c r="O13" s="184"/>
      <c r="P13" s="83">
        <f t="shared" ca="1" si="4"/>
        <v>0</v>
      </c>
      <c r="Q13" s="82" t="e">
        <f t="shared" ca="1" si="5"/>
        <v>#DIV/0!</v>
      </c>
      <c r="R13" s="82">
        <f t="shared" ca="1" si="6"/>
        <v>0</v>
      </c>
      <c r="S13" s="82">
        <f t="shared" ca="1" si="7"/>
        <v>0</v>
      </c>
      <c r="T13" s="83" t="e" cm="1" vm="1">
        <f t="array" aca="1" ref="T13" ca="1">_xlfn.STDEV.P(_xlfn._xlws.FILTER(INDIRECT("'"&amp;L13&amp;"'!"&amp;N13),INDIRECT("'"&amp;L13&amp;"'!"&amp;M13)=O13))</f>
        <v>#VALUE!</v>
      </c>
    </row>
    <row r="14" spans="1:20" ht="21.6" customHeight="1" thickBot="1" x14ac:dyDescent="0.35">
      <c r="A14" s="14" t="s">
        <v>464</v>
      </c>
      <c r="B14" s="115">
        <f t="shared" si="0"/>
        <v>43</v>
      </c>
      <c r="C14" s="115">
        <f t="shared" si="1"/>
        <v>1.7200000000000002</v>
      </c>
      <c r="D14" s="91" t="s">
        <v>232</v>
      </c>
      <c r="F14" s="106"/>
      <c r="G14" s="188">
        <v>43</v>
      </c>
      <c r="H14" s="121">
        <f t="shared" si="2"/>
        <v>38.700000000000003</v>
      </c>
      <c r="I14" s="122">
        <f t="shared" si="3"/>
        <v>47.300000000000004</v>
      </c>
      <c r="L14" s="184" t="s">
        <v>231</v>
      </c>
      <c r="M14" s="184" t="s">
        <v>278</v>
      </c>
      <c r="N14" s="184" t="s">
        <v>279</v>
      </c>
      <c r="O14" s="184"/>
      <c r="P14" s="83">
        <f t="shared" ca="1" si="4"/>
        <v>0</v>
      </c>
      <c r="Q14" s="82" t="e">
        <f t="shared" ca="1" si="5"/>
        <v>#DIV/0!</v>
      </c>
      <c r="R14" s="82">
        <f t="shared" ca="1" si="6"/>
        <v>0</v>
      </c>
      <c r="S14" s="82">
        <f t="shared" ca="1" si="7"/>
        <v>0</v>
      </c>
      <c r="T14" s="83" t="e" cm="1" vm="1">
        <f t="array" aca="1" ref="T14" ca="1">_xlfn.STDEV.P(_xlfn._xlws.FILTER(INDIRECT("'"&amp;L14&amp;"'!"&amp;N14),INDIRECT("'"&amp;L14&amp;"'!"&amp;M14)=O14))</f>
        <v>#VALUE!</v>
      </c>
    </row>
    <row r="28" spans="9:9" x14ac:dyDescent="0.3">
      <c r="I28" s="91" t="s">
        <v>545</v>
      </c>
    </row>
  </sheetData>
  <dataValidations disablePrompts="1" count="1">
    <dataValidation type="list" allowBlank="1" showInputMessage="1" showErrorMessage="1" sqref="D3:D14" xr:uid="{C2801D33-D976-45EF-B073-95E95F919259}">
      <formula1>"Data,Expert Estimate"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DEE69-A447-45B9-85D4-49A1CDD596D5}">
  <sheetPr>
    <tabColor theme="0" tint="-9.9978637043366805E-2"/>
  </sheetPr>
  <dimension ref="A1:T28"/>
  <sheetViews>
    <sheetView workbookViewId="0">
      <selection activeCell="F18" sqref="F18"/>
    </sheetView>
  </sheetViews>
  <sheetFormatPr defaultRowHeight="14.4" x14ac:dyDescent="0.3"/>
  <cols>
    <col min="1" max="1" width="19.6640625" style="103" customWidth="1"/>
    <col min="2" max="2" width="17.88671875" style="91" customWidth="1"/>
    <col min="3" max="3" width="15.441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9.1093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390</v>
      </c>
      <c r="C1" s="2" t="s">
        <v>391</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5" thickBot="1" x14ac:dyDescent="0.35">
      <c r="A2" s="102" t="s">
        <v>317</v>
      </c>
      <c r="B2" s="5" t="s">
        <v>389</v>
      </c>
      <c r="C2" s="5" t="s">
        <v>389</v>
      </c>
      <c r="D2" s="5" t="s">
        <v>245</v>
      </c>
      <c r="F2" s="105" t="s">
        <v>317</v>
      </c>
      <c r="G2" s="5" t="s">
        <v>389</v>
      </c>
      <c r="H2" s="5" t="s">
        <v>389</v>
      </c>
      <c r="I2" s="5" t="s">
        <v>389</v>
      </c>
      <c r="K2" s="108" t="s">
        <v>317</v>
      </c>
      <c r="L2" s="5" t="s">
        <v>7</v>
      </c>
      <c r="M2" s="5"/>
      <c r="N2" s="5"/>
      <c r="O2" s="5"/>
      <c r="P2" s="5" t="s">
        <v>7</v>
      </c>
      <c r="Q2" s="5" t="s">
        <v>389</v>
      </c>
      <c r="R2" s="5" t="s">
        <v>389</v>
      </c>
      <c r="S2" s="5" t="s">
        <v>389</v>
      </c>
      <c r="T2" s="5" t="s">
        <v>389</v>
      </c>
    </row>
    <row r="3" spans="1:20" ht="21.6" customHeight="1" x14ac:dyDescent="0.3">
      <c r="A3" s="7" t="s">
        <v>454</v>
      </c>
      <c r="B3" s="115">
        <f t="shared" ref="B3:B14" si="0">IF(D3="Data",Q3,(G3*3+H3+I3)/5)</f>
        <v>5.2</v>
      </c>
      <c r="C3" s="115">
        <f t="shared" ref="C3:C14" si="1">IF(D3="Data",T3,(I3-H3)/5)</f>
        <v>0.20800000000000002</v>
      </c>
      <c r="D3" s="91" t="s">
        <v>232</v>
      </c>
      <c r="F3" s="106"/>
      <c r="G3" s="186">
        <v>5.2</v>
      </c>
      <c r="H3" s="116">
        <f>0.9*G3</f>
        <v>4.6800000000000006</v>
      </c>
      <c r="I3" s="117">
        <f>1.1*G3</f>
        <v>5.7200000000000006</v>
      </c>
      <c r="K3" s="106"/>
      <c r="L3" s="185" t="s">
        <v>231</v>
      </c>
      <c r="M3" s="184" t="s">
        <v>278</v>
      </c>
      <c r="N3" s="184" t="s">
        <v>279</v>
      </c>
      <c r="O3" s="184"/>
      <c r="P3" s="83">
        <f ca="1">COUNTIF(INDIRECT("'"&amp;L3&amp;"'!"&amp;M3),O3)</f>
        <v>0</v>
      </c>
      <c r="Q3" s="82" t="e">
        <f ca="1">AVERAGEIF(INDIRECT("'"&amp;L3&amp;"'!"&amp;M3),O3,INDIRECT("'"&amp;L3&amp;"'!"&amp;N3))</f>
        <v>#DIV/0!</v>
      </c>
      <c r="R3" s="82">
        <f ca="1">_xlfn.MINIFS(INDIRECT("'"&amp;L3&amp;"'!"&amp;N3),INDIRECT("'"&amp;L3&amp;"'!"&amp;M3),O3)</f>
        <v>0</v>
      </c>
      <c r="S3" s="82">
        <f ca="1">_xlfn.MAXIFS(INDIRECT("'"&amp;L3&amp;"'!"&amp;N3),INDIRECT("'"&amp;L3&amp;"'!"&amp;M3),O3)</f>
        <v>0</v>
      </c>
      <c r="T3" s="83" t="e" cm="1" vm="1">
        <f t="array" aca="1" ref="T3" ca="1">_xlfn.STDEV.P(_xlfn._xlws.FILTER(INDIRECT("'"&amp;L3&amp;"'!"&amp;N3),INDIRECT("'"&amp;L3&amp;"'!"&amp;M3)=O3))</f>
        <v>#VALUE!</v>
      </c>
    </row>
    <row r="4" spans="1:20" ht="21.6" customHeight="1" x14ac:dyDescent="0.3">
      <c r="A4" s="10" t="s">
        <v>455</v>
      </c>
      <c r="B4" s="115">
        <f t="shared" si="0"/>
        <v>5.2</v>
      </c>
      <c r="C4" s="115">
        <f t="shared" si="1"/>
        <v>0.20800000000000002</v>
      </c>
      <c r="D4" s="91" t="s">
        <v>232</v>
      </c>
      <c r="F4" s="106"/>
      <c r="G4" s="187">
        <v>5.2</v>
      </c>
      <c r="H4" s="119">
        <f t="shared" ref="H4:H14" si="2">0.9*G4</f>
        <v>4.6800000000000006</v>
      </c>
      <c r="I4" s="120">
        <f t="shared" ref="I4:I14" si="3">1.1*G4</f>
        <v>5.7200000000000006</v>
      </c>
      <c r="L4" s="184" t="s">
        <v>231</v>
      </c>
      <c r="M4" s="184" t="s">
        <v>278</v>
      </c>
      <c r="N4" s="184" t="s">
        <v>279</v>
      </c>
      <c r="O4" s="184"/>
      <c r="P4" s="83">
        <f t="shared" ref="P4:P14" ca="1" si="4">COUNTIF(INDIRECT("'"&amp;L4&amp;"'!"&amp;M4),O4)</f>
        <v>0</v>
      </c>
      <c r="Q4" s="82" t="e">
        <f t="shared" ref="Q4:Q14" ca="1" si="5">AVERAGEIF(INDIRECT("'"&amp;L4&amp;"'!"&amp;M4),O4,INDIRECT("'"&amp;L4&amp;"'!"&amp;N4))</f>
        <v>#DIV/0!</v>
      </c>
      <c r="R4" s="82">
        <f t="shared" ref="R4:R14" ca="1" si="6">_xlfn.MINIFS(INDIRECT("'"&amp;L4&amp;"'!"&amp;N4),INDIRECT("'"&amp;L4&amp;"'!"&amp;M4),O4)</f>
        <v>0</v>
      </c>
      <c r="S4" s="82">
        <f t="shared" ref="S4:S14" ca="1" si="7">_xlfn.MAXIFS(INDIRECT("'"&amp;L4&amp;"'!"&amp;N4),INDIRECT("'"&amp;L4&amp;"'!"&amp;M4),O4)</f>
        <v>0</v>
      </c>
      <c r="T4" s="83" t="e" cm="1" vm="1">
        <f t="array" aca="1" ref="T4" ca="1">_xlfn.STDEV.P(_xlfn._xlws.FILTER(INDIRECT("'"&amp;L4&amp;"'!"&amp;N4),INDIRECT("'"&amp;L4&amp;"'!"&amp;M4)=O4))</f>
        <v>#VALUE!</v>
      </c>
    </row>
    <row r="5" spans="1:20" ht="21.6" customHeight="1" x14ac:dyDescent="0.3">
      <c r="A5" s="12" t="s">
        <v>456</v>
      </c>
      <c r="B5" s="115">
        <f t="shared" si="0"/>
        <v>5.2</v>
      </c>
      <c r="C5" s="115">
        <f t="shared" si="1"/>
        <v>0.20800000000000002</v>
      </c>
      <c r="D5" s="91" t="s">
        <v>232</v>
      </c>
      <c r="F5" s="106"/>
      <c r="G5" s="187">
        <v>5.2</v>
      </c>
      <c r="H5" s="119">
        <f t="shared" si="2"/>
        <v>4.6800000000000006</v>
      </c>
      <c r="I5" s="120">
        <f t="shared" si="3"/>
        <v>5.7200000000000006</v>
      </c>
      <c r="L5" s="184" t="s">
        <v>231</v>
      </c>
      <c r="M5" s="184" t="s">
        <v>278</v>
      </c>
      <c r="N5" s="184" t="s">
        <v>279</v>
      </c>
      <c r="O5" s="184"/>
      <c r="P5" s="83">
        <f t="shared" ca="1" si="4"/>
        <v>0</v>
      </c>
      <c r="Q5" s="82" t="e">
        <f t="shared" ca="1" si="5"/>
        <v>#DIV/0!</v>
      </c>
      <c r="R5" s="82">
        <f t="shared" ca="1" si="6"/>
        <v>0</v>
      </c>
      <c r="S5" s="82">
        <f t="shared" ca="1" si="7"/>
        <v>0</v>
      </c>
      <c r="T5" s="83" t="e" cm="1" vm="1">
        <f t="array" aca="1" ref="T5" ca="1">_xlfn.STDEV.P(_xlfn._xlws.FILTER(INDIRECT("'"&amp;L5&amp;"'!"&amp;N5),INDIRECT("'"&amp;L5&amp;"'!"&amp;M5)=O5))</f>
        <v>#VALUE!</v>
      </c>
    </row>
    <row r="6" spans="1:20" ht="21.6" customHeight="1" x14ac:dyDescent="0.3">
      <c r="A6" s="10" t="s">
        <v>457</v>
      </c>
      <c r="B6" s="115">
        <f t="shared" si="0"/>
        <v>5.2</v>
      </c>
      <c r="C6" s="115">
        <f t="shared" si="1"/>
        <v>0.20800000000000002</v>
      </c>
      <c r="D6" s="91" t="s">
        <v>232</v>
      </c>
      <c r="F6" s="106"/>
      <c r="G6" s="187">
        <v>5.2</v>
      </c>
      <c r="H6" s="119">
        <f t="shared" si="2"/>
        <v>4.6800000000000006</v>
      </c>
      <c r="I6" s="120">
        <f t="shared" si="3"/>
        <v>5.7200000000000006</v>
      </c>
      <c r="L6" s="184" t="s">
        <v>231</v>
      </c>
      <c r="M6" s="184" t="s">
        <v>278</v>
      </c>
      <c r="N6" s="184" t="s">
        <v>279</v>
      </c>
      <c r="O6" s="184"/>
      <c r="P6" s="83">
        <f t="shared" ca="1" si="4"/>
        <v>0</v>
      </c>
      <c r="Q6" s="82" t="e">
        <f t="shared" ca="1" si="5"/>
        <v>#DIV/0!</v>
      </c>
      <c r="R6" s="82">
        <f t="shared" ca="1" si="6"/>
        <v>0</v>
      </c>
      <c r="S6" s="82">
        <f t="shared" ca="1" si="7"/>
        <v>0</v>
      </c>
      <c r="T6" s="83" t="e" cm="1" vm="1">
        <f t="array" aca="1" ref="T6" ca="1">_xlfn.STDEV.P(_xlfn._xlws.FILTER(INDIRECT("'"&amp;L6&amp;"'!"&amp;N6),INDIRECT("'"&amp;L6&amp;"'!"&amp;M6)=O6))</f>
        <v>#VALUE!</v>
      </c>
    </row>
    <row r="7" spans="1:20" ht="21.6" customHeight="1" x14ac:dyDescent="0.3">
      <c r="A7" s="12" t="s">
        <v>458</v>
      </c>
      <c r="B7" s="115">
        <f t="shared" si="0"/>
        <v>5.2</v>
      </c>
      <c r="C7" s="115">
        <f t="shared" si="1"/>
        <v>0.20800000000000002</v>
      </c>
      <c r="D7" s="91" t="s">
        <v>232</v>
      </c>
      <c r="F7" s="106"/>
      <c r="G7" s="187">
        <v>5.2</v>
      </c>
      <c r="H7" s="119">
        <f t="shared" si="2"/>
        <v>4.6800000000000006</v>
      </c>
      <c r="I7" s="120">
        <f t="shared" si="3"/>
        <v>5.7200000000000006</v>
      </c>
      <c r="L7" s="184" t="s">
        <v>231</v>
      </c>
      <c r="M7" s="184" t="s">
        <v>278</v>
      </c>
      <c r="N7" s="184" t="s">
        <v>279</v>
      </c>
      <c r="O7" s="184"/>
      <c r="P7" s="83">
        <f t="shared" ca="1" si="4"/>
        <v>0</v>
      </c>
      <c r="Q7" s="82" t="e">
        <f t="shared" ca="1" si="5"/>
        <v>#DIV/0!</v>
      </c>
      <c r="R7" s="82">
        <f t="shared" ca="1" si="6"/>
        <v>0</v>
      </c>
      <c r="S7" s="82">
        <f t="shared" ca="1" si="7"/>
        <v>0</v>
      </c>
      <c r="T7" s="83" t="e" cm="1" vm="1">
        <f t="array" aca="1" ref="T7" ca="1">_xlfn.STDEV.P(_xlfn._xlws.FILTER(INDIRECT("'"&amp;L7&amp;"'!"&amp;N7),INDIRECT("'"&amp;L7&amp;"'!"&amp;M7)=O7))</f>
        <v>#VALUE!</v>
      </c>
    </row>
    <row r="8" spans="1:20" ht="21.6" customHeight="1" x14ac:dyDescent="0.3">
      <c r="A8" s="12" t="s">
        <v>459</v>
      </c>
      <c r="B8" s="115">
        <f t="shared" si="0"/>
        <v>5.2</v>
      </c>
      <c r="C8" s="115">
        <f t="shared" si="1"/>
        <v>0.20800000000000002</v>
      </c>
      <c r="D8" s="91" t="s">
        <v>232</v>
      </c>
      <c r="G8" s="187">
        <v>5.2</v>
      </c>
      <c r="H8" s="119">
        <f t="shared" si="2"/>
        <v>4.6800000000000006</v>
      </c>
      <c r="I8" s="120">
        <f t="shared" si="3"/>
        <v>5.7200000000000006</v>
      </c>
      <c r="L8" s="184" t="s">
        <v>231</v>
      </c>
      <c r="M8" s="184" t="s">
        <v>278</v>
      </c>
      <c r="N8" s="184" t="s">
        <v>279</v>
      </c>
      <c r="O8" s="184"/>
      <c r="P8" s="83">
        <f t="shared" ca="1" si="4"/>
        <v>0</v>
      </c>
      <c r="Q8" s="82" t="e">
        <f t="shared" ca="1" si="5"/>
        <v>#DIV/0!</v>
      </c>
      <c r="R8" s="82">
        <f t="shared" ca="1" si="6"/>
        <v>0</v>
      </c>
      <c r="S8" s="82">
        <f t="shared" ca="1" si="7"/>
        <v>0</v>
      </c>
      <c r="T8" s="83" t="e" cm="1" vm="1">
        <f t="array" aca="1" ref="T8" ca="1">_xlfn.STDEV.P(_xlfn._xlws.FILTER(INDIRECT("'"&amp;L8&amp;"'!"&amp;N8),INDIRECT("'"&amp;L8&amp;"'!"&amp;M8)=O8))</f>
        <v>#VALUE!</v>
      </c>
    </row>
    <row r="9" spans="1:20" ht="21.6" customHeight="1" x14ac:dyDescent="0.3">
      <c r="A9" s="12" t="s">
        <v>460</v>
      </c>
      <c r="B9" s="115">
        <f t="shared" si="0"/>
        <v>5.2</v>
      </c>
      <c r="C9" s="115">
        <f t="shared" si="1"/>
        <v>0.20800000000000002</v>
      </c>
      <c r="D9" s="91" t="s">
        <v>232</v>
      </c>
      <c r="F9" s="106"/>
      <c r="G9" s="187">
        <v>5.2</v>
      </c>
      <c r="H9" s="119">
        <f t="shared" si="2"/>
        <v>4.6800000000000006</v>
      </c>
      <c r="I9" s="120">
        <f t="shared" si="3"/>
        <v>5.7200000000000006</v>
      </c>
      <c r="L9" s="184" t="s">
        <v>231</v>
      </c>
      <c r="M9" s="184" t="s">
        <v>278</v>
      </c>
      <c r="N9" s="184" t="s">
        <v>279</v>
      </c>
      <c r="O9" s="184"/>
      <c r="P9" s="83">
        <f t="shared" ca="1" si="4"/>
        <v>0</v>
      </c>
      <c r="Q9" s="82" t="e">
        <f t="shared" ca="1" si="5"/>
        <v>#DIV/0!</v>
      </c>
      <c r="R9" s="82">
        <f t="shared" ca="1" si="6"/>
        <v>0</v>
      </c>
      <c r="S9" s="82">
        <f t="shared" ca="1" si="7"/>
        <v>0</v>
      </c>
      <c r="T9" s="83" t="e" cm="1" vm="1">
        <f t="array" aca="1" ref="T9" ca="1">_xlfn.STDEV.P(_xlfn._xlws.FILTER(INDIRECT("'"&amp;L9&amp;"'!"&amp;N9),INDIRECT("'"&amp;L9&amp;"'!"&amp;M9)=O9))</f>
        <v>#VALUE!</v>
      </c>
    </row>
    <row r="10" spans="1:20" ht="21.6" customHeight="1" x14ac:dyDescent="0.3">
      <c r="A10" s="12" t="s">
        <v>461</v>
      </c>
      <c r="B10" s="115">
        <f t="shared" si="0"/>
        <v>5.2</v>
      </c>
      <c r="C10" s="115">
        <f t="shared" si="1"/>
        <v>0.20800000000000002</v>
      </c>
      <c r="D10" s="91" t="s">
        <v>232</v>
      </c>
      <c r="F10" s="106"/>
      <c r="G10" s="187">
        <v>5.2</v>
      </c>
      <c r="H10" s="119">
        <f t="shared" si="2"/>
        <v>4.6800000000000006</v>
      </c>
      <c r="I10" s="120">
        <f t="shared" si="3"/>
        <v>5.7200000000000006</v>
      </c>
      <c r="L10" s="184" t="s">
        <v>231</v>
      </c>
      <c r="M10" s="184" t="s">
        <v>278</v>
      </c>
      <c r="N10" s="184" t="s">
        <v>279</v>
      </c>
      <c r="O10" s="184"/>
      <c r="P10" s="83">
        <f t="shared" ca="1" si="4"/>
        <v>0</v>
      </c>
      <c r="Q10" s="82" t="e">
        <f t="shared" ca="1" si="5"/>
        <v>#DIV/0!</v>
      </c>
      <c r="R10" s="82">
        <f t="shared" ca="1" si="6"/>
        <v>0</v>
      </c>
      <c r="S10" s="82">
        <f t="shared" ca="1" si="7"/>
        <v>0</v>
      </c>
      <c r="T10" s="83" t="e" cm="1" vm="1">
        <f t="array" aca="1" ref="T10" ca="1">_xlfn.STDEV.P(_xlfn._xlws.FILTER(INDIRECT("'"&amp;L10&amp;"'!"&amp;N10),INDIRECT("'"&amp;L10&amp;"'!"&amp;M10)=O10))</f>
        <v>#VALUE!</v>
      </c>
    </row>
    <row r="11" spans="1:20" ht="21.6" customHeight="1" x14ac:dyDescent="0.3">
      <c r="A11" s="12" t="s">
        <v>462</v>
      </c>
      <c r="B11" s="115">
        <f t="shared" si="0"/>
        <v>5.2</v>
      </c>
      <c r="C11" s="115">
        <f t="shared" si="1"/>
        <v>0.20800000000000002</v>
      </c>
      <c r="D11" s="91" t="s">
        <v>232</v>
      </c>
      <c r="F11" s="106"/>
      <c r="G11" s="187">
        <v>5.2</v>
      </c>
      <c r="H11" s="119">
        <f t="shared" si="2"/>
        <v>4.6800000000000006</v>
      </c>
      <c r="I11" s="120">
        <f t="shared" si="3"/>
        <v>5.7200000000000006</v>
      </c>
      <c r="L11" s="184" t="s">
        <v>231</v>
      </c>
      <c r="M11" s="184" t="s">
        <v>278</v>
      </c>
      <c r="N11" s="184" t="s">
        <v>279</v>
      </c>
      <c r="O11" s="184"/>
      <c r="P11" s="83">
        <f t="shared" ca="1" si="4"/>
        <v>0</v>
      </c>
      <c r="Q11" s="82" t="e">
        <f t="shared" ca="1" si="5"/>
        <v>#DIV/0!</v>
      </c>
      <c r="R11" s="82">
        <f t="shared" ca="1" si="6"/>
        <v>0</v>
      </c>
      <c r="S11" s="82">
        <f t="shared" ca="1" si="7"/>
        <v>0</v>
      </c>
      <c r="T11" s="83" t="e" cm="1" vm="1">
        <f t="array" aca="1" ref="T11" ca="1">_xlfn.STDEV.P(_xlfn._xlws.FILTER(INDIRECT("'"&amp;L11&amp;"'!"&amp;N11),INDIRECT("'"&amp;L11&amp;"'!"&amp;M11)=O11))</f>
        <v>#VALUE!</v>
      </c>
    </row>
    <row r="12" spans="1:20" ht="21.6" customHeight="1" x14ac:dyDescent="0.3">
      <c r="A12" s="12" t="s">
        <v>19</v>
      </c>
      <c r="B12" s="115">
        <f t="shared" si="0"/>
        <v>5.2</v>
      </c>
      <c r="C12" s="115">
        <f t="shared" si="1"/>
        <v>0.20800000000000002</v>
      </c>
      <c r="D12" s="91" t="s">
        <v>232</v>
      </c>
      <c r="F12" s="106"/>
      <c r="G12" s="187">
        <v>5.2</v>
      </c>
      <c r="H12" s="119">
        <f t="shared" si="2"/>
        <v>4.6800000000000006</v>
      </c>
      <c r="I12" s="120">
        <f t="shared" si="3"/>
        <v>5.7200000000000006</v>
      </c>
      <c r="K12" s="106"/>
      <c r="L12" s="184" t="s">
        <v>231</v>
      </c>
      <c r="M12" s="184" t="s">
        <v>278</v>
      </c>
      <c r="N12" s="184" t="s">
        <v>279</v>
      </c>
      <c r="O12" s="184"/>
      <c r="P12" s="83">
        <f t="shared" ca="1" si="4"/>
        <v>0</v>
      </c>
      <c r="Q12" s="82" t="e">
        <f t="shared" ca="1" si="5"/>
        <v>#DIV/0!</v>
      </c>
      <c r="R12" s="82">
        <f t="shared" ca="1" si="6"/>
        <v>0</v>
      </c>
      <c r="S12" s="82">
        <f t="shared" ca="1" si="7"/>
        <v>0</v>
      </c>
      <c r="T12" s="83" t="e" cm="1" vm="1">
        <f t="array" aca="1" ref="T12" ca="1">_xlfn.STDEV.P(_xlfn._xlws.FILTER(INDIRECT("'"&amp;L12&amp;"'!"&amp;N12),INDIRECT("'"&amp;L12&amp;"'!"&amp;M12)=O12))</f>
        <v>#VALUE!</v>
      </c>
    </row>
    <row r="13" spans="1:20" ht="21.6" customHeight="1" x14ac:dyDescent="0.3">
      <c r="A13" s="12" t="s">
        <v>20</v>
      </c>
      <c r="B13" s="115">
        <f t="shared" si="0"/>
        <v>5.2</v>
      </c>
      <c r="C13" s="115">
        <f t="shared" si="1"/>
        <v>0.20800000000000002</v>
      </c>
      <c r="D13" s="91" t="s">
        <v>232</v>
      </c>
      <c r="F13" s="106"/>
      <c r="G13" s="187">
        <v>5.2</v>
      </c>
      <c r="H13" s="119">
        <f t="shared" si="2"/>
        <v>4.6800000000000006</v>
      </c>
      <c r="I13" s="120">
        <f t="shared" si="3"/>
        <v>5.7200000000000006</v>
      </c>
      <c r="L13" s="184" t="s">
        <v>231</v>
      </c>
      <c r="M13" s="184" t="s">
        <v>278</v>
      </c>
      <c r="N13" s="184" t="s">
        <v>279</v>
      </c>
      <c r="O13" s="184"/>
      <c r="P13" s="83">
        <f t="shared" ca="1" si="4"/>
        <v>0</v>
      </c>
      <c r="Q13" s="82" t="e">
        <f t="shared" ca="1" si="5"/>
        <v>#DIV/0!</v>
      </c>
      <c r="R13" s="82">
        <f t="shared" ca="1" si="6"/>
        <v>0</v>
      </c>
      <c r="S13" s="82">
        <f t="shared" ca="1" si="7"/>
        <v>0</v>
      </c>
      <c r="T13" s="83" t="e" cm="1" vm="1">
        <f t="array" aca="1" ref="T13" ca="1">_xlfn.STDEV.P(_xlfn._xlws.FILTER(INDIRECT("'"&amp;L13&amp;"'!"&amp;N13),INDIRECT("'"&amp;L13&amp;"'!"&amp;M13)=O13))</f>
        <v>#VALUE!</v>
      </c>
    </row>
    <row r="14" spans="1:20" ht="21.6" customHeight="1" thickBot="1" x14ac:dyDescent="0.35">
      <c r="A14" s="14" t="s">
        <v>464</v>
      </c>
      <c r="B14" s="115">
        <f t="shared" si="0"/>
        <v>5.2</v>
      </c>
      <c r="C14" s="115">
        <f t="shared" si="1"/>
        <v>0.20800000000000002</v>
      </c>
      <c r="D14" s="91" t="s">
        <v>232</v>
      </c>
      <c r="F14" s="106"/>
      <c r="G14" s="188">
        <v>5.2</v>
      </c>
      <c r="H14" s="121">
        <f t="shared" si="2"/>
        <v>4.6800000000000006</v>
      </c>
      <c r="I14" s="122">
        <f t="shared" si="3"/>
        <v>5.7200000000000006</v>
      </c>
      <c r="L14" s="184" t="s">
        <v>231</v>
      </c>
      <c r="M14" s="184" t="s">
        <v>278</v>
      </c>
      <c r="N14" s="184" t="s">
        <v>279</v>
      </c>
      <c r="O14" s="184"/>
      <c r="P14" s="83">
        <f t="shared" ca="1" si="4"/>
        <v>0</v>
      </c>
      <c r="Q14" s="82" t="e">
        <f t="shared" ca="1" si="5"/>
        <v>#DIV/0!</v>
      </c>
      <c r="R14" s="82">
        <f t="shared" ca="1" si="6"/>
        <v>0</v>
      </c>
      <c r="S14" s="82">
        <f t="shared" ca="1" si="7"/>
        <v>0</v>
      </c>
      <c r="T14" s="83" t="e" cm="1" vm="1">
        <f t="array" aca="1" ref="T14" ca="1">_xlfn.STDEV.P(_xlfn._xlws.FILTER(INDIRECT("'"&amp;L14&amp;"'!"&amp;N14),INDIRECT("'"&amp;L14&amp;"'!"&amp;M14)=O14))</f>
        <v>#VALUE!</v>
      </c>
    </row>
    <row r="28" spans="9:9" x14ac:dyDescent="0.3">
      <c r="I28" s="91" t="s">
        <v>545</v>
      </c>
    </row>
  </sheetData>
  <dataValidations disablePrompts="1" count="1">
    <dataValidation type="list" allowBlank="1" showInputMessage="1" showErrorMessage="1" sqref="D3:D14" xr:uid="{FED56C3E-ACB5-493E-83B1-553CFA8A5827}">
      <formula1>"Data,Expert Estimate"</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401EF-5B71-4052-A12E-CC7A3BBEC12B}">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9.1093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ca="1" si="0">IF(D3="Data",Q3,(G3*3+H3+I3)/5)</f>
        <v>93.445677690812602</v>
      </c>
      <c r="C3" s="115">
        <f t="shared" ref="C3:C14" ca="1" si="1">IF(D3="Data",T3,(I3-H3)/5)</f>
        <v>37.619731750606334</v>
      </c>
      <c r="D3" s="91" t="s">
        <v>275</v>
      </c>
      <c r="F3" s="106"/>
      <c r="G3" s="9"/>
      <c r="H3" s="116"/>
      <c r="I3" s="117"/>
      <c r="K3" s="106"/>
      <c r="L3" s="185" t="s">
        <v>231</v>
      </c>
      <c r="M3" s="184" t="s">
        <v>278</v>
      </c>
      <c r="N3" s="184" t="s">
        <v>279</v>
      </c>
      <c r="O3" s="184" t="s">
        <v>284</v>
      </c>
      <c r="P3" s="83">
        <f ca="1">COUNTIF(INDIRECT("'"&amp;L3&amp;"'!"&amp;M3),O3)</f>
        <v>12</v>
      </c>
      <c r="Q3" s="82">
        <f ca="1">AVERAGEIF(INDIRECT("'"&amp;L3&amp;"'!"&amp;M3),O3,INDIRECT("'"&amp;L3&amp;"'!"&amp;N3))</f>
        <v>93.445677690812602</v>
      </c>
      <c r="R3" s="82">
        <f ca="1">_xlfn.MINIFS(INDIRECT("'"&amp;L3&amp;"'!"&amp;N3),INDIRECT("'"&amp;L3&amp;"'!"&amp;M3),O3)</f>
        <v>46.4464494925137</v>
      </c>
      <c r="S3" s="82">
        <f ca="1">_xlfn.MAXIFS(INDIRECT("'"&amp;L3&amp;"'!"&amp;N3),INDIRECT("'"&amp;L3&amp;"'!"&amp;M3),O3)</f>
        <v>145.45427090790005</v>
      </c>
      <c r="T3" s="83" cm="1">
        <f t="array" aca="1" ref="T3" ca="1">_xlfn.STDEV.P(_xlfn._xlws.FILTER(INDIRECT("'"&amp;L3&amp;"'!"&amp;N3),INDIRECT("'"&amp;L3&amp;"'!"&amp;M3)=O3))</f>
        <v>37.619731750606334</v>
      </c>
    </row>
    <row r="4" spans="1:20" ht="21.6" customHeight="1" x14ac:dyDescent="0.3">
      <c r="A4" s="10" t="s">
        <v>455</v>
      </c>
      <c r="B4" s="115">
        <f t="shared" ca="1" si="0"/>
        <v>93.445677690812602</v>
      </c>
      <c r="C4" s="115">
        <f t="shared" ca="1" si="1"/>
        <v>37.619731750606334</v>
      </c>
      <c r="D4" s="91" t="s">
        <v>275</v>
      </c>
      <c r="F4" s="106"/>
      <c r="G4" s="11"/>
      <c r="H4" s="119"/>
      <c r="I4" s="120"/>
      <c r="L4" s="184" t="s">
        <v>231</v>
      </c>
      <c r="M4" s="184" t="s">
        <v>278</v>
      </c>
      <c r="N4" s="184" t="s">
        <v>279</v>
      </c>
      <c r="O4" s="184" t="s">
        <v>284</v>
      </c>
      <c r="P4" s="83">
        <f t="shared" ref="P4:P14" ca="1" si="2">COUNTIF(INDIRECT("'"&amp;L4&amp;"'!"&amp;M4),O4)</f>
        <v>12</v>
      </c>
      <c r="Q4" s="82">
        <f t="shared" ref="Q4:Q14" ca="1" si="3">AVERAGEIF(INDIRECT("'"&amp;L4&amp;"'!"&amp;M4),O4,INDIRECT("'"&amp;L4&amp;"'!"&amp;N4))</f>
        <v>93.445677690812602</v>
      </c>
      <c r="R4" s="82">
        <f t="shared" ref="R4:R14" ca="1" si="4">_xlfn.MINIFS(INDIRECT("'"&amp;L4&amp;"'!"&amp;N4),INDIRECT("'"&amp;L4&amp;"'!"&amp;M4),O4)</f>
        <v>46.4464494925137</v>
      </c>
      <c r="S4" s="82">
        <f t="shared" ref="S4:S14" ca="1" si="5">_xlfn.MAXIFS(INDIRECT("'"&amp;L4&amp;"'!"&amp;N4),INDIRECT("'"&amp;L4&amp;"'!"&amp;M4),O4)</f>
        <v>145.45427090790005</v>
      </c>
      <c r="T4" s="83" cm="1">
        <f t="array" aca="1" ref="T4" ca="1">_xlfn.STDEV.P(_xlfn._xlws.FILTER(INDIRECT("'"&amp;L4&amp;"'!"&amp;N4),INDIRECT("'"&amp;L4&amp;"'!"&amp;M4)=O4))</f>
        <v>37.619731750606334</v>
      </c>
    </row>
    <row r="5" spans="1:20" ht="21.6" customHeight="1" x14ac:dyDescent="0.3">
      <c r="A5" s="12" t="s">
        <v>456</v>
      </c>
      <c r="B5" s="115">
        <f t="shared" ca="1" si="0"/>
        <v>110.40327507202289</v>
      </c>
      <c r="C5" s="115">
        <f t="shared" ca="1" si="1"/>
        <v>55.427116246263161</v>
      </c>
      <c r="D5" s="91" t="s">
        <v>275</v>
      </c>
      <c r="F5" s="106"/>
      <c r="G5" s="11"/>
      <c r="H5" s="119"/>
      <c r="I5" s="120"/>
      <c r="L5" s="184" t="s">
        <v>231</v>
      </c>
      <c r="M5" s="184" t="s">
        <v>278</v>
      </c>
      <c r="N5" s="184" t="s">
        <v>279</v>
      </c>
      <c r="O5" s="184" t="s">
        <v>103</v>
      </c>
      <c r="P5" s="83">
        <f t="shared" ca="1" si="2"/>
        <v>6</v>
      </c>
      <c r="Q5" s="82">
        <f t="shared" ca="1" si="3"/>
        <v>110.40327507202289</v>
      </c>
      <c r="R5" s="82">
        <f t="shared" ca="1" si="4"/>
        <v>46.4322944915587</v>
      </c>
      <c r="S5" s="82">
        <f t="shared" ca="1" si="5"/>
        <v>205.26069572500001</v>
      </c>
      <c r="T5" s="83" cm="1">
        <f t="array" aca="1" ref="T5" ca="1">_xlfn.STDEV.P(_xlfn._xlws.FILTER(INDIRECT("'"&amp;L5&amp;"'!"&amp;N5),INDIRECT("'"&amp;L5&amp;"'!"&amp;M5)=O5))</f>
        <v>55.427116246263161</v>
      </c>
    </row>
    <row r="6" spans="1:20" ht="21.6" customHeight="1" x14ac:dyDescent="0.3">
      <c r="A6" s="10" t="s">
        <v>457</v>
      </c>
      <c r="B6" s="115">
        <f t="shared" ca="1" si="0"/>
        <v>110.40327507202289</v>
      </c>
      <c r="C6" s="115">
        <f t="shared" ca="1" si="1"/>
        <v>55.427116246263161</v>
      </c>
      <c r="D6" s="91" t="s">
        <v>275</v>
      </c>
      <c r="F6" s="106"/>
      <c r="G6" s="11"/>
      <c r="H6" s="119"/>
      <c r="I6" s="120"/>
      <c r="L6" s="184" t="s">
        <v>231</v>
      </c>
      <c r="M6" s="184" t="s">
        <v>278</v>
      </c>
      <c r="N6" s="184" t="s">
        <v>279</v>
      </c>
      <c r="O6" s="184" t="s">
        <v>103</v>
      </c>
      <c r="P6" s="83">
        <f t="shared" ca="1" si="2"/>
        <v>6</v>
      </c>
      <c r="Q6" s="82">
        <f t="shared" ca="1" si="3"/>
        <v>110.40327507202289</v>
      </c>
      <c r="R6" s="82">
        <f t="shared" ca="1" si="4"/>
        <v>46.4322944915587</v>
      </c>
      <c r="S6" s="82">
        <f t="shared" ca="1" si="5"/>
        <v>205.26069572500001</v>
      </c>
      <c r="T6" s="83" cm="1">
        <f t="array" aca="1" ref="T6" ca="1">_xlfn.STDEV.P(_xlfn._xlws.FILTER(INDIRECT("'"&amp;L6&amp;"'!"&amp;N6),INDIRECT("'"&amp;L6&amp;"'!"&amp;M6)=O6))</f>
        <v>55.427116246263161</v>
      </c>
    </row>
    <row r="7" spans="1:20" ht="21.6" customHeight="1" x14ac:dyDescent="0.3">
      <c r="A7" s="12" t="s">
        <v>458</v>
      </c>
      <c r="B7" s="115">
        <f t="shared" ca="1" si="0"/>
        <v>110.40327507202289</v>
      </c>
      <c r="C7" s="115">
        <f t="shared" ca="1" si="1"/>
        <v>55.427116246263161</v>
      </c>
      <c r="D7" s="91" t="s">
        <v>275</v>
      </c>
      <c r="F7" s="106"/>
      <c r="G7" s="11"/>
      <c r="H7" s="119"/>
      <c r="I7" s="120"/>
      <c r="L7" s="184" t="s">
        <v>231</v>
      </c>
      <c r="M7" s="184" t="s">
        <v>278</v>
      </c>
      <c r="N7" s="184" t="s">
        <v>279</v>
      </c>
      <c r="O7" s="184" t="s">
        <v>103</v>
      </c>
      <c r="P7" s="83">
        <f t="shared" ca="1" si="2"/>
        <v>6</v>
      </c>
      <c r="Q7" s="82">
        <f t="shared" ca="1" si="3"/>
        <v>110.40327507202289</v>
      </c>
      <c r="R7" s="82">
        <f t="shared" ca="1" si="4"/>
        <v>46.4322944915587</v>
      </c>
      <c r="S7" s="82">
        <f t="shared" ca="1" si="5"/>
        <v>205.26069572500001</v>
      </c>
      <c r="T7" s="83" cm="1">
        <f t="array" aca="1" ref="T7" ca="1">_xlfn.STDEV.P(_xlfn._xlws.FILTER(INDIRECT("'"&amp;L7&amp;"'!"&amp;N7),INDIRECT("'"&amp;L7&amp;"'!"&amp;M7)=O7))</f>
        <v>55.427116246263161</v>
      </c>
    </row>
    <row r="8" spans="1:20" ht="21.6" customHeight="1" x14ac:dyDescent="0.3">
      <c r="A8" s="12" t="s">
        <v>459</v>
      </c>
      <c r="B8" s="115">
        <f t="shared" ca="1" si="0"/>
        <v>110.40327507202289</v>
      </c>
      <c r="C8" s="115">
        <f t="shared" ca="1" si="1"/>
        <v>55.427116246263161</v>
      </c>
      <c r="D8" s="91" t="s">
        <v>275</v>
      </c>
      <c r="G8" s="13"/>
      <c r="H8" s="119"/>
      <c r="I8" s="120"/>
      <c r="L8" s="184" t="s">
        <v>231</v>
      </c>
      <c r="M8" s="184" t="s">
        <v>278</v>
      </c>
      <c r="N8" s="184" t="s">
        <v>279</v>
      </c>
      <c r="O8" s="184" t="s">
        <v>103</v>
      </c>
      <c r="P8" s="83">
        <f t="shared" ca="1" si="2"/>
        <v>6</v>
      </c>
      <c r="Q8" s="82">
        <f t="shared" ca="1" si="3"/>
        <v>110.40327507202289</v>
      </c>
      <c r="R8" s="82">
        <f t="shared" ca="1" si="4"/>
        <v>46.4322944915587</v>
      </c>
      <c r="S8" s="82">
        <f t="shared" ca="1" si="5"/>
        <v>205.26069572500001</v>
      </c>
      <c r="T8" s="83" cm="1">
        <f t="array" aca="1" ref="T8" ca="1">_xlfn.STDEV.P(_xlfn._xlws.FILTER(INDIRECT("'"&amp;L8&amp;"'!"&amp;N8),INDIRECT("'"&amp;L8&amp;"'!"&amp;M8)=O8))</f>
        <v>55.427116246263161</v>
      </c>
    </row>
    <row r="9" spans="1:20" ht="21.6" customHeight="1" x14ac:dyDescent="0.3">
      <c r="A9" s="12" t="s">
        <v>460</v>
      </c>
      <c r="B9" s="115">
        <f t="shared" ca="1" si="0"/>
        <v>110.40327507202289</v>
      </c>
      <c r="C9" s="115">
        <f t="shared" ca="1" si="1"/>
        <v>55.427116246263161</v>
      </c>
      <c r="D9" s="91" t="s">
        <v>275</v>
      </c>
      <c r="F9" s="106"/>
      <c r="G9" s="13"/>
      <c r="H9" s="119"/>
      <c r="I9" s="120"/>
      <c r="L9" s="184" t="s">
        <v>231</v>
      </c>
      <c r="M9" s="184" t="s">
        <v>278</v>
      </c>
      <c r="N9" s="184" t="s">
        <v>279</v>
      </c>
      <c r="O9" s="184" t="s">
        <v>103</v>
      </c>
      <c r="P9" s="83">
        <f t="shared" ca="1" si="2"/>
        <v>6</v>
      </c>
      <c r="Q9" s="82">
        <f t="shared" ca="1" si="3"/>
        <v>110.40327507202289</v>
      </c>
      <c r="R9" s="82">
        <f t="shared" ca="1" si="4"/>
        <v>46.4322944915587</v>
      </c>
      <c r="S9" s="82">
        <f t="shared" ca="1" si="5"/>
        <v>205.26069572500001</v>
      </c>
      <c r="T9" s="83" cm="1">
        <f t="array" aca="1" ref="T9" ca="1">_xlfn.STDEV.P(_xlfn._xlws.FILTER(INDIRECT("'"&amp;L9&amp;"'!"&amp;N9),INDIRECT("'"&amp;L9&amp;"'!"&amp;M9)=O9))</f>
        <v>55.427116246263161</v>
      </c>
    </row>
    <row r="10" spans="1:20" ht="21.6" customHeight="1" x14ac:dyDescent="0.3">
      <c r="A10" s="12" t="s">
        <v>461</v>
      </c>
      <c r="B10" s="115">
        <f t="shared" ca="1" si="0"/>
        <v>110.40327507202289</v>
      </c>
      <c r="C10" s="115">
        <f t="shared" ca="1" si="1"/>
        <v>55.427116246263161</v>
      </c>
      <c r="D10" s="91" t="s">
        <v>275</v>
      </c>
      <c r="F10" s="106"/>
      <c r="G10" s="13"/>
      <c r="H10" s="119"/>
      <c r="I10" s="120"/>
      <c r="L10" s="184" t="s">
        <v>231</v>
      </c>
      <c r="M10" s="184" t="s">
        <v>278</v>
      </c>
      <c r="N10" s="184" t="s">
        <v>279</v>
      </c>
      <c r="O10" s="184" t="s">
        <v>103</v>
      </c>
      <c r="P10" s="83">
        <f t="shared" ca="1" si="2"/>
        <v>6</v>
      </c>
      <c r="Q10" s="82">
        <f t="shared" ca="1" si="3"/>
        <v>110.40327507202289</v>
      </c>
      <c r="R10" s="82">
        <f t="shared" ca="1" si="4"/>
        <v>46.4322944915587</v>
      </c>
      <c r="S10" s="82">
        <f t="shared" ca="1" si="5"/>
        <v>205.26069572500001</v>
      </c>
      <c r="T10" s="83" cm="1">
        <f t="array" aca="1" ref="T10" ca="1">_xlfn.STDEV.P(_xlfn._xlws.FILTER(INDIRECT("'"&amp;L10&amp;"'!"&amp;N10),INDIRECT("'"&amp;L10&amp;"'!"&amp;M10)=O10))</f>
        <v>55.427116246263161</v>
      </c>
    </row>
    <row r="11" spans="1:20" ht="21.6" customHeight="1" x14ac:dyDescent="0.3">
      <c r="A11" s="12" t="s">
        <v>462</v>
      </c>
      <c r="B11" s="115">
        <f t="shared" ca="1" si="0"/>
        <v>110.40327507202289</v>
      </c>
      <c r="C11" s="115">
        <f t="shared" ca="1" si="1"/>
        <v>55.427116246263161</v>
      </c>
      <c r="D11" s="91" t="s">
        <v>275</v>
      </c>
      <c r="F11" s="106"/>
      <c r="G11" s="13"/>
      <c r="H11" s="119"/>
      <c r="I11" s="120"/>
      <c r="L11" s="184" t="s">
        <v>231</v>
      </c>
      <c r="M11" s="184" t="s">
        <v>278</v>
      </c>
      <c r="N11" s="184" t="s">
        <v>279</v>
      </c>
      <c r="O11" s="184" t="s">
        <v>103</v>
      </c>
      <c r="P11" s="83">
        <f t="shared" ca="1" si="2"/>
        <v>6</v>
      </c>
      <c r="Q11" s="82">
        <f t="shared" ca="1" si="3"/>
        <v>110.40327507202289</v>
      </c>
      <c r="R11" s="82">
        <f t="shared" ca="1" si="4"/>
        <v>46.4322944915587</v>
      </c>
      <c r="S11" s="82">
        <f t="shared" ca="1" si="5"/>
        <v>205.26069572500001</v>
      </c>
      <c r="T11" s="83" cm="1">
        <f t="array" aca="1" ref="T11" ca="1">_xlfn.STDEV.P(_xlfn._xlws.FILTER(INDIRECT("'"&amp;L11&amp;"'!"&amp;N11),INDIRECT("'"&amp;L11&amp;"'!"&amp;M11)=O11))</f>
        <v>55.427116246263161</v>
      </c>
    </row>
    <row r="12" spans="1:20" ht="21.6" customHeight="1" x14ac:dyDescent="0.3">
      <c r="A12" s="12" t="s">
        <v>19</v>
      </c>
      <c r="B12" s="115">
        <f t="shared" ca="1" si="0"/>
        <v>110.40327507202289</v>
      </c>
      <c r="C12" s="115">
        <f t="shared" ca="1" si="1"/>
        <v>55.427116246263161</v>
      </c>
      <c r="D12" s="91" t="s">
        <v>275</v>
      </c>
      <c r="F12" s="106"/>
      <c r="G12" s="13"/>
      <c r="H12" s="119"/>
      <c r="I12" s="120"/>
      <c r="K12" s="106"/>
      <c r="L12" s="184" t="s">
        <v>231</v>
      </c>
      <c r="M12" s="184" t="s">
        <v>278</v>
      </c>
      <c r="N12" s="184" t="s">
        <v>279</v>
      </c>
      <c r="O12" s="184" t="s">
        <v>103</v>
      </c>
      <c r="P12" s="83">
        <f t="shared" ca="1" si="2"/>
        <v>6</v>
      </c>
      <c r="Q12" s="82">
        <f t="shared" ca="1" si="3"/>
        <v>110.40327507202289</v>
      </c>
      <c r="R12" s="82">
        <f t="shared" ca="1" si="4"/>
        <v>46.4322944915587</v>
      </c>
      <c r="S12" s="82">
        <f t="shared" ca="1" si="5"/>
        <v>205.26069572500001</v>
      </c>
      <c r="T12" s="83" cm="1">
        <f t="array" aca="1" ref="T12" ca="1">_xlfn.STDEV.P(_xlfn._xlws.FILTER(INDIRECT("'"&amp;L12&amp;"'!"&amp;N12),INDIRECT("'"&amp;L12&amp;"'!"&amp;M12)=O12))</f>
        <v>55.427116246263161</v>
      </c>
    </row>
    <row r="13" spans="1:20" ht="21.6" customHeight="1" x14ac:dyDescent="0.3">
      <c r="A13" s="12" t="s">
        <v>20</v>
      </c>
      <c r="B13" s="115">
        <f t="shared" ca="1" si="0"/>
        <v>110.40327507202289</v>
      </c>
      <c r="C13" s="115">
        <f t="shared" ca="1" si="1"/>
        <v>55.427116246263161</v>
      </c>
      <c r="D13" s="91" t="s">
        <v>275</v>
      </c>
      <c r="F13" s="106"/>
      <c r="G13" s="13"/>
      <c r="H13" s="119"/>
      <c r="I13" s="120"/>
      <c r="L13" s="184" t="s">
        <v>231</v>
      </c>
      <c r="M13" s="184" t="s">
        <v>278</v>
      </c>
      <c r="N13" s="184" t="s">
        <v>279</v>
      </c>
      <c r="O13" s="184" t="s">
        <v>103</v>
      </c>
      <c r="P13" s="83">
        <f t="shared" ca="1" si="2"/>
        <v>6</v>
      </c>
      <c r="Q13" s="82">
        <f t="shared" ca="1" si="3"/>
        <v>110.40327507202289</v>
      </c>
      <c r="R13" s="82">
        <f t="shared" ca="1" si="4"/>
        <v>46.4322944915587</v>
      </c>
      <c r="S13" s="82">
        <f t="shared" ca="1" si="5"/>
        <v>205.26069572500001</v>
      </c>
      <c r="T13" s="83" cm="1">
        <f t="array" aca="1" ref="T13" ca="1">_xlfn.STDEV.P(_xlfn._xlws.FILTER(INDIRECT("'"&amp;L13&amp;"'!"&amp;N13),INDIRECT("'"&amp;L13&amp;"'!"&amp;M13)=O13))</f>
        <v>55.427116246263161</v>
      </c>
    </row>
    <row r="14" spans="1:20" ht="21.6" customHeight="1" thickBot="1" x14ac:dyDescent="0.35">
      <c r="A14" s="14" t="s">
        <v>464</v>
      </c>
      <c r="B14" s="115">
        <f t="shared" ca="1" si="0"/>
        <v>110.40327507202289</v>
      </c>
      <c r="C14" s="115">
        <f t="shared" ca="1" si="1"/>
        <v>55.427116246263161</v>
      </c>
      <c r="D14" s="91" t="s">
        <v>275</v>
      </c>
      <c r="F14" s="106"/>
      <c r="G14" s="15"/>
      <c r="H14" s="121"/>
      <c r="I14" s="122"/>
      <c r="L14" s="184" t="s">
        <v>231</v>
      </c>
      <c r="M14" s="184" t="s">
        <v>278</v>
      </c>
      <c r="N14" s="184" t="s">
        <v>279</v>
      </c>
      <c r="O14" s="184" t="s">
        <v>103</v>
      </c>
      <c r="P14" s="83">
        <f t="shared" ca="1" si="2"/>
        <v>6</v>
      </c>
      <c r="Q14" s="82">
        <f t="shared" ca="1" si="3"/>
        <v>110.40327507202289</v>
      </c>
      <c r="R14" s="82">
        <f t="shared" ca="1" si="4"/>
        <v>46.4322944915587</v>
      </c>
      <c r="S14" s="82">
        <f t="shared" ca="1" si="5"/>
        <v>205.26069572500001</v>
      </c>
      <c r="T14" s="83" cm="1">
        <f t="array" aca="1" ref="T14" ca="1">_xlfn.STDEV.P(_xlfn._xlws.FILTER(INDIRECT("'"&amp;L14&amp;"'!"&amp;N14),INDIRECT("'"&amp;L14&amp;"'!"&amp;M14)=O14))</f>
        <v>55.427116246263161</v>
      </c>
    </row>
    <row r="28" spans="9:9" x14ac:dyDescent="0.3">
      <c r="I28" s="91" t="s">
        <v>545</v>
      </c>
    </row>
  </sheetData>
  <dataValidations count="1">
    <dataValidation type="list" allowBlank="1" showInputMessage="1" showErrorMessage="1" sqref="D3:D14" xr:uid="{36D953C7-0B31-43D8-A5B0-8639DEB2CA96}">
      <formula1>"Data,Expert Estimate"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3B267-4E8E-4660-93D6-CD14D67DF753}">
  <sheetPr>
    <tabColor rgb="FFF4F1EF"/>
  </sheetPr>
  <dimension ref="A1:T28"/>
  <sheetViews>
    <sheetView workbookViewId="0">
      <selection activeCell="F18" sqref="F18"/>
    </sheetView>
  </sheetViews>
  <sheetFormatPr defaultRowHeight="14.4" x14ac:dyDescent="0.3"/>
  <cols>
    <col min="1" max="1" width="22.109375" style="103" bestFit="1"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si="0">IF(D3="Data",Q3,(G3*3+H3+I3)/5)</f>
        <v>194.9665884165</v>
      </c>
      <c r="C3" s="115">
        <f t="shared" ref="C3:C14" si="1">IF(D3="Data",T3,(I3-H3)/5)</f>
        <v>7.7986635366600066</v>
      </c>
      <c r="D3" s="91" t="s">
        <v>232</v>
      </c>
      <c r="F3" s="106"/>
      <c r="G3" s="186">
        <v>194.9665884165</v>
      </c>
      <c r="H3" s="116">
        <f>0.9*G3</f>
        <v>175.46992957485</v>
      </c>
      <c r="I3" s="117">
        <f>1.1*G3</f>
        <v>214.46324725815003</v>
      </c>
      <c r="K3" s="106"/>
      <c r="L3" s="185" t="s">
        <v>231</v>
      </c>
      <c r="M3" s="184" t="s">
        <v>278</v>
      </c>
      <c r="N3" s="184" t="s">
        <v>279</v>
      </c>
      <c r="O3" s="184" t="s">
        <v>96</v>
      </c>
      <c r="P3" s="83">
        <f ca="1">COUNTIF(INDIRECT("'"&amp;L3&amp;"'!"&amp;M3),O3)</f>
        <v>3</v>
      </c>
      <c r="Q3" s="82">
        <f ca="1">AVERAGEIF(INDIRECT("'"&amp;L3&amp;"'!"&amp;M3),O3,INDIRECT("'"&amp;L3&amp;"'!"&amp;N3))</f>
        <v>341.63370629599996</v>
      </c>
      <c r="R3" s="82">
        <f ca="1">_xlfn.MINIFS(INDIRECT("'"&amp;L3&amp;"'!"&amp;N3),INDIRECT("'"&amp;L3&amp;"'!"&amp;M3),O3)</f>
        <v>194.9665884165</v>
      </c>
      <c r="S3" s="82">
        <f ca="1">_xlfn.MAXIFS(INDIRECT("'"&amp;L3&amp;"'!"&amp;N3),INDIRECT("'"&amp;L3&amp;"'!"&amp;M3),O3)</f>
        <v>540.13770724949995</v>
      </c>
      <c r="T3" s="83" cm="1">
        <f t="array" aca="1" ref="T3" ca="1">_xlfn.STDEV.P(_xlfn._xlws.FILTER(INDIRECT("'"&amp;L3&amp;"'!"&amp;N3),INDIRECT("'"&amp;L3&amp;"'!"&amp;M3)=O3))</f>
        <v>145.60465229340926</v>
      </c>
    </row>
    <row r="4" spans="1:20" ht="21.6" customHeight="1" x14ac:dyDescent="0.3">
      <c r="A4" s="10" t="s">
        <v>455</v>
      </c>
      <c r="B4" s="115">
        <f t="shared" si="0"/>
        <v>194.9665884165</v>
      </c>
      <c r="C4" s="115">
        <f t="shared" si="1"/>
        <v>7.7986635366600066</v>
      </c>
      <c r="D4" s="91" t="s">
        <v>232</v>
      </c>
      <c r="F4" s="106"/>
      <c r="G4" s="187">
        <v>194.9665884165</v>
      </c>
      <c r="H4" s="119">
        <f t="shared" ref="H4:H14" si="2">0.9*G4</f>
        <v>175.46992957485</v>
      </c>
      <c r="I4" s="120">
        <f t="shared" ref="I4:I14" si="3">1.1*G4</f>
        <v>214.46324725815003</v>
      </c>
      <c r="L4" s="184" t="s">
        <v>231</v>
      </c>
      <c r="M4" s="184" t="s">
        <v>278</v>
      </c>
      <c r="N4" s="184" t="s">
        <v>279</v>
      </c>
      <c r="O4" s="184" t="s">
        <v>96</v>
      </c>
      <c r="P4" s="83">
        <f t="shared" ref="P4:P14" ca="1" si="4">COUNTIF(INDIRECT("'"&amp;L4&amp;"'!"&amp;M4),O4)</f>
        <v>3</v>
      </c>
      <c r="Q4" s="82">
        <f t="shared" ref="Q4:Q14" ca="1" si="5">AVERAGEIF(INDIRECT("'"&amp;L4&amp;"'!"&amp;M4),O4,INDIRECT("'"&amp;L4&amp;"'!"&amp;N4))</f>
        <v>341.63370629599996</v>
      </c>
      <c r="R4" s="82">
        <f t="shared" ref="R4:R14" ca="1" si="6">_xlfn.MINIFS(INDIRECT("'"&amp;L4&amp;"'!"&amp;N4),INDIRECT("'"&amp;L4&amp;"'!"&amp;M4),O4)</f>
        <v>194.9665884165</v>
      </c>
      <c r="S4" s="82">
        <f t="shared" ref="S4:S14" ca="1" si="7">_xlfn.MAXIFS(INDIRECT("'"&amp;L4&amp;"'!"&amp;N4),INDIRECT("'"&amp;L4&amp;"'!"&amp;M4),O4)</f>
        <v>540.13770724949995</v>
      </c>
      <c r="T4" s="83" cm="1">
        <f t="array" aca="1" ref="T4" ca="1">_xlfn.STDEV.P(_xlfn._xlws.FILTER(INDIRECT("'"&amp;L4&amp;"'!"&amp;N4),INDIRECT("'"&amp;L4&amp;"'!"&amp;M4)=O4))</f>
        <v>145.60465229340926</v>
      </c>
    </row>
    <row r="5" spans="1:20" ht="21.6" customHeight="1" x14ac:dyDescent="0.3">
      <c r="A5" s="12" t="s">
        <v>456</v>
      </c>
      <c r="B5" s="115">
        <f t="shared" ca="1" si="0"/>
        <v>341.63370629599996</v>
      </c>
      <c r="C5" s="115">
        <f t="shared" ca="1" si="1"/>
        <v>145.60465229340926</v>
      </c>
      <c r="D5" s="91" t="s">
        <v>275</v>
      </c>
      <c r="F5" s="106"/>
      <c r="G5" s="187"/>
      <c r="H5" s="119">
        <f t="shared" si="2"/>
        <v>0</v>
      </c>
      <c r="I5" s="120">
        <f t="shared" si="3"/>
        <v>0</v>
      </c>
      <c r="L5" s="184" t="s">
        <v>231</v>
      </c>
      <c r="M5" s="184" t="s">
        <v>278</v>
      </c>
      <c r="N5" s="184" t="s">
        <v>279</v>
      </c>
      <c r="O5" s="184" t="s">
        <v>96</v>
      </c>
      <c r="P5" s="83">
        <f t="shared" ca="1" si="4"/>
        <v>3</v>
      </c>
      <c r="Q5" s="82">
        <f t="shared" ca="1" si="5"/>
        <v>341.63370629599996</v>
      </c>
      <c r="R5" s="82">
        <f t="shared" ca="1" si="6"/>
        <v>194.9665884165</v>
      </c>
      <c r="S5" s="82">
        <f t="shared" ca="1" si="7"/>
        <v>540.13770724949995</v>
      </c>
      <c r="T5" s="83" cm="1">
        <f t="array" aca="1" ref="T5" ca="1">_xlfn.STDEV.P(_xlfn._xlws.FILTER(INDIRECT("'"&amp;L5&amp;"'!"&amp;N5),INDIRECT("'"&amp;L5&amp;"'!"&amp;M5)=O5))</f>
        <v>145.60465229340926</v>
      </c>
    </row>
    <row r="6" spans="1:20" ht="21.6" customHeight="1" x14ac:dyDescent="0.3">
      <c r="A6" s="10" t="s">
        <v>457</v>
      </c>
      <c r="B6" s="115">
        <f t="shared" ca="1" si="0"/>
        <v>341.63370629599996</v>
      </c>
      <c r="C6" s="115">
        <f t="shared" ca="1" si="1"/>
        <v>145.60465229340926</v>
      </c>
      <c r="D6" s="91" t="s">
        <v>275</v>
      </c>
      <c r="F6" s="106"/>
      <c r="G6" s="187"/>
      <c r="H6" s="119">
        <f t="shared" si="2"/>
        <v>0</v>
      </c>
      <c r="I6" s="120">
        <f t="shared" si="3"/>
        <v>0</v>
      </c>
      <c r="L6" s="184" t="s">
        <v>231</v>
      </c>
      <c r="M6" s="184" t="s">
        <v>278</v>
      </c>
      <c r="N6" s="184" t="s">
        <v>279</v>
      </c>
      <c r="O6" s="184" t="s">
        <v>96</v>
      </c>
      <c r="P6" s="83">
        <f t="shared" ca="1" si="4"/>
        <v>3</v>
      </c>
      <c r="Q6" s="82">
        <f t="shared" ca="1" si="5"/>
        <v>341.63370629599996</v>
      </c>
      <c r="R6" s="82">
        <f t="shared" ca="1" si="6"/>
        <v>194.9665884165</v>
      </c>
      <c r="S6" s="82">
        <f t="shared" ca="1" si="7"/>
        <v>540.13770724949995</v>
      </c>
      <c r="T6" s="83" cm="1">
        <f t="array" aca="1" ref="T6" ca="1">_xlfn.STDEV.P(_xlfn._xlws.FILTER(INDIRECT("'"&amp;L6&amp;"'!"&amp;N6),INDIRECT("'"&amp;L6&amp;"'!"&amp;M6)=O6))</f>
        <v>145.60465229340926</v>
      </c>
    </row>
    <row r="7" spans="1:20" ht="21.6" customHeight="1" x14ac:dyDescent="0.3">
      <c r="A7" s="12" t="s">
        <v>458</v>
      </c>
      <c r="B7" s="115">
        <f t="shared" ca="1" si="0"/>
        <v>341.63370629599996</v>
      </c>
      <c r="C7" s="115">
        <f t="shared" ca="1" si="1"/>
        <v>145.60465229340926</v>
      </c>
      <c r="D7" s="91" t="s">
        <v>275</v>
      </c>
      <c r="F7" s="106"/>
      <c r="G7" s="187"/>
      <c r="H7" s="119">
        <f t="shared" si="2"/>
        <v>0</v>
      </c>
      <c r="I7" s="120">
        <f t="shared" si="3"/>
        <v>0</v>
      </c>
      <c r="L7" s="184" t="s">
        <v>231</v>
      </c>
      <c r="M7" s="184" t="s">
        <v>278</v>
      </c>
      <c r="N7" s="184" t="s">
        <v>279</v>
      </c>
      <c r="O7" s="184" t="s">
        <v>96</v>
      </c>
      <c r="P7" s="83">
        <f t="shared" ca="1" si="4"/>
        <v>3</v>
      </c>
      <c r="Q7" s="82">
        <f t="shared" ca="1" si="5"/>
        <v>341.63370629599996</v>
      </c>
      <c r="R7" s="82">
        <f t="shared" ca="1" si="6"/>
        <v>194.9665884165</v>
      </c>
      <c r="S7" s="82">
        <f t="shared" ca="1" si="7"/>
        <v>540.13770724949995</v>
      </c>
      <c r="T7" s="83" cm="1">
        <f t="array" aca="1" ref="T7" ca="1">_xlfn.STDEV.P(_xlfn._xlws.FILTER(INDIRECT("'"&amp;L7&amp;"'!"&amp;N7),INDIRECT("'"&amp;L7&amp;"'!"&amp;M7)=O7))</f>
        <v>145.60465229340926</v>
      </c>
    </row>
    <row r="8" spans="1:20" ht="21.6" customHeight="1" x14ac:dyDescent="0.3">
      <c r="A8" s="12" t="s">
        <v>459</v>
      </c>
      <c r="B8" s="115">
        <f t="shared" ca="1" si="0"/>
        <v>341.63370629599996</v>
      </c>
      <c r="C8" s="115">
        <f t="shared" ca="1" si="1"/>
        <v>145.60465229340926</v>
      </c>
      <c r="D8" s="91" t="s">
        <v>275</v>
      </c>
      <c r="G8" s="187"/>
      <c r="H8" s="119">
        <f t="shared" si="2"/>
        <v>0</v>
      </c>
      <c r="I8" s="120">
        <f t="shared" si="3"/>
        <v>0</v>
      </c>
      <c r="L8" s="184" t="s">
        <v>231</v>
      </c>
      <c r="M8" s="184" t="s">
        <v>278</v>
      </c>
      <c r="N8" s="184" t="s">
        <v>279</v>
      </c>
      <c r="O8" s="184" t="s">
        <v>96</v>
      </c>
      <c r="P8" s="83">
        <f t="shared" ca="1" si="4"/>
        <v>3</v>
      </c>
      <c r="Q8" s="82">
        <f t="shared" ca="1" si="5"/>
        <v>341.63370629599996</v>
      </c>
      <c r="R8" s="82">
        <f t="shared" ca="1" si="6"/>
        <v>194.9665884165</v>
      </c>
      <c r="S8" s="82">
        <f t="shared" ca="1" si="7"/>
        <v>540.13770724949995</v>
      </c>
      <c r="T8" s="83" cm="1">
        <f t="array" aca="1" ref="T8" ca="1">_xlfn.STDEV.P(_xlfn._xlws.FILTER(INDIRECT("'"&amp;L8&amp;"'!"&amp;N8),INDIRECT("'"&amp;L8&amp;"'!"&amp;M8)=O8))</f>
        <v>145.60465229340926</v>
      </c>
    </row>
    <row r="9" spans="1:20" ht="21.6" customHeight="1" x14ac:dyDescent="0.3">
      <c r="A9" s="12" t="s">
        <v>460</v>
      </c>
      <c r="B9" s="115">
        <f t="shared" ca="1" si="0"/>
        <v>341.63370629599996</v>
      </c>
      <c r="C9" s="115">
        <f t="shared" ca="1" si="1"/>
        <v>145.60465229340926</v>
      </c>
      <c r="D9" s="91" t="s">
        <v>275</v>
      </c>
      <c r="F9" s="106"/>
      <c r="G9" s="187"/>
      <c r="H9" s="119">
        <f t="shared" si="2"/>
        <v>0</v>
      </c>
      <c r="I9" s="120">
        <f t="shared" si="3"/>
        <v>0</v>
      </c>
      <c r="L9" s="184" t="s">
        <v>231</v>
      </c>
      <c r="M9" s="184" t="s">
        <v>278</v>
      </c>
      <c r="N9" s="184" t="s">
        <v>279</v>
      </c>
      <c r="O9" s="184" t="s">
        <v>96</v>
      </c>
      <c r="P9" s="83">
        <f t="shared" ca="1" si="4"/>
        <v>3</v>
      </c>
      <c r="Q9" s="82">
        <f t="shared" ca="1" si="5"/>
        <v>341.63370629599996</v>
      </c>
      <c r="R9" s="82">
        <f t="shared" ca="1" si="6"/>
        <v>194.9665884165</v>
      </c>
      <c r="S9" s="82">
        <f t="shared" ca="1" si="7"/>
        <v>540.13770724949995</v>
      </c>
      <c r="T9" s="83" cm="1">
        <f t="array" aca="1" ref="T9" ca="1">_xlfn.STDEV.P(_xlfn._xlws.FILTER(INDIRECT("'"&amp;L9&amp;"'!"&amp;N9),INDIRECT("'"&amp;L9&amp;"'!"&amp;M9)=O9))</f>
        <v>145.60465229340926</v>
      </c>
    </row>
    <row r="10" spans="1:20" ht="21.6" customHeight="1" x14ac:dyDescent="0.3">
      <c r="A10" s="12" t="s">
        <v>461</v>
      </c>
      <c r="B10" s="115">
        <f t="shared" ca="1" si="0"/>
        <v>341.63370629599996</v>
      </c>
      <c r="C10" s="115">
        <f t="shared" ca="1" si="1"/>
        <v>145.60465229340926</v>
      </c>
      <c r="D10" s="91" t="s">
        <v>275</v>
      </c>
      <c r="F10" s="106"/>
      <c r="G10" s="187"/>
      <c r="H10" s="119">
        <f t="shared" si="2"/>
        <v>0</v>
      </c>
      <c r="I10" s="120">
        <f t="shared" si="3"/>
        <v>0</v>
      </c>
      <c r="L10" s="184" t="s">
        <v>231</v>
      </c>
      <c r="M10" s="184" t="s">
        <v>278</v>
      </c>
      <c r="N10" s="184" t="s">
        <v>279</v>
      </c>
      <c r="O10" s="184" t="s">
        <v>96</v>
      </c>
      <c r="P10" s="83">
        <f t="shared" ca="1" si="4"/>
        <v>3</v>
      </c>
      <c r="Q10" s="82">
        <f t="shared" ca="1" si="5"/>
        <v>341.63370629599996</v>
      </c>
      <c r="R10" s="82">
        <f t="shared" ca="1" si="6"/>
        <v>194.9665884165</v>
      </c>
      <c r="S10" s="82">
        <f t="shared" ca="1" si="7"/>
        <v>540.13770724949995</v>
      </c>
      <c r="T10" s="83" cm="1">
        <f t="array" aca="1" ref="T10" ca="1">_xlfn.STDEV.P(_xlfn._xlws.FILTER(INDIRECT("'"&amp;L10&amp;"'!"&amp;N10),INDIRECT("'"&amp;L10&amp;"'!"&amp;M10)=O10))</f>
        <v>145.60465229340926</v>
      </c>
    </row>
    <row r="11" spans="1:20" ht="21.6" customHeight="1" x14ac:dyDescent="0.3">
      <c r="A11" s="12" t="s">
        <v>462</v>
      </c>
      <c r="B11" s="115">
        <f t="shared" ca="1" si="0"/>
        <v>341.63370629599996</v>
      </c>
      <c r="C11" s="115">
        <f t="shared" ca="1" si="1"/>
        <v>145.60465229340926</v>
      </c>
      <c r="D11" s="91" t="s">
        <v>275</v>
      </c>
      <c r="F11" s="106"/>
      <c r="G11" s="187"/>
      <c r="H11" s="119">
        <f t="shared" si="2"/>
        <v>0</v>
      </c>
      <c r="I11" s="120">
        <f t="shared" si="3"/>
        <v>0</v>
      </c>
      <c r="L11" s="184" t="s">
        <v>231</v>
      </c>
      <c r="M11" s="184" t="s">
        <v>278</v>
      </c>
      <c r="N11" s="184" t="s">
        <v>279</v>
      </c>
      <c r="O11" s="184" t="s">
        <v>96</v>
      </c>
      <c r="P11" s="83">
        <f t="shared" ca="1" si="4"/>
        <v>3</v>
      </c>
      <c r="Q11" s="82">
        <f t="shared" ca="1" si="5"/>
        <v>341.63370629599996</v>
      </c>
      <c r="R11" s="82">
        <f t="shared" ca="1" si="6"/>
        <v>194.9665884165</v>
      </c>
      <c r="S11" s="82">
        <f t="shared" ca="1" si="7"/>
        <v>540.13770724949995</v>
      </c>
      <c r="T11" s="83" cm="1">
        <f t="array" aca="1" ref="T11" ca="1">_xlfn.STDEV.P(_xlfn._xlws.FILTER(INDIRECT("'"&amp;L11&amp;"'!"&amp;N11),INDIRECT("'"&amp;L11&amp;"'!"&amp;M11)=O11))</f>
        <v>145.60465229340926</v>
      </c>
    </row>
    <row r="12" spans="1:20" ht="21.6" customHeight="1" x14ac:dyDescent="0.3">
      <c r="A12" s="12" t="s">
        <v>19</v>
      </c>
      <c r="B12" s="115">
        <f t="shared" ca="1" si="0"/>
        <v>341.63370629599996</v>
      </c>
      <c r="C12" s="115">
        <f t="shared" ca="1" si="1"/>
        <v>145.60465229340926</v>
      </c>
      <c r="D12" s="91" t="s">
        <v>275</v>
      </c>
      <c r="F12" s="106"/>
      <c r="G12" s="187"/>
      <c r="H12" s="119">
        <f t="shared" si="2"/>
        <v>0</v>
      </c>
      <c r="I12" s="120">
        <f t="shared" si="3"/>
        <v>0</v>
      </c>
      <c r="K12" s="106"/>
      <c r="L12" s="184" t="s">
        <v>231</v>
      </c>
      <c r="M12" s="184" t="s">
        <v>278</v>
      </c>
      <c r="N12" s="184" t="s">
        <v>279</v>
      </c>
      <c r="O12" s="184" t="s">
        <v>96</v>
      </c>
      <c r="P12" s="83">
        <f t="shared" ca="1" si="4"/>
        <v>3</v>
      </c>
      <c r="Q12" s="82">
        <f t="shared" ca="1" si="5"/>
        <v>341.63370629599996</v>
      </c>
      <c r="R12" s="82">
        <f t="shared" ca="1" si="6"/>
        <v>194.9665884165</v>
      </c>
      <c r="S12" s="82">
        <f t="shared" ca="1" si="7"/>
        <v>540.13770724949995</v>
      </c>
      <c r="T12" s="83" cm="1">
        <f t="array" aca="1" ref="T12" ca="1">_xlfn.STDEV.P(_xlfn._xlws.FILTER(INDIRECT("'"&amp;L12&amp;"'!"&amp;N12),INDIRECT("'"&amp;L12&amp;"'!"&amp;M12)=O12))</f>
        <v>145.60465229340926</v>
      </c>
    </row>
    <row r="13" spans="1:20" ht="21.6" customHeight="1" x14ac:dyDescent="0.3">
      <c r="A13" s="12" t="s">
        <v>20</v>
      </c>
      <c r="B13" s="115">
        <f t="shared" ca="1" si="0"/>
        <v>341.63370629599996</v>
      </c>
      <c r="C13" s="115">
        <f t="shared" ca="1" si="1"/>
        <v>145.60465229340926</v>
      </c>
      <c r="D13" s="91" t="s">
        <v>275</v>
      </c>
      <c r="F13" s="106"/>
      <c r="G13" s="187"/>
      <c r="H13" s="119">
        <f t="shared" si="2"/>
        <v>0</v>
      </c>
      <c r="I13" s="120">
        <f t="shared" si="3"/>
        <v>0</v>
      </c>
      <c r="L13" s="184" t="s">
        <v>231</v>
      </c>
      <c r="M13" s="184" t="s">
        <v>278</v>
      </c>
      <c r="N13" s="184" t="s">
        <v>279</v>
      </c>
      <c r="O13" s="184" t="s">
        <v>96</v>
      </c>
      <c r="P13" s="83">
        <f t="shared" ca="1" si="4"/>
        <v>3</v>
      </c>
      <c r="Q13" s="82">
        <f t="shared" ca="1" si="5"/>
        <v>341.63370629599996</v>
      </c>
      <c r="R13" s="82">
        <f t="shared" ca="1" si="6"/>
        <v>194.9665884165</v>
      </c>
      <c r="S13" s="82">
        <f t="shared" ca="1" si="7"/>
        <v>540.13770724949995</v>
      </c>
      <c r="T13" s="83" cm="1">
        <f t="array" aca="1" ref="T13" ca="1">_xlfn.STDEV.P(_xlfn._xlws.FILTER(INDIRECT("'"&amp;L13&amp;"'!"&amp;N13),INDIRECT("'"&amp;L13&amp;"'!"&amp;M13)=O13))</f>
        <v>145.60465229340926</v>
      </c>
    </row>
    <row r="14" spans="1:20" ht="21.6" customHeight="1" thickBot="1" x14ac:dyDescent="0.35">
      <c r="A14" s="14" t="s">
        <v>464</v>
      </c>
      <c r="B14" s="115">
        <f t="shared" ca="1" si="0"/>
        <v>341.63370629599996</v>
      </c>
      <c r="C14" s="115">
        <f t="shared" ca="1" si="1"/>
        <v>145.60465229340926</v>
      </c>
      <c r="D14" s="91" t="s">
        <v>275</v>
      </c>
      <c r="F14" s="106"/>
      <c r="G14" s="188"/>
      <c r="H14" s="121">
        <f t="shared" si="2"/>
        <v>0</v>
      </c>
      <c r="I14" s="122">
        <f t="shared" si="3"/>
        <v>0</v>
      </c>
      <c r="L14" s="184" t="s">
        <v>231</v>
      </c>
      <c r="M14" s="184" t="s">
        <v>278</v>
      </c>
      <c r="N14" s="184" t="s">
        <v>279</v>
      </c>
      <c r="O14" s="184" t="s">
        <v>96</v>
      </c>
      <c r="P14" s="83">
        <f t="shared" ca="1" si="4"/>
        <v>3</v>
      </c>
      <c r="Q14" s="82">
        <f t="shared" ca="1" si="5"/>
        <v>341.63370629599996</v>
      </c>
      <c r="R14" s="82">
        <f t="shared" ca="1" si="6"/>
        <v>194.9665884165</v>
      </c>
      <c r="S14" s="82">
        <f t="shared" ca="1" si="7"/>
        <v>540.13770724949995</v>
      </c>
      <c r="T14" s="83" cm="1">
        <f t="array" aca="1" ref="T14" ca="1">_xlfn.STDEV.P(_xlfn._xlws.FILTER(INDIRECT("'"&amp;L14&amp;"'!"&amp;N14),INDIRECT("'"&amp;L14&amp;"'!"&amp;M14)=O14))</f>
        <v>145.60465229340926</v>
      </c>
    </row>
    <row r="28" spans="9:9" x14ac:dyDescent="0.3">
      <c r="I28" s="91" t="s">
        <v>545</v>
      </c>
    </row>
  </sheetData>
  <dataValidations disablePrompts="1" count="1">
    <dataValidation type="list" allowBlank="1" showInputMessage="1" showErrorMessage="1" sqref="D3:D14" xr:uid="{9BBF3A08-2FCF-47DD-BF69-30386D87E2DA}">
      <formula1>"Data,Expert Estimate"</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01F7E-D795-4D3A-87BA-576CFF76218B}">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si="0">IF(D3="Data",Q3,(G3*3+H3+I3)/5)</f>
        <v>110.64661853200001</v>
      </c>
      <c r="C3" s="115">
        <f t="shared" ref="C3:C14" si="1">IF(D3="Data",T3,(I3-H3)/5)</f>
        <v>4.4258647412799998</v>
      </c>
      <c r="D3" s="91" t="s">
        <v>232</v>
      </c>
      <c r="F3" s="106"/>
      <c r="G3" s="189">
        <v>110.64661853200001</v>
      </c>
      <c r="H3" s="116">
        <f>0.9*G3</f>
        <v>99.581956678800012</v>
      </c>
      <c r="I3" s="117">
        <f>1.1*G3</f>
        <v>121.71128038520001</v>
      </c>
      <c r="K3" s="106"/>
      <c r="L3" s="185" t="s">
        <v>231</v>
      </c>
      <c r="M3" s="184" t="s">
        <v>278</v>
      </c>
      <c r="N3" s="184" t="s">
        <v>279</v>
      </c>
      <c r="O3" s="184" t="s">
        <v>59</v>
      </c>
      <c r="P3" s="83">
        <f ca="1">COUNTIF(INDIRECT("'"&amp;L3&amp;"'!"&amp;M3),O3)</f>
        <v>3</v>
      </c>
      <c r="Q3" s="82">
        <f ca="1">AVERAGEIF(INDIRECT("'"&amp;L3&amp;"'!"&amp;M3),O3,INDIRECT("'"&amp;L3&amp;"'!"&amp;N3))</f>
        <v>152.23476339666666</v>
      </c>
      <c r="R3" s="82">
        <f ca="1">_xlfn.MINIFS(INDIRECT("'"&amp;L3&amp;"'!"&amp;N3),INDIRECT("'"&amp;L3&amp;"'!"&amp;M3),O3)</f>
        <v>110.64661853200001</v>
      </c>
      <c r="S3" s="82">
        <f ca="1">_xlfn.MAXIFS(INDIRECT("'"&amp;L3&amp;"'!"&amp;N3),INDIRECT("'"&amp;L3&amp;"'!"&amp;M3),O3)</f>
        <v>198.27881416999998</v>
      </c>
      <c r="T3" s="83" cm="1">
        <f t="array" aca="1" ref="T3" ca="1">_xlfn.STDEV.P(_xlfn._xlws.FILTER(INDIRECT("'"&amp;L3&amp;"'!"&amp;N3),INDIRECT("'"&amp;L3&amp;"'!"&amp;M3)=O3))</f>
        <v>35.914173164962257</v>
      </c>
    </row>
    <row r="4" spans="1:20" ht="21.6" customHeight="1" x14ac:dyDescent="0.3">
      <c r="A4" s="10" t="s">
        <v>455</v>
      </c>
      <c r="B4" s="115">
        <f t="shared" si="0"/>
        <v>110.64661853200001</v>
      </c>
      <c r="C4" s="115">
        <f t="shared" si="1"/>
        <v>4.4258647412799998</v>
      </c>
      <c r="D4" s="91" t="s">
        <v>232</v>
      </c>
      <c r="F4" s="106"/>
      <c r="G4" s="190">
        <v>110.64661853200001</v>
      </c>
      <c r="H4" s="119">
        <f t="shared" ref="H4:H14" si="2">0.9*G4</f>
        <v>99.581956678800012</v>
      </c>
      <c r="I4" s="120">
        <f t="shared" ref="I4:I14" si="3">1.1*G4</f>
        <v>121.71128038520001</v>
      </c>
      <c r="L4" s="184" t="s">
        <v>231</v>
      </c>
      <c r="M4" s="184" t="s">
        <v>278</v>
      </c>
      <c r="N4" s="184" t="s">
        <v>279</v>
      </c>
      <c r="O4" s="184" t="s">
        <v>59</v>
      </c>
      <c r="P4" s="83">
        <f t="shared" ref="P4:P14" ca="1" si="4">COUNTIF(INDIRECT("'"&amp;L4&amp;"'!"&amp;M4),O4)</f>
        <v>3</v>
      </c>
      <c r="Q4" s="82">
        <f t="shared" ref="Q4:Q14" ca="1" si="5">AVERAGEIF(INDIRECT("'"&amp;L4&amp;"'!"&amp;M4),O4,INDIRECT("'"&amp;L4&amp;"'!"&amp;N4))</f>
        <v>152.23476339666666</v>
      </c>
      <c r="R4" s="82">
        <f t="shared" ref="R4:R14" ca="1" si="6">_xlfn.MINIFS(INDIRECT("'"&amp;L4&amp;"'!"&amp;N4),INDIRECT("'"&amp;L4&amp;"'!"&amp;M4),O4)</f>
        <v>110.64661853200001</v>
      </c>
      <c r="S4" s="82">
        <f t="shared" ref="S4:S14" ca="1" si="7">_xlfn.MAXIFS(INDIRECT("'"&amp;L4&amp;"'!"&amp;N4),INDIRECT("'"&amp;L4&amp;"'!"&amp;M4),O4)</f>
        <v>198.27881416999998</v>
      </c>
      <c r="T4" s="83" cm="1">
        <f t="array" aca="1" ref="T4" ca="1">_xlfn.STDEV.P(_xlfn._xlws.FILTER(INDIRECT("'"&amp;L4&amp;"'!"&amp;N4),INDIRECT("'"&amp;L4&amp;"'!"&amp;M4)=O4))</f>
        <v>35.914173164962257</v>
      </c>
    </row>
    <row r="5" spans="1:20" ht="21.6" customHeight="1" x14ac:dyDescent="0.3">
      <c r="A5" s="12" t="s">
        <v>456</v>
      </c>
      <c r="B5" s="115">
        <f t="shared" si="0"/>
        <v>147.77885748800003</v>
      </c>
      <c r="C5" s="115">
        <f t="shared" si="1"/>
        <v>5.9111542995200015</v>
      </c>
      <c r="D5" s="91" t="s">
        <v>232</v>
      </c>
      <c r="F5" s="106"/>
      <c r="G5" s="191">
        <v>147.77885748800003</v>
      </c>
      <c r="H5" s="119">
        <f t="shared" si="2"/>
        <v>133.00097173920003</v>
      </c>
      <c r="I5" s="120">
        <f t="shared" si="3"/>
        <v>162.55674323680003</v>
      </c>
      <c r="L5" s="184" t="s">
        <v>231</v>
      </c>
      <c r="M5" s="184" t="s">
        <v>278</v>
      </c>
      <c r="N5" s="184" t="s">
        <v>279</v>
      </c>
      <c r="O5" s="184" t="s">
        <v>59</v>
      </c>
      <c r="P5" s="83">
        <f t="shared" ca="1" si="4"/>
        <v>3</v>
      </c>
      <c r="Q5" s="82">
        <f t="shared" ca="1" si="5"/>
        <v>152.23476339666666</v>
      </c>
      <c r="R5" s="82">
        <f t="shared" ca="1" si="6"/>
        <v>110.64661853200001</v>
      </c>
      <c r="S5" s="82">
        <f t="shared" ca="1" si="7"/>
        <v>198.27881416999998</v>
      </c>
      <c r="T5" s="83" cm="1">
        <f t="array" aca="1" ref="T5" ca="1">_xlfn.STDEV.P(_xlfn._xlws.FILTER(INDIRECT("'"&amp;L5&amp;"'!"&amp;N5),INDIRECT("'"&amp;L5&amp;"'!"&amp;M5)=O5))</f>
        <v>35.914173164962257</v>
      </c>
    </row>
    <row r="6" spans="1:20" ht="21.6" customHeight="1" x14ac:dyDescent="0.3">
      <c r="A6" s="10" t="s">
        <v>457</v>
      </c>
      <c r="B6" s="115">
        <f t="shared" si="0"/>
        <v>147.77885748800003</v>
      </c>
      <c r="C6" s="115">
        <f t="shared" si="1"/>
        <v>5.9111542995200015</v>
      </c>
      <c r="D6" s="91" t="s">
        <v>232</v>
      </c>
      <c r="F6" s="106"/>
      <c r="G6" s="191">
        <v>147.77885748800003</v>
      </c>
      <c r="H6" s="119">
        <f t="shared" si="2"/>
        <v>133.00097173920003</v>
      </c>
      <c r="I6" s="120">
        <f t="shared" si="3"/>
        <v>162.55674323680003</v>
      </c>
      <c r="L6" s="184" t="s">
        <v>231</v>
      </c>
      <c r="M6" s="184" t="s">
        <v>278</v>
      </c>
      <c r="N6" s="184" t="s">
        <v>279</v>
      </c>
      <c r="O6" s="184" t="s">
        <v>59</v>
      </c>
      <c r="P6" s="83">
        <f t="shared" ca="1" si="4"/>
        <v>3</v>
      </c>
      <c r="Q6" s="82">
        <f t="shared" ca="1" si="5"/>
        <v>152.23476339666666</v>
      </c>
      <c r="R6" s="82">
        <f t="shared" ca="1" si="6"/>
        <v>110.64661853200001</v>
      </c>
      <c r="S6" s="82">
        <f t="shared" ca="1" si="7"/>
        <v>198.27881416999998</v>
      </c>
      <c r="T6" s="83" cm="1">
        <f t="array" aca="1" ref="T6" ca="1">_xlfn.STDEV.P(_xlfn._xlws.FILTER(INDIRECT("'"&amp;L6&amp;"'!"&amp;N6),INDIRECT("'"&amp;L6&amp;"'!"&amp;M6)=O6))</f>
        <v>35.914173164962257</v>
      </c>
    </row>
    <row r="7" spans="1:20" ht="21.6" customHeight="1" x14ac:dyDescent="0.3">
      <c r="A7" s="12" t="s">
        <v>458</v>
      </c>
      <c r="B7" s="115">
        <f t="shared" si="0"/>
        <v>147.77885748800003</v>
      </c>
      <c r="C7" s="115">
        <f t="shared" si="1"/>
        <v>5.9111542995200015</v>
      </c>
      <c r="D7" s="91" t="s">
        <v>232</v>
      </c>
      <c r="F7" s="106"/>
      <c r="G7" s="191">
        <v>147.77885748800003</v>
      </c>
      <c r="H7" s="119">
        <f t="shared" si="2"/>
        <v>133.00097173920003</v>
      </c>
      <c r="I7" s="120">
        <f t="shared" si="3"/>
        <v>162.55674323680003</v>
      </c>
      <c r="L7" s="184" t="s">
        <v>231</v>
      </c>
      <c r="M7" s="184" t="s">
        <v>278</v>
      </c>
      <c r="N7" s="184" t="s">
        <v>279</v>
      </c>
      <c r="O7" s="184" t="s">
        <v>59</v>
      </c>
      <c r="P7" s="83">
        <f t="shared" ca="1" si="4"/>
        <v>3</v>
      </c>
      <c r="Q7" s="82">
        <f t="shared" ca="1" si="5"/>
        <v>152.23476339666666</v>
      </c>
      <c r="R7" s="82">
        <f t="shared" ca="1" si="6"/>
        <v>110.64661853200001</v>
      </c>
      <c r="S7" s="82">
        <f t="shared" ca="1" si="7"/>
        <v>198.27881416999998</v>
      </c>
      <c r="T7" s="83" cm="1">
        <f t="array" aca="1" ref="T7" ca="1">_xlfn.STDEV.P(_xlfn._xlws.FILTER(INDIRECT("'"&amp;L7&amp;"'!"&amp;N7),INDIRECT("'"&amp;L7&amp;"'!"&amp;M7)=O7))</f>
        <v>35.914173164962257</v>
      </c>
    </row>
    <row r="8" spans="1:20" ht="21.6" customHeight="1" x14ac:dyDescent="0.3">
      <c r="A8" s="12" t="s">
        <v>459</v>
      </c>
      <c r="B8" s="115">
        <f t="shared" si="0"/>
        <v>147.77885748800003</v>
      </c>
      <c r="C8" s="115">
        <f t="shared" si="1"/>
        <v>5.9111542995200015</v>
      </c>
      <c r="D8" s="91" t="s">
        <v>232</v>
      </c>
      <c r="G8" s="191">
        <v>147.77885748800003</v>
      </c>
      <c r="H8" s="119">
        <f t="shared" si="2"/>
        <v>133.00097173920003</v>
      </c>
      <c r="I8" s="120">
        <f t="shared" si="3"/>
        <v>162.55674323680003</v>
      </c>
      <c r="L8" s="184" t="s">
        <v>231</v>
      </c>
      <c r="M8" s="184" t="s">
        <v>278</v>
      </c>
      <c r="N8" s="184" t="s">
        <v>279</v>
      </c>
      <c r="O8" s="184" t="s">
        <v>59</v>
      </c>
      <c r="P8" s="83">
        <f t="shared" ca="1" si="4"/>
        <v>3</v>
      </c>
      <c r="Q8" s="82">
        <f t="shared" ca="1" si="5"/>
        <v>152.23476339666666</v>
      </c>
      <c r="R8" s="82">
        <f t="shared" ca="1" si="6"/>
        <v>110.64661853200001</v>
      </c>
      <c r="S8" s="82">
        <f t="shared" ca="1" si="7"/>
        <v>198.27881416999998</v>
      </c>
      <c r="T8" s="83" cm="1">
        <f t="array" aca="1" ref="T8" ca="1">_xlfn.STDEV.P(_xlfn._xlws.FILTER(INDIRECT("'"&amp;L8&amp;"'!"&amp;N8),INDIRECT("'"&amp;L8&amp;"'!"&amp;M8)=O8))</f>
        <v>35.914173164962257</v>
      </c>
    </row>
    <row r="9" spans="1:20" ht="21.6" customHeight="1" x14ac:dyDescent="0.3">
      <c r="A9" s="12" t="s">
        <v>460</v>
      </c>
      <c r="B9" s="115">
        <f t="shared" si="0"/>
        <v>147.77885748800003</v>
      </c>
      <c r="C9" s="115">
        <f t="shared" si="1"/>
        <v>5.9111542995200015</v>
      </c>
      <c r="D9" s="91" t="s">
        <v>232</v>
      </c>
      <c r="F9" s="106"/>
      <c r="G9" s="191">
        <v>147.77885748800003</v>
      </c>
      <c r="H9" s="119">
        <f t="shared" si="2"/>
        <v>133.00097173920003</v>
      </c>
      <c r="I9" s="120">
        <f t="shared" si="3"/>
        <v>162.55674323680003</v>
      </c>
      <c r="L9" s="184" t="s">
        <v>231</v>
      </c>
      <c r="M9" s="184" t="s">
        <v>278</v>
      </c>
      <c r="N9" s="184" t="s">
        <v>279</v>
      </c>
      <c r="O9" s="184" t="s">
        <v>59</v>
      </c>
      <c r="P9" s="83">
        <f t="shared" ca="1" si="4"/>
        <v>3</v>
      </c>
      <c r="Q9" s="82">
        <f t="shared" ca="1" si="5"/>
        <v>152.23476339666666</v>
      </c>
      <c r="R9" s="82">
        <f t="shared" ca="1" si="6"/>
        <v>110.64661853200001</v>
      </c>
      <c r="S9" s="82">
        <f t="shared" ca="1" si="7"/>
        <v>198.27881416999998</v>
      </c>
      <c r="T9" s="83" cm="1">
        <f t="array" aca="1" ref="T9" ca="1">_xlfn.STDEV.P(_xlfn._xlws.FILTER(INDIRECT("'"&amp;L9&amp;"'!"&amp;N9),INDIRECT("'"&amp;L9&amp;"'!"&amp;M9)=O9))</f>
        <v>35.914173164962257</v>
      </c>
    </row>
    <row r="10" spans="1:20" ht="21.6" customHeight="1" x14ac:dyDescent="0.3">
      <c r="A10" s="12" t="s">
        <v>461</v>
      </c>
      <c r="B10" s="115">
        <f t="shared" si="0"/>
        <v>147.77885748800003</v>
      </c>
      <c r="C10" s="115">
        <f t="shared" si="1"/>
        <v>5.9111542995200015</v>
      </c>
      <c r="D10" s="91" t="s">
        <v>232</v>
      </c>
      <c r="F10" s="106"/>
      <c r="G10" s="191">
        <v>147.77885748800003</v>
      </c>
      <c r="H10" s="119">
        <f t="shared" si="2"/>
        <v>133.00097173920003</v>
      </c>
      <c r="I10" s="120">
        <f t="shared" si="3"/>
        <v>162.55674323680003</v>
      </c>
      <c r="L10" s="184" t="s">
        <v>231</v>
      </c>
      <c r="M10" s="184" t="s">
        <v>278</v>
      </c>
      <c r="N10" s="184" t="s">
        <v>279</v>
      </c>
      <c r="O10" s="184" t="s">
        <v>59</v>
      </c>
      <c r="P10" s="83">
        <f t="shared" ca="1" si="4"/>
        <v>3</v>
      </c>
      <c r="Q10" s="82">
        <f t="shared" ca="1" si="5"/>
        <v>152.23476339666666</v>
      </c>
      <c r="R10" s="82">
        <f t="shared" ca="1" si="6"/>
        <v>110.64661853200001</v>
      </c>
      <c r="S10" s="82">
        <f t="shared" ca="1" si="7"/>
        <v>198.27881416999998</v>
      </c>
      <c r="T10" s="83" cm="1">
        <f t="array" aca="1" ref="T10" ca="1">_xlfn.STDEV.P(_xlfn._xlws.FILTER(INDIRECT("'"&amp;L10&amp;"'!"&amp;N10),INDIRECT("'"&amp;L10&amp;"'!"&amp;M10)=O10))</f>
        <v>35.914173164962257</v>
      </c>
    </row>
    <row r="11" spans="1:20" ht="21.6" customHeight="1" x14ac:dyDescent="0.3">
      <c r="A11" s="12" t="s">
        <v>462</v>
      </c>
      <c r="B11" s="115">
        <f t="shared" si="0"/>
        <v>147.77885748800003</v>
      </c>
      <c r="C11" s="115">
        <f t="shared" si="1"/>
        <v>5.9111542995200015</v>
      </c>
      <c r="D11" s="91" t="s">
        <v>232</v>
      </c>
      <c r="F11" s="106"/>
      <c r="G11" s="191">
        <v>147.77885748800003</v>
      </c>
      <c r="H11" s="119">
        <f t="shared" si="2"/>
        <v>133.00097173920003</v>
      </c>
      <c r="I11" s="120">
        <f t="shared" si="3"/>
        <v>162.55674323680003</v>
      </c>
      <c r="L11" s="184" t="s">
        <v>231</v>
      </c>
      <c r="M11" s="184" t="s">
        <v>278</v>
      </c>
      <c r="N11" s="184" t="s">
        <v>279</v>
      </c>
      <c r="O11" s="184" t="s">
        <v>59</v>
      </c>
      <c r="P11" s="83">
        <f t="shared" ca="1" si="4"/>
        <v>3</v>
      </c>
      <c r="Q11" s="82">
        <f t="shared" ca="1" si="5"/>
        <v>152.23476339666666</v>
      </c>
      <c r="R11" s="82">
        <f t="shared" ca="1" si="6"/>
        <v>110.64661853200001</v>
      </c>
      <c r="S11" s="82">
        <f t="shared" ca="1" si="7"/>
        <v>198.27881416999998</v>
      </c>
      <c r="T11" s="83" cm="1">
        <f t="array" aca="1" ref="T11" ca="1">_xlfn.STDEV.P(_xlfn._xlws.FILTER(INDIRECT("'"&amp;L11&amp;"'!"&amp;N11),INDIRECT("'"&amp;L11&amp;"'!"&amp;M11)=O11))</f>
        <v>35.914173164962257</v>
      </c>
    </row>
    <row r="12" spans="1:20" ht="21.6" customHeight="1" x14ac:dyDescent="0.3">
      <c r="A12" s="12" t="s">
        <v>19</v>
      </c>
      <c r="B12" s="115">
        <f t="shared" si="0"/>
        <v>147.77885748800003</v>
      </c>
      <c r="C12" s="115">
        <f t="shared" si="1"/>
        <v>5.9111542995200015</v>
      </c>
      <c r="D12" s="91" t="s">
        <v>232</v>
      </c>
      <c r="F12" s="106"/>
      <c r="G12" s="191">
        <v>147.77885748800003</v>
      </c>
      <c r="H12" s="119">
        <f t="shared" si="2"/>
        <v>133.00097173920003</v>
      </c>
      <c r="I12" s="120">
        <f t="shared" si="3"/>
        <v>162.55674323680003</v>
      </c>
      <c r="K12" s="106"/>
      <c r="L12" s="184" t="s">
        <v>231</v>
      </c>
      <c r="M12" s="184" t="s">
        <v>278</v>
      </c>
      <c r="N12" s="184" t="s">
        <v>279</v>
      </c>
      <c r="O12" s="184" t="s">
        <v>59</v>
      </c>
      <c r="P12" s="83">
        <f t="shared" ca="1" si="4"/>
        <v>3</v>
      </c>
      <c r="Q12" s="82">
        <f t="shared" ca="1" si="5"/>
        <v>152.23476339666666</v>
      </c>
      <c r="R12" s="82">
        <f t="shared" ca="1" si="6"/>
        <v>110.64661853200001</v>
      </c>
      <c r="S12" s="82">
        <f t="shared" ca="1" si="7"/>
        <v>198.27881416999998</v>
      </c>
      <c r="T12" s="83" cm="1">
        <f t="array" aca="1" ref="T12" ca="1">_xlfn.STDEV.P(_xlfn._xlws.FILTER(INDIRECT("'"&amp;L12&amp;"'!"&amp;N12),INDIRECT("'"&amp;L12&amp;"'!"&amp;M12)=O12))</f>
        <v>35.914173164962257</v>
      </c>
    </row>
    <row r="13" spans="1:20" ht="21.6" customHeight="1" x14ac:dyDescent="0.3">
      <c r="A13" s="12" t="s">
        <v>20</v>
      </c>
      <c r="B13" s="115">
        <f t="shared" si="0"/>
        <v>147.77885748800003</v>
      </c>
      <c r="C13" s="115">
        <f t="shared" si="1"/>
        <v>5.9111542995200015</v>
      </c>
      <c r="D13" s="91" t="s">
        <v>232</v>
      </c>
      <c r="F13" s="106"/>
      <c r="G13" s="191">
        <v>147.77885748800003</v>
      </c>
      <c r="H13" s="119">
        <f t="shared" si="2"/>
        <v>133.00097173920003</v>
      </c>
      <c r="I13" s="120">
        <f t="shared" si="3"/>
        <v>162.55674323680003</v>
      </c>
      <c r="L13" s="184" t="s">
        <v>231</v>
      </c>
      <c r="M13" s="184" t="s">
        <v>278</v>
      </c>
      <c r="N13" s="184" t="s">
        <v>279</v>
      </c>
      <c r="O13" s="184" t="s">
        <v>59</v>
      </c>
      <c r="P13" s="83">
        <f t="shared" ca="1" si="4"/>
        <v>3</v>
      </c>
      <c r="Q13" s="82">
        <f t="shared" ca="1" si="5"/>
        <v>152.23476339666666</v>
      </c>
      <c r="R13" s="82">
        <f t="shared" ca="1" si="6"/>
        <v>110.64661853200001</v>
      </c>
      <c r="S13" s="82">
        <f t="shared" ca="1" si="7"/>
        <v>198.27881416999998</v>
      </c>
      <c r="T13" s="83" cm="1">
        <f t="array" aca="1" ref="T13" ca="1">_xlfn.STDEV.P(_xlfn._xlws.FILTER(INDIRECT("'"&amp;L13&amp;"'!"&amp;N13),INDIRECT("'"&amp;L13&amp;"'!"&amp;M13)=O13))</f>
        <v>35.914173164962257</v>
      </c>
    </row>
    <row r="14" spans="1:20" ht="21.6" customHeight="1" thickBot="1" x14ac:dyDescent="0.35">
      <c r="A14" s="14" t="s">
        <v>464</v>
      </c>
      <c r="B14" s="115">
        <f t="shared" si="0"/>
        <v>147.77885748800003</v>
      </c>
      <c r="C14" s="115">
        <f t="shared" si="1"/>
        <v>5.9111542995200015</v>
      </c>
      <c r="D14" s="91" t="s">
        <v>232</v>
      </c>
      <c r="F14" s="106"/>
      <c r="G14" s="192">
        <v>147.77885748800003</v>
      </c>
      <c r="H14" s="121">
        <f t="shared" si="2"/>
        <v>133.00097173920003</v>
      </c>
      <c r="I14" s="122">
        <f t="shared" si="3"/>
        <v>162.55674323680003</v>
      </c>
      <c r="L14" s="184" t="s">
        <v>231</v>
      </c>
      <c r="M14" s="184" t="s">
        <v>278</v>
      </c>
      <c r="N14" s="184" t="s">
        <v>279</v>
      </c>
      <c r="O14" s="184" t="s">
        <v>59</v>
      </c>
      <c r="P14" s="83">
        <f t="shared" ca="1" si="4"/>
        <v>3</v>
      </c>
      <c r="Q14" s="82">
        <f t="shared" ca="1" si="5"/>
        <v>152.23476339666666</v>
      </c>
      <c r="R14" s="82">
        <f t="shared" ca="1" si="6"/>
        <v>110.64661853200001</v>
      </c>
      <c r="S14" s="82">
        <f t="shared" ca="1" si="7"/>
        <v>198.27881416999998</v>
      </c>
      <c r="T14" s="83" cm="1">
        <f t="array" aca="1" ref="T14" ca="1">_xlfn.STDEV.P(_xlfn._xlws.FILTER(INDIRECT("'"&amp;L14&amp;"'!"&amp;N14),INDIRECT("'"&amp;L14&amp;"'!"&amp;M14)=O14))</f>
        <v>35.914173164962257</v>
      </c>
    </row>
    <row r="28" spans="9:9" x14ac:dyDescent="0.3">
      <c r="I28" s="91" t="s">
        <v>545</v>
      </c>
    </row>
  </sheetData>
  <dataValidations count="1">
    <dataValidation type="list" allowBlank="1" showInputMessage="1" showErrorMessage="1" sqref="D3:D14" xr:uid="{C459C0A3-4C18-4F60-9409-162B4AEDA4BC}">
      <formula1>"Data,Expert Estimate"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5A659-077E-4C1B-9AA5-924B8B1640B4}">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si="0">IF(D3="Data",Q3,(G3*3+H3+I3)/5)</f>
        <v>198.27881416999998</v>
      </c>
      <c r="C3" s="115">
        <f t="shared" ref="C3:C14" si="1">IF(D3="Data",T3,(I3-H3)/5)</f>
        <v>7.9311525667999998</v>
      </c>
      <c r="D3" s="91" t="s">
        <v>232</v>
      </c>
      <c r="F3" s="106"/>
      <c r="G3" s="186">
        <v>198.27881416999998</v>
      </c>
      <c r="H3" s="116">
        <f>0.9*G3</f>
        <v>178.45093275299999</v>
      </c>
      <c r="I3" s="117">
        <f>1.1*G3</f>
        <v>218.10669558699999</v>
      </c>
      <c r="K3" s="106"/>
      <c r="L3" s="185" t="s">
        <v>231</v>
      </c>
      <c r="M3" s="184" t="s">
        <v>278</v>
      </c>
      <c r="N3" s="184" t="s">
        <v>279</v>
      </c>
      <c r="O3" s="184" t="s">
        <v>59</v>
      </c>
      <c r="P3" s="83">
        <f ca="1">COUNTIF(INDIRECT("'"&amp;L3&amp;"'!"&amp;M3),O3)</f>
        <v>3</v>
      </c>
      <c r="Q3" s="82">
        <f ca="1">AVERAGEIF(INDIRECT("'"&amp;L3&amp;"'!"&amp;M3),O3,INDIRECT("'"&amp;L3&amp;"'!"&amp;N3))</f>
        <v>152.23476339666666</v>
      </c>
      <c r="R3" s="82">
        <f ca="1">_xlfn.MINIFS(INDIRECT("'"&amp;L3&amp;"'!"&amp;N3),INDIRECT("'"&amp;L3&amp;"'!"&amp;M3),O3)</f>
        <v>110.64661853200001</v>
      </c>
      <c r="S3" s="82">
        <f ca="1">_xlfn.MAXIFS(INDIRECT("'"&amp;L3&amp;"'!"&amp;N3),INDIRECT("'"&amp;L3&amp;"'!"&amp;M3),O3)</f>
        <v>198.27881416999998</v>
      </c>
      <c r="T3" s="83" cm="1">
        <f t="array" aca="1" ref="T3" ca="1">_xlfn.STDEV.P(_xlfn._xlws.FILTER(INDIRECT("'"&amp;L3&amp;"'!"&amp;N3),INDIRECT("'"&amp;L3&amp;"'!"&amp;M3)=O3))</f>
        <v>35.914173164962257</v>
      </c>
    </row>
    <row r="4" spans="1:20" ht="21.6" customHeight="1" x14ac:dyDescent="0.3">
      <c r="A4" s="10" t="s">
        <v>455</v>
      </c>
      <c r="B4" s="115">
        <f t="shared" si="0"/>
        <v>198.27881416999998</v>
      </c>
      <c r="C4" s="115">
        <f t="shared" si="1"/>
        <v>7.9311525667999998</v>
      </c>
      <c r="D4" s="91" t="s">
        <v>232</v>
      </c>
      <c r="F4" s="106"/>
      <c r="G4" s="187">
        <v>198.27881416999998</v>
      </c>
      <c r="H4" s="119">
        <f t="shared" ref="H4:H14" si="2">0.9*G4</f>
        <v>178.45093275299999</v>
      </c>
      <c r="I4" s="120">
        <f t="shared" ref="I4:I14" si="3">1.1*G4</f>
        <v>218.10669558699999</v>
      </c>
      <c r="L4" s="184" t="s">
        <v>231</v>
      </c>
      <c r="M4" s="184" t="s">
        <v>278</v>
      </c>
      <c r="N4" s="184" t="s">
        <v>279</v>
      </c>
      <c r="O4" s="184" t="s">
        <v>59</v>
      </c>
      <c r="P4" s="83">
        <f t="shared" ref="P4:P14" ca="1" si="4">COUNTIF(INDIRECT("'"&amp;L4&amp;"'!"&amp;M4),O4)</f>
        <v>3</v>
      </c>
      <c r="Q4" s="82">
        <f t="shared" ref="Q4:Q14" ca="1" si="5">AVERAGEIF(INDIRECT("'"&amp;L4&amp;"'!"&amp;M4),O4,INDIRECT("'"&amp;L4&amp;"'!"&amp;N4))</f>
        <v>152.23476339666666</v>
      </c>
      <c r="R4" s="82">
        <f t="shared" ref="R4:R14" ca="1" si="6">_xlfn.MINIFS(INDIRECT("'"&amp;L4&amp;"'!"&amp;N4),INDIRECT("'"&amp;L4&amp;"'!"&amp;M4),O4)</f>
        <v>110.64661853200001</v>
      </c>
      <c r="S4" s="82">
        <f t="shared" ref="S4:S14" ca="1" si="7">_xlfn.MAXIFS(INDIRECT("'"&amp;L4&amp;"'!"&amp;N4),INDIRECT("'"&amp;L4&amp;"'!"&amp;M4),O4)</f>
        <v>198.27881416999998</v>
      </c>
      <c r="T4" s="83" cm="1">
        <f t="array" aca="1" ref="T4" ca="1">_xlfn.STDEV.P(_xlfn._xlws.FILTER(INDIRECT("'"&amp;L4&amp;"'!"&amp;N4),INDIRECT("'"&amp;L4&amp;"'!"&amp;M4)=O4))</f>
        <v>35.914173164962257</v>
      </c>
    </row>
    <row r="5" spans="1:20" ht="21.6" customHeight="1" x14ac:dyDescent="0.3">
      <c r="A5" s="12" t="s">
        <v>456</v>
      </c>
      <c r="B5" s="115">
        <f t="shared" si="0"/>
        <v>198.27881416999998</v>
      </c>
      <c r="C5" s="115">
        <f t="shared" si="1"/>
        <v>7.9311525667999998</v>
      </c>
      <c r="D5" s="91" t="s">
        <v>232</v>
      </c>
      <c r="F5" s="106"/>
      <c r="G5" s="187">
        <v>198.27881416999998</v>
      </c>
      <c r="H5" s="119">
        <f t="shared" si="2"/>
        <v>178.45093275299999</v>
      </c>
      <c r="I5" s="120">
        <f t="shared" si="3"/>
        <v>218.10669558699999</v>
      </c>
      <c r="L5" s="184" t="s">
        <v>231</v>
      </c>
      <c r="M5" s="184" t="s">
        <v>278</v>
      </c>
      <c r="N5" s="184" t="s">
        <v>279</v>
      </c>
      <c r="O5" s="184" t="s">
        <v>59</v>
      </c>
      <c r="P5" s="83">
        <f t="shared" ca="1" si="4"/>
        <v>3</v>
      </c>
      <c r="Q5" s="82">
        <f t="shared" ca="1" si="5"/>
        <v>152.23476339666666</v>
      </c>
      <c r="R5" s="82">
        <f t="shared" ca="1" si="6"/>
        <v>110.64661853200001</v>
      </c>
      <c r="S5" s="82">
        <f t="shared" ca="1" si="7"/>
        <v>198.27881416999998</v>
      </c>
      <c r="T5" s="83" cm="1">
        <f t="array" aca="1" ref="T5" ca="1">_xlfn.STDEV.P(_xlfn._xlws.FILTER(INDIRECT("'"&amp;L5&amp;"'!"&amp;N5),INDIRECT("'"&amp;L5&amp;"'!"&amp;M5)=O5))</f>
        <v>35.914173164962257</v>
      </c>
    </row>
    <row r="6" spans="1:20" ht="21.6" customHeight="1" x14ac:dyDescent="0.3">
      <c r="A6" s="10" t="s">
        <v>457</v>
      </c>
      <c r="B6" s="115">
        <f t="shared" si="0"/>
        <v>198.27881416999998</v>
      </c>
      <c r="C6" s="115">
        <f t="shared" si="1"/>
        <v>7.9311525667999998</v>
      </c>
      <c r="D6" s="91" t="s">
        <v>232</v>
      </c>
      <c r="F6" s="106"/>
      <c r="G6" s="187">
        <v>198.27881416999998</v>
      </c>
      <c r="H6" s="119">
        <f t="shared" si="2"/>
        <v>178.45093275299999</v>
      </c>
      <c r="I6" s="120">
        <f t="shared" si="3"/>
        <v>218.10669558699999</v>
      </c>
      <c r="L6" s="184" t="s">
        <v>231</v>
      </c>
      <c r="M6" s="184" t="s">
        <v>278</v>
      </c>
      <c r="N6" s="184" t="s">
        <v>279</v>
      </c>
      <c r="O6" s="184" t="s">
        <v>59</v>
      </c>
      <c r="P6" s="83">
        <f t="shared" ca="1" si="4"/>
        <v>3</v>
      </c>
      <c r="Q6" s="82">
        <f t="shared" ca="1" si="5"/>
        <v>152.23476339666666</v>
      </c>
      <c r="R6" s="82">
        <f t="shared" ca="1" si="6"/>
        <v>110.64661853200001</v>
      </c>
      <c r="S6" s="82">
        <f t="shared" ca="1" si="7"/>
        <v>198.27881416999998</v>
      </c>
      <c r="T6" s="83" cm="1">
        <f t="array" aca="1" ref="T6" ca="1">_xlfn.STDEV.P(_xlfn._xlws.FILTER(INDIRECT("'"&amp;L6&amp;"'!"&amp;N6),INDIRECT("'"&amp;L6&amp;"'!"&amp;M6)=O6))</f>
        <v>35.914173164962257</v>
      </c>
    </row>
    <row r="7" spans="1:20" ht="21.6" customHeight="1" x14ac:dyDescent="0.3">
      <c r="A7" s="12" t="s">
        <v>458</v>
      </c>
      <c r="B7" s="115">
        <f t="shared" si="0"/>
        <v>198.27881416999998</v>
      </c>
      <c r="C7" s="115">
        <f t="shared" si="1"/>
        <v>7.9311525667999998</v>
      </c>
      <c r="D7" s="91" t="s">
        <v>232</v>
      </c>
      <c r="F7" s="106"/>
      <c r="G7" s="187">
        <v>198.27881416999998</v>
      </c>
      <c r="H7" s="119">
        <f t="shared" si="2"/>
        <v>178.45093275299999</v>
      </c>
      <c r="I7" s="120">
        <f t="shared" si="3"/>
        <v>218.10669558699999</v>
      </c>
      <c r="L7" s="184" t="s">
        <v>231</v>
      </c>
      <c r="M7" s="184" t="s">
        <v>278</v>
      </c>
      <c r="N7" s="184" t="s">
        <v>279</v>
      </c>
      <c r="O7" s="184" t="s">
        <v>59</v>
      </c>
      <c r="P7" s="83">
        <f t="shared" ca="1" si="4"/>
        <v>3</v>
      </c>
      <c r="Q7" s="82">
        <f t="shared" ca="1" si="5"/>
        <v>152.23476339666666</v>
      </c>
      <c r="R7" s="82">
        <f t="shared" ca="1" si="6"/>
        <v>110.64661853200001</v>
      </c>
      <c r="S7" s="82">
        <f t="shared" ca="1" si="7"/>
        <v>198.27881416999998</v>
      </c>
      <c r="T7" s="83" cm="1">
        <f t="array" aca="1" ref="T7" ca="1">_xlfn.STDEV.P(_xlfn._xlws.FILTER(INDIRECT("'"&amp;L7&amp;"'!"&amp;N7),INDIRECT("'"&amp;L7&amp;"'!"&amp;M7)=O7))</f>
        <v>35.914173164962257</v>
      </c>
    </row>
    <row r="8" spans="1:20" ht="21.6" customHeight="1" x14ac:dyDescent="0.3">
      <c r="A8" s="12" t="s">
        <v>459</v>
      </c>
      <c r="B8" s="115">
        <f t="shared" si="0"/>
        <v>198.27881416999998</v>
      </c>
      <c r="C8" s="115">
        <f t="shared" si="1"/>
        <v>7.9311525667999998</v>
      </c>
      <c r="D8" s="91" t="s">
        <v>232</v>
      </c>
      <c r="G8" s="187">
        <v>198.27881416999998</v>
      </c>
      <c r="H8" s="119">
        <f t="shared" si="2"/>
        <v>178.45093275299999</v>
      </c>
      <c r="I8" s="120">
        <f t="shared" si="3"/>
        <v>218.10669558699999</v>
      </c>
      <c r="L8" s="184" t="s">
        <v>231</v>
      </c>
      <c r="M8" s="184" t="s">
        <v>278</v>
      </c>
      <c r="N8" s="184" t="s">
        <v>279</v>
      </c>
      <c r="O8" s="184" t="s">
        <v>59</v>
      </c>
      <c r="P8" s="83">
        <f t="shared" ca="1" si="4"/>
        <v>3</v>
      </c>
      <c r="Q8" s="82">
        <f t="shared" ca="1" si="5"/>
        <v>152.23476339666666</v>
      </c>
      <c r="R8" s="82">
        <f t="shared" ca="1" si="6"/>
        <v>110.64661853200001</v>
      </c>
      <c r="S8" s="82">
        <f t="shared" ca="1" si="7"/>
        <v>198.27881416999998</v>
      </c>
      <c r="T8" s="83" cm="1">
        <f t="array" aca="1" ref="T8" ca="1">_xlfn.STDEV.P(_xlfn._xlws.FILTER(INDIRECT("'"&amp;L8&amp;"'!"&amp;N8),INDIRECT("'"&amp;L8&amp;"'!"&amp;M8)=O8))</f>
        <v>35.914173164962257</v>
      </c>
    </row>
    <row r="9" spans="1:20" ht="21.6" customHeight="1" x14ac:dyDescent="0.3">
      <c r="A9" s="12" t="s">
        <v>460</v>
      </c>
      <c r="B9" s="115">
        <f t="shared" si="0"/>
        <v>198.27881416999998</v>
      </c>
      <c r="C9" s="115">
        <f t="shared" si="1"/>
        <v>7.9311525667999998</v>
      </c>
      <c r="D9" s="91" t="s">
        <v>232</v>
      </c>
      <c r="F9" s="106"/>
      <c r="G9" s="187">
        <v>198.27881416999998</v>
      </c>
      <c r="H9" s="119">
        <f t="shared" si="2"/>
        <v>178.45093275299999</v>
      </c>
      <c r="I9" s="120">
        <f t="shared" si="3"/>
        <v>218.10669558699999</v>
      </c>
      <c r="L9" s="184" t="s">
        <v>231</v>
      </c>
      <c r="M9" s="184" t="s">
        <v>278</v>
      </c>
      <c r="N9" s="184" t="s">
        <v>279</v>
      </c>
      <c r="O9" s="184" t="s">
        <v>59</v>
      </c>
      <c r="P9" s="83">
        <f t="shared" ca="1" si="4"/>
        <v>3</v>
      </c>
      <c r="Q9" s="82">
        <f t="shared" ca="1" si="5"/>
        <v>152.23476339666666</v>
      </c>
      <c r="R9" s="82">
        <f t="shared" ca="1" si="6"/>
        <v>110.64661853200001</v>
      </c>
      <c r="S9" s="82">
        <f t="shared" ca="1" si="7"/>
        <v>198.27881416999998</v>
      </c>
      <c r="T9" s="83" cm="1">
        <f t="array" aca="1" ref="T9" ca="1">_xlfn.STDEV.P(_xlfn._xlws.FILTER(INDIRECT("'"&amp;L9&amp;"'!"&amp;N9),INDIRECT("'"&amp;L9&amp;"'!"&amp;M9)=O9))</f>
        <v>35.914173164962257</v>
      </c>
    </row>
    <row r="10" spans="1:20" ht="21.6" customHeight="1" x14ac:dyDescent="0.3">
      <c r="A10" s="12" t="s">
        <v>461</v>
      </c>
      <c r="B10" s="115">
        <f t="shared" si="0"/>
        <v>198.27881416999998</v>
      </c>
      <c r="C10" s="115">
        <f t="shared" si="1"/>
        <v>7.9311525667999998</v>
      </c>
      <c r="D10" s="91" t="s">
        <v>232</v>
      </c>
      <c r="F10" s="106"/>
      <c r="G10" s="187">
        <v>198.27881416999998</v>
      </c>
      <c r="H10" s="119">
        <f t="shared" si="2"/>
        <v>178.45093275299999</v>
      </c>
      <c r="I10" s="120">
        <f t="shared" si="3"/>
        <v>218.10669558699999</v>
      </c>
      <c r="L10" s="184" t="s">
        <v>231</v>
      </c>
      <c r="M10" s="184" t="s">
        <v>278</v>
      </c>
      <c r="N10" s="184" t="s">
        <v>279</v>
      </c>
      <c r="O10" s="184" t="s">
        <v>59</v>
      </c>
      <c r="P10" s="83">
        <f t="shared" ca="1" si="4"/>
        <v>3</v>
      </c>
      <c r="Q10" s="82">
        <f t="shared" ca="1" si="5"/>
        <v>152.23476339666666</v>
      </c>
      <c r="R10" s="82">
        <f t="shared" ca="1" si="6"/>
        <v>110.64661853200001</v>
      </c>
      <c r="S10" s="82">
        <f t="shared" ca="1" si="7"/>
        <v>198.27881416999998</v>
      </c>
      <c r="T10" s="83" cm="1">
        <f t="array" aca="1" ref="T10" ca="1">_xlfn.STDEV.P(_xlfn._xlws.FILTER(INDIRECT("'"&amp;L10&amp;"'!"&amp;N10),INDIRECT("'"&amp;L10&amp;"'!"&amp;M10)=O10))</f>
        <v>35.914173164962257</v>
      </c>
    </row>
    <row r="11" spans="1:20" ht="21.6" customHeight="1" x14ac:dyDescent="0.3">
      <c r="A11" s="12" t="s">
        <v>462</v>
      </c>
      <c r="B11" s="115">
        <f t="shared" si="0"/>
        <v>198.27881416999998</v>
      </c>
      <c r="C11" s="115">
        <f t="shared" si="1"/>
        <v>7.9311525667999998</v>
      </c>
      <c r="D11" s="91" t="s">
        <v>232</v>
      </c>
      <c r="F11" s="106"/>
      <c r="G11" s="187">
        <v>198.27881416999998</v>
      </c>
      <c r="H11" s="119">
        <f t="shared" si="2"/>
        <v>178.45093275299999</v>
      </c>
      <c r="I11" s="120">
        <f t="shared" si="3"/>
        <v>218.10669558699999</v>
      </c>
      <c r="L11" s="184" t="s">
        <v>231</v>
      </c>
      <c r="M11" s="184" t="s">
        <v>278</v>
      </c>
      <c r="N11" s="184" t="s">
        <v>279</v>
      </c>
      <c r="O11" s="184" t="s">
        <v>59</v>
      </c>
      <c r="P11" s="83">
        <f t="shared" ca="1" si="4"/>
        <v>3</v>
      </c>
      <c r="Q11" s="82">
        <f t="shared" ca="1" si="5"/>
        <v>152.23476339666666</v>
      </c>
      <c r="R11" s="82">
        <f t="shared" ca="1" si="6"/>
        <v>110.64661853200001</v>
      </c>
      <c r="S11" s="82">
        <f t="shared" ca="1" si="7"/>
        <v>198.27881416999998</v>
      </c>
      <c r="T11" s="83" cm="1">
        <f t="array" aca="1" ref="T11" ca="1">_xlfn.STDEV.P(_xlfn._xlws.FILTER(INDIRECT("'"&amp;L11&amp;"'!"&amp;N11),INDIRECT("'"&amp;L11&amp;"'!"&amp;M11)=O11))</f>
        <v>35.914173164962257</v>
      </c>
    </row>
    <row r="12" spans="1:20" ht="21.6" customHeight="1" x14ac:dyDescent="0.3">
      <c r="A12" s="12" t="s">
        <v>19</v>
      </c>
      <c r="B12" s="115">
        <f t="shared" si="0"/>
        <v>198.27881416999998</v>
      </c>
      <c r="C12" s="115">
        <f t="shared" si="1"/>
        <v>7.9311525667999998</v>
      </c>
      <c r="D12" s="91" t="s">
        <v>232</v>
      </c>
      <c r="F12" s="106"/>
      <c r="G12" s="187">
        <v>198.27881416999998</v>
      </c>
      <c r="H12" s="119">
        <f t="shared" si="2"/>
        <v>178.45093275299999</v>
      </c>
      <c r="I12" s="120">
        <f t="shared" si="3"/>
        <v>218.10669558699999</v>
      </c>
      <c r="K12" s="106"/>
      <c r="L12" s="184" t="s">
        <v>231</v>
      </c>
      <c r="M12" s="184" t="s">
        <v>278</v>
      </c>
      <c r="N12" s="184" t="s">
        <v>279</v>
      </c>
      <c r="O12" s="184" t="s">
        <v>59</v>
      </c>
      <c r="P12" s="83">
        <f t="shared" ca="1" si="4"/>
        <v>3</v>
      </c>
      <c r="Q12" s="82">
        <f t="shared" ca="1" si="5"/>
        <v>152.23476339666666</v>
      </c>
      <c r="R12" s="82">
        <f t="shared" ca="1" si="6"/>
        <v>110.64661853200001</v>
      </c>
      <c r="S12" s="82">
        <f t="shared" ca="1" si="7"/>
        <v>198.27881416999998</v>
      </c>
      <c r="T12" s="83" cm="1">
        <f t="array" aca="1" ref="T12" ca="1">_xlfn.STDEV.P(_xlfn._xlws.FILTER(INDIRECT("'"&amp;L12&amp;"'!"&amp;N12),INDIRECT("'"&amp;L12&amp;"'!"&amp;M12)=O12))</f>
        <v>35.914173164962257</v>
      </c>
    </row>
    <row r="13" spans="1:20" ht="21.6" customHeight="1" x14ac:dyDescent="0.3">
      <c r="A13" s="12" t="s">
        <v>20</v>
      </c>
      <c r="B13" s="115">
        <f t="shared" si="0"/>
        <v>198.27881416999998</v>
      </c>
      <c r="C13" s="115">
        <f t="shared" si="1"/>
        <v>7.9311525667999998</v>
      </c>
      <c r="D13" s="91" t="s">
        <v>232</v>
      </c>
      <c r="F13" s="106"/>
      <c r="G13" s="187">
        <v>198.27881416999998</v>
      </c>
      <c r="H13" s="119">
        <f t="shared" si="2"/>
        <v>178.45093275299999</v>
      </c>
      <c r="I13" s="120">
        <f t="shared" si="3"/>
        <v>218.10669558699999</v>
      </c>
      <c r="L13" s="184" t="s">
        <v>231</v>
      </c>
      <c r="M13" s="184" t="s">
        <v>278</v>
      </c>
      <c r="N13" s="184" t="s">
        <v>279</v>
      </c>
      <c r="O13" s="184" t="s">
        <v>59</v>
      </c>
      <c r="P13" s="83">
        <f t="shared" ca="1" si="4"/>
        <v>3</v>
      </c>
      <c r="Q13" s="82">
        <f t="shared" ca="1" si="5"/>
        <v>152.23476339666666</v>
      </c>
      <c r="R13" s="82">
        <f t="shared" ca="1" si="6"/>
        <v>110.64661853200001</v>
      </c>
      <c r="S13" s="82">
        <f t="shared" ca="1" si="7"/>
        <v>198.27881416999998</v>
      </c>
      <c r="T13" s="83" cm="1">
        <f t="array" aca="1" ref="T13" ca="1">_xlfn.STDEV.P(_xlfn._xlws.FILTER(INDIRECT("'"&amp;L13&amp;"'!"&amp;N13),INDIRECT("'"&amp;L13&amp;"'!"&amp;M13)=O13))</f>
        <v>35.914173164962257</v>
      </c>
    </row>
    <row r="14" spans="1:20" ht="21.6" customHeight="1" thickBot="1" x14ac:dyDescent="0.35">
      <c r="A14" s="14" t="s">
        <v>464</v>
      </c>
      <c r="B14" s="115">
        <f t="shared" si="0"/>
        <v>198.27881416999998</v>
      </c>
      <c r="C14" s="115">
        <f t="shared" si="1"/>
        <v>7.9311525667999998</v>
      </c>
      <c r="D14" s="91" t="s">
        <v>232</v>
      </c>
      <c r="F14" s="106"/>
      <c r="G14" s="188">
        <v>198.27881416999998</v>
      </c>
      <c r="H14" s="121">
        <f t="shared" si="2"/>
        <v>178.45093275299999</v>
      </c>
      <c r="I14" s="122">
        <f t="shared" si="3"/>
        <v>218.10669558699999</v>
      </c>
      <c r="L14" s="184" t="s">
        <v>231</v>
      </c>
      <c r="M14" s="184" t="s">
        <v>278</v>
      </c>
      <c r="N14" s="184" t="s">
        <v>279</v>
      </c>
      <c r="O14" s="184" t="s">
        <v>59</v>
      </c>
      <c r="P14" s="83">
        <f t="shared" ca="1" si="4"/>
        <v>3</v>
      </c>
      <c r="Q14" s="82">
        <f t="shared" ca="1" si="5"/>
        <v>152.23476339666666</v>
      </c>
      <c r="R14" s="82">
        <f t="shared" ca="1" si="6"/>
        <v>110.64661853200001</v>
      </c>
      <c r="S14" s="82">
        <f t="shared" ca="1" si="7"/>
        <v>198.27881416999998</v>
      </c>
      <c r="T14" s="83" cm="1">
        <f t="array" aca="1" ref="T14" ca="1">_xlfn.STDEV.P(_xlfn._xlws.FILTER(INDIRECT("'"&amp;L14&amp;"'!"&amp;N14),INDIRECT("'"&amp;L14&amp;"'!"&amp;M14)=O14))</f>
        <v>35.914173164962257</v>
      </c>
    </row>
    <row r="28" spans="9:9" x14ac:dyDescent="0.3">
      <c r="I28" s="91" t="s">
        <v>545</v>
      </c>
    </row>
  </sheetData>
  <dataValidations count="1">
    <dataValidation type="list" allowBlank="1" showInputMessage="1" showErrorMessage="1" sqref="D3:D14" xr:uid="{8E1B01F9-135D-454E-85C9-14E86EF9CD0A}">
      <formula1>"Data,Expert Estimate"</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EF691-71D3-4F4E-BF1D-80A0D7D36916}">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ca="1" si="0">IF(D3="Data",Q3,(G3*3+H3+I3)/5)</f>
        <v>102.37545717014797</v>
      </c>
      <c r="C3" s="115">
        <f t="shared" ref="C3:C14" ca="1" si="1">IF(D3="Data",T3,(I3-H3)/5)</f>
        <v>46.627589076037964</v>
      </c>
      <c r="D3" s="91" t="s">
        <v>275</v>
      </c>
      <c r="F3" s="106"/>
      <c r="G3" s="186"/>
      <c r="H3" s="116">
        <f>0.9*G3</f>
        <v>0</v>
      </c>
      <c r="I3" s="117">
        <f>1.1*G3</f>
        <v>0</v>
      </c>
      <c r="K3" s="106"/>
      <c r="L3" s="185" t="s">
        <v>231</v>
      </c>
      <c r="M3" s="184" t="s">
        <v>278</v>
      </c>
      <c r="N3" s="184" t="s">
        <v>279</v>
      </c>
      <c r="O3" s="184" t="s">
        <v>287</v>
      </c>
      <c r="P3" s="83">
        <f ca="1">COUNTIF(INDIRECT("'"&amp;L3&amp;"'!"&amp;M3),O3)</f>
        <v>24</v>
      </c>
      <c r="Q3" s="82">
        <f ca="1">AVERAGEIF(INDIRECT("'"&amp;L3&amp;"'!"&amp;M3),O3,INDIRECT("'"&amp;L3&amp;"'!"&amp;N3))</f>
        <v>102.37545717014797</v>
      </c>
      <c r="R3" s="82">
        <f ca="1">_xlfn.MINIFS(INDIRECT("'"&amp;L3&amp;"'!"&amp;N3),INDIRECT("'"&amp;L3&amp;"'!"&amp;M3),O3)</f>
        <v>56.295712824699756</v>
      </c>
      <c r="S3" s="82">
        <f ca="1">_xlfn.MAXIFS(INDIRECT("'"&amp;L3&amp;"'!"&amp;N3),INDIRECT("'"&amp;L3&amp;"'!"&amp;M3),O3)</f>
        <v>194.60669875950776</v>
      </c>
      <c r="T3" s="83" cm="1">
        <f t="array" aca="1" ref="T3" ca="1">_xlfn.STDEV.P(_xlfn._xlws.FILTER(INDIRECT("'"&amp;L3&amp;"'!"&amp;N3),INDIRECT("'"&amp;L3&amp;"'!"&amp;M3)=O3))</f>
        <v>46.627589076037964</v>
      </c>
    </row>
    <row r="4" spans="1:20" ht="21.6" customHeight="1" x14ac:dyDescent="0.3">
      <c r="A4" s="10" t="s">
        <v>455</v>
      </c>
      <c r="B4" s="115">
        <f t="shared" ca="1" si="0"/>
        <v>102.37545717014797</v>
      </c>
      <c r="C4" s="115">
        <f t="shared" ca="1" si="1"/>
        <v>46.627589076037964</v>
      </c>
      <c r="D4" s="91" t="s">
        <v>275</v>
      </c>
      <c r="F4" s="106"/>
      <c r="G4" s="187"/>
      <c r="H4" s="119">
        <f t="shared" ref="H4:H14" si="2">0.9*G4</f>
        <v>0</v>
      </c>
      <c r="I4" s="120">
        <f t="shared" ref="I4:I14" si="3">1.1*G4</f>
        <v>0</v>
      </c>
      <c r="L4" s="184" t="s">
        <v>231</v>
      </c>
      <c r="M4" s="184" t="s">
        <v>278</v>
      </c>
      <c r="N4" s="184" t="s">
        <v>279</v>
      </c>
      <c r="O4" s="184" t="s">
        <v>287</v>
      </c>
      <c r="P4" s="83">
        <f t="shared" ref="P4:P14" ca="1" si="4">COUNTIF(INDIRECT("'"&amp;L4&amp;"'!"&amp;M4),O4)</f>
        <v>24</v>
      </c>
      <c r="Q4" s="82">
        <f t="shared" ref="Q4:Q14" ca="1" si="5">AVERAGEIF(INDIRECT("'"&amp;L4&amp;"'!"&amp;M4),O4,INDIRECT("'"&amp;L4&amp;"'!"&amp;N4))</f>
        <v>102.37545717014797</v>
      </c>
      <c r="R4" s="82">
        <f t="shared" ref="R4:R14" ca="1" si="6">_xlfn.MINIFS(INDIRECT("'"&amp;L4&amp;"'!"&amp;N4),INDIRECT("'"&amp;L4&amp;"'!"&amp;M4),O4)</f>
        <v>56.295712824699756</v>
      </c>
      <c r="S4" s="82">
        <f t="shared" ref="S4:S14" ca="1" si="7">_xlfn.MAXIFS(INDIRECT("'"&amp;L4&amp;"'!"&amp;N4),INDIRECT("'"&amp;L4&amp;"'!"&amp;M4),O4)</f>
        <v>194.60669875950776</v>
      </c>
      <c r="T4" s="83" cm="1">
        <f t="array" aca="1" ref="T4" ca="1">_xlfn.STDEV.P(_xlfn._xlws.FILTER(INDIRECT("'"&amp;L4&amp;"'!"&amp;N4),INDIRECT("'"&amp;L4&amp;"'!"&amp;M4)=O4))</f>
        <v>46.627589076037964</v>
      </c>
    </row>
    <row r="5" spans="1:20" ht="21.6" customHeight="1" x14ac:dyDescent="0.3">
      <c r="A5" s="12" t="s">
        <v>456</v>
      </c>
      <c r="B5" s="115">
        <f t="shared" ca="1" si="0"/>
        <v>82.637707870834291</v>
      </c>
      <c r="C5" s="115">
        <f t="shared" ca="1" si="1"/>
        <v>38.922994703223424</v>
      </c>
      <c r="D5" s="91" t="s">
        <v>275</v>
      </c>
      <c r="F5" s="106"/>
      <c r="G5" s="187"/>
      <c r="H5" s="119">
        <f t="shared" si="2"/>
        <v>0</v>
      </c>
      <c r="I5" s="120">
        <f t="shared" si="3"/>
        <v>0</v>
      </c>
      <c r="L5" s="184" t="s">
        <v>231</v>
      </c>
      <c r="M5" s="184" t="s">
        <v>278</v>
      </c>
      <c r="N5" s="184" t="s">
        <v>279</v>
      </c>
      <c r="O5" s="184" t="s">
        <v>285</v>
      </c>
      <c r="P5" s="83">
        <f t="shared" ca="1" si="4"/>
        <v>12</v>
      </c>
      <c r="Q5" s="82">
        <f t="shared" ca="1" si="5"/>
        <v>82.637707870834291</v>
      </c>
      <c r="R5" s="82">
        <f t="shared" ca="1" si="6"/>
        <v>32.476099812507755</v>
      </c>
      <c r="S5" s="82">
        <f t="shared" ca="1" si="7"/>
        <v>135.29370975950772</v>
      </c>
      <c r="T5" s="83" cm="1">
        <f t="array" aca="1" ref="T5" ca="1">_xlfn.STDEV.P(_xlfn._xlws.FILTER(INDIRECT("'"&amp;L5&amp;"'!"&amp;N5),INDIRECT("'"&amp;L5&amp;"'!"&amp;M5)=O5))</f>
        <v>38.922994703223424</v>
      </c>
    </row>
    <row r="6" spans="1:20" ht="21.6" customHeight="1" x14ac:dyDescent="0.3">
      <c r="A6" s="10" t="s">
        <v>457</v>
      </c>
      <c r="B6" s="115">
        <f t="shared" ca="1" si="0"/>
        <v>82.637707870834291</v>
      </c>
      <c r="C6" s="115">
        <f t="shared" ca="1" si="1"/>
        <v>38.922994703223424</v>
      </c>
      <c r="D6" s="91" t="s">
        <v>275</v>
      </c>
      <c r="F6" s="106"/>
      <c r="G6" s="187"/>
      <c r="H6" s="119">
        <f t="shared" si="2"/>
        <v>0</v>
      </c>
      <c r="I6" s="120">
        <f t="shared" si="3"/>
        <v>0</v>
      </c>
      <c r="L6" s="184" t="s">
        <v>231</v>
      </c>
      <c r="M6" s="184" t="s">
        <v>278</v>
      </c>
      <c r="N6" s="184" t="s">
        <v>279</v>
      </c>
      <c r="O6" s="184" t="s">
        <v>285</v>
      </c>
      <c r="P6" s="83">
        <f t="shared" ca="1" si="4"/>
        <v>12</v>
      </c>
      <c r="Q6" s="82">
        <f t="shared" ca="1" si="5"/>
        <v>82.637707870834291</v>
      </c>
      <c r="R6" s="82">
        <f t="shared" ca="1" si="6"/>
        <v>32.476099812507755</v>
      </c>
      <c r="S6" s="82">
        <f t="shared" ca="1" si="7"/>
        <v>135.29370975950772</v>
      </c>
      <c r="T6" s="83" cm="1">
        <f t="array" aca="1" ref="T6" ca="1">_xlfn.STDEV.P(_xlfn._xlws.FILTER(INDIRECT("'"&amp;L6&amp;"'!"&amp;N6),INDIRECT("'"&amp;L6&amp;"'!"&amp;M6)=O6))</f>
        <v>38.922994703223424</v>
      </c>
    </row>
    <row r="7" spans="1:20" ht="21.6" customHeight="1" x14ac:dyDescent="0.3">
      <c r="A7" s="12" t="s">
        <v>458</v>
      </c>
      <c r="B7" s="115">
        <f t="shared" ca="1" si="0"/>
        <v>82.637707870834291</v>
      </c>
      <c r="C7" s="115">
        <f t="shared" ca="1" si="1"/>
        <v>38.922994703223424</v>
      </c>
      <c r="D7" s="91" t="s">
        <v>275</v>
      </c>
      <c r="F7" s="106"/>
      <c r="G7" s="187"/>
      <c r="H7" s="119">
        <f t="shared" si="2"/>
        <v>0</v>
      </c>
      <c r="I7" s="120">
        <f t="shared" si="3"/>
        <v>0</v>
      </c>
      <c r="L7" s="184" t="s">
        <v>231</v>
      </c>
      <c r="M7" s="184" t="s">
        <v>278</v>
      </c>
      <c r="N7" s="184" t="s">
        <v>279</v>
      </c>
      <c r="O7" s="184" t="s">
        <v>285</v>
      </c>
      <c r="P7" s="83">
        <f t="shared" ca="1" si="4"/>
        <v>12</v>
      </c>
      <c r="Q7" s="82">
        <f t="shared" ca="1" si="5"/>
        <v>82.637707870834291</v>
      </c>
      <c r="R7" s="82">
        <f t="shared" ca="1" si="6"/>
        <v>32.476099812507755</v>
      </c>
      <c r="S7" s="82">
        <f t="shared" ca="1" si="7"/>
        <v>135.29370975950772</v>
      </c>
      <c r="T7" s="83" cm="1">
        <f t="array" aca="1" ref="T7" ca="1">_xlfn.STDEV.P(_xlfn._xlws.FILTER(INDIRECT("'"&amp;L7&amp;"'!"&amp;N7),INDIRECT("'"&amp;L7&amp;"'!"&amp;M7)=O7))</f>
        <v>38.922994703223424</v>
      </c>
    </row>
    <row r="8" spans="1:20" ht="21.6" customHeight="1" x14ac:dyDescent="0.3">
      <c r="A8" s="12" t="s">
        <v>459</v>
      </c>
      <c r="B8" s="115">
        <f t="shared" ca="1" si="0"/>
        <v>82.637707870834291</v>
      </c>
      <c r="C8" s="115">
        <f t="shared" ca="1" si="1"/>
        <v>38.922994703223424</v>
      </c>
      <c r="D8" s="91" t="s">
        <v>275</v>
      </c>
      <c r="G8" s="187"/>
      <c r="H8" s="119">
        <f t="shared" si="2"/>
        <v>0</v>
      </c>
      <c r="I8" s="120">
        <f t="shared" si="3"/>
        <v>0</v>
      </c>
      <c r="L8" s="184" t="s">
        <v>231</v>
      </c>
      <c r="M8" s="184" t="s">
        <v>278</v>
      </c>
      <c r="N8" s="184" t="s">
        <v>279</v>
      </c>
      <c r="O8" s="184" t="s">
        <v>285</v>
      </c>
      <c r="P8" s="83">
        <f t="shared" ca="1" si="4"/>
        <v>12</v>
      </c>
      <c r="Q8" s="82">
        <f t="shared" ca="1" si="5"/>
        <v>82.637707870834291</v>
      </c>
      <c r="R8" s="82">
        <f t="shared" ca="1" si="6"/>
        <v>32.476099812507755</v>
      </c>
      <c r="S8" s="82">
        <f t="shared" ca="1" si="7"/>
        <v>135.29370975950772</v>
      </c>
      <c r="T8" s="83" cm="1">
        <f t="array" aca="1" ref="T8" ca="1">_xlfn.STDEV.P(_xlfn._xlws.FILTER(INDIRECT("'"&amp;L8&amp;"'!"&amp;N8),INDIRECT("'"&amp;L8&amp;"'!"&amp;M8)=O8))</f>
        <v>38.922994703223424</v>
      </c>
    </row>
    <row r="9" spans="1:20" ht="21.6" customHeight="1" x14ac:dyDescent="0.3">
      <c r="A9" s="12" t="s">
        <v>460</v>
      </c>
      <c r="B9" s="115">
        <f t="shared" ca="1" si="0"/>
        <v>82.637707870834291</v>
      </c>
      <c r="C9" s="115">
        <f t="shared" ca="1" si="1"/>
        <v>38.922994703223424</v>
      </c>
      <c r="D9" s="91" t="s">
        <v>275</v>
      </c>
      <c r="F9" s="106"/>
      <c r="G9" s="187"/>
      <c r="H9" s="119">
        <f t="shared" si="2"/>
        <v>0</v>
      </c>
      <c r="I9" s="120">
        <f t="shared" si="3"/>
        <v>0</v>
      </c>
      <c r="L9" s="184" t="s">
        <v>231</v>
      </c>
      <c r="M9" s="184" t="s">
        <v>278</v>
      </c>
      <c r="N9" s="184" t="s">
        <v>279</v>
      </c>
      <c r="O9" s="184" t="s">
        <v>285</v>
      </c>
      <c r="P9" s="83">
        <f t="shared" ca="1" si="4"/>
        <v>12</v>
      </c>
      <c r="Q9" s="82">
        <f t="shared" ca="1" si="5"/>
        <v>82.637707870834291</v>
      </c>
      <c r="R9" s="82">
        <f t="shared" ca="1" si="6"/>
        <v>32.476099812507755</v>
      </c>
      <c r="S9" s="82">
        <f t="shared" ca="1" si="7"/>
        <v>135.29370975950772</v>
      </c>
      <c r="T9" s="83" cm="1">
        <f t="array" aca="1" ref="T9" ca="1">_xlfn.STDEV.P(_xlfn._xlws.FILTER(INDIRECT("'"&amp;L9&amp;"'!"&amp;N9),INDIRECT("'"&amp;L9&amp;"'!"&amp;M9)=O9))</f>
        <v>38.922994703223424</v>
      </c>
    </row>
    <row r="10" spans="1:20" ht="21.6" customHeight="1" x14ac:dyDescent="0.3">
      <c r="A10" s="12" t="s">
        <v>461</v>
      </c>
      <c r="B10" s="115">
        <f t="shared" ca="1" si="0"/>
        <v>82.637707870834291</v>
      </c>
      <c r="C10" s="115">
        <f t="shared" ca="1" si="1"/>
        <v>38.922994703223424</v>
      </c>
      <c r="D10" s="91" t="s">
        <v>275</v>
      </c>
      <c r="F10" s="106"/>
      <c r="G10" s="187"/>
      <c r="H10" s="119">
        <f t="shared" si="2"/>
        <v>0</v>
      </c>
      <c r="I10" s="120">
        <f t="shared" si="3"/>
        <v>0</v>
      </c>
      <c r="L10" s="184" t="s">
        <v>231</v>
      </c>
      <c r="M10" s="184" t="s">
        <v>278</v>
      </c>
      <c r="N10" s="184" t="s">
        <v>279</v>
      </c>
      <c r="O10" s="184" t="s">
        <v>285</v>
      </c>
      <c r="P10" s="83">
        <f t="shared" ca="1" si="4"/>
        <v>12</v>
      </c>
      <c r="Q10" s="82">
        <f t="shared" ca="1" si="5"/>
        <v>82.637707870834291</v>
      </c>
      <c r="R10" s="82">
        <f t="shared" ca="1" si="6"/>
        <v>32.476099812507755</v>
      </c>
      <c r="S10" s="82">
        <f t="shared" ca="1" si="7"/>
        <v>135.29370975950772</v>
      </c>
      <c r="T10" s="83" cm="1">
        <f t="array" aca="1" ref="T10" ca="1">_xlfn.STDEV.P(_xlfn._xlws.FILTER(INDIRECT("'"&amp;L10&amp;"'!"&amp;N10),INDIRECT("'"&amp;L10&amp;"'!"&amp;M10)=O10))</f>
        <v>38.922994703223424</v>
      </c>
    </row>
    <row r="11" spans="1:20" ht="21.6" customHeight="1" x14ac:dyDescent="0.3">
      <c r="A11" s="12" t="s">
        <v>462</v>
      </c>
      <c r="B11" s="115">
        <f t="shared" ca="1" si="0"/>
        <v>82.637707870834291</v>
      </c>
      <c r="C11" s="115">
        <f t="shared" ca="1" si="1"/>
        <v>38.922994703223424</v>
      </c>
      <c r="D11" s="91" t="s">
        <v>275</v>
      </c>
      <c r="F11" s="106"/>
      <c r="G11" s="187"/>
      <c r="H11" s="119">
        <f t="shared" si="2"/>
        <v>0</v>
      </c>
      <c r="I11" s="120">
        <f t="shared" si="3"/>
        <v>0</v>
      </c>
      <c r="L11" s="184" t="s">
        <v>231</v>
      </c>
      <c r="M11" s="184" t="s">
        <v>278</v>
      </c>
      <c r="N11" s="184" t="s">
        <v>279</v>
      </c>
      <c r="O11" s="184" t="s">
        <v>285</v>
      </c>
      <c r="P11" s="83">
        <f t="shared" ca="1" si="4"/>
        <v>12</v>
      </c>
      <c r="Q11" s="82">
        <f t="shared" ca="1" si="5"/>
        <v>82.637707870834291</v>
      </c>
      <c r="R11" s="82">
        <f t="shared" ca="1" si="6"/>
        <v>32.476099812507755</v>
      </c>
      <c r="S11" s="82">
        <f t="shared" ca="1" si="7"/>
        <v>135.29370975950772</v>
      </c>
      <c r="T11" s="83" cm="1">
        <f t="array" aca="1" ref="T11" ca="1">_xlfn.STDEV.P(_xlfn._xlws.FILTER(INDIRECT("'"&amp;L11&amp;"'!"&amp;N11),INDIRECT("'"&amp;L11&amp;"'!"&amp;M11)=O11))</f>
        <v>38.922994703223424</v>
      </c>
    </row>
    <row r="12" spans="1:20" ht="21.6" customHeight="1" x14ac:dyDescent="0.3">
      <c r="A12" s="12" t="s">
        <v>19</v>
      </c>
      <c r="B12" s="115">
        <f t="shared" ca="1" si="0"/>
        <v>82.637707870834291</v>
      </c>
      <c r="C12" s="115">
        <f t="shared" ca="1" si="1"/>
        <v>38.922994703223424</v>
      </c>
      <c r="D12" s="91" t="s">
        <v>275</v>
      </c>
      <c r="F12" s="106"/>
      <c r="G12" s="187"/>
      <c r="H12" s="119">
        <f t="shared" si="2"/>
        <v>0</v>
      </c>
      <c r="I12" s="120">
        <f t="shared" si="3"/>
        <v>0</v>
      </c>
      <c r="K12" s="106"/>
      <c r="L12" s="184" t="s">
        <v>231</v>
      </c>
      <c r="M12" s="184" t="s">
        <v>278</v>
      </c>
      <c r="N12" s="184" t="s">
        <v>279</v>
      </c>
      <c r="O12" s="184" t="s">
        <v>285</v>
      </c>
      <c r="P12" s="83">
        <f t="shared" ca="1" si="4"/>
        <v>12</v>
      </c>
      <c r="Q12" s="82">
        <f t="shared" ca="1" si="5"/>
        <v>82.637707870834291</v>
      </c>
      <c r="R12" s="82">
        <f t="shared" ca="1" si="6"/>
        <v>32.476099812507755</v>
      </c>
      <c r="S12" s="82">
        <f t="shared" ca="1" si="7"/>
        <v>135.29370975950772</v>
      </c>
      <c r="T12" s="83" cm="1">
        <f t="array" aca="1" ref="T12" ca="1">_xlfn.STDEV.P(_xlfn._xlws.FILTER(INDIRECT("'"&amp;L12&amp;"'!"&amp;N12),INDIRECT("'"&amp;L12&amp;"'!"&amp;M12)=O12))</f>
        <v>38.922994703223424</v>
      </c>
    </row>
    <row r="13" spans="1:20" ht="21.6" customHeight="1" x14ac:dyDescent="0.3">
      <c r="A13" s="12" t="s">
        <v>20</v>
      </c>
      <c r="B13" s="115">
        <f t="shared" ca="1" si="0"/>
        <v>82.637707870834291</v>
      </c>
      <c r="C13" s="115">
        <f t="shared" ca="1" si="1"/>
        <v>38.922994703223424</v>
      </c>
      <c r="D13" s="91" t="s">
        <v>275</v>
      </c>
      <c r="F13" s="106"/>
      <c r="G13" s="187"/>
      <c r="H13" s="119">
        <f t="shared" si="2"/>
        <v>0</v>
      </c>
      <c r="I13" s="120">
        <f t="shared" si="3"/>
        <v>0</v>
      </c>
      <c r="L13" s="184" t="s">
        <v>231</v>
      </c>
      <c r="M13" s="184" t="s">
        <v>278</v>
      </c>
      <c r="N13" s="184" t="s">
        <v>279</v>
      </c>
      <c r="O13" s="184" t="s">
        <v>285</v>
      </c>
      <c r="P13" s="83">
        <f t="shared" ca="1" si="4"/>
        <v>12</v>
      </c>
      <c r="Q13" s="82">
        <f t="shared" ca="1" si="5"/>
        <v>82.637707870834291</v>
      </c>
      <c r="R13" s="82">
        <f t="shared" ca="1" si="6"/>
        <v>32.476099812507755</v>
      </c>
      <c r="S13" s="82">
        <f t="shared" ca="1" si="7"/>
        <v>135.29370975950772</v>
      </c>
      <c r="T13" s="83" cm="1">
        <f t="array" aca="1" ref="T13" ca="1">_xlfn.STDEV.P(_xlfn._xlws.FILTER(INDIRECT("'"&amp;L13&amp;"'!"&amp;N13),INDIRECT("'"&amp;L13&amp;"'!"&amp;M13)=O13))</f>
        <v>38.922994703223424</v>
      </c>
    </row>
    <row r="14" spans="1:20" ht="21.6" customHeight="1" thickBot="1" x14ac:dyDescent="0.35">
      <c r="A14" s="14" t="s">
        <v>464</v>
      </c>
      <c r="B14" s="115">
        <f t="shared" ca="1" si="0"/>
        <v>82.637707870834291</v>
      </c>
      <c r="C14" s="115">
        <f t="shared" ca="1" si="1"/>
        <v>38.922994703223424</v>
      </c>
      <c r="D14" s="91" t="s">
        <v>275</v>
      </c>
      <c r="F14" s="106"/>
      <c r="G14" s="188"/>
      <c r="H14" s="121">
        <f t="shared" si="2"/>
        <v>0</v>
      </c>
      <c r="I14" s="122">
        <f t="shared" si="3"/>
        <v>0</v>
      </c>
      <c r="L14" s="184" t="s">
        <v>231</v>
      </c>
      <c r="M14" s="184" t="s">
        <v>278</v>
      </c>
      <c r="N14" s="184" t="s">
        <v>279</v>
      </c>
      <c r="O14" s="184" t="s">
        <v>285</v>
      </c>
      <c r="P14" s="83">
        <f t="shared" ca="1" si="4"/>
        <v>12</v>
      </c>
      <c r="Q14" s="82">
        <f t="shared" ca="1" si="5"/>
        <v>82.637707870834291</v>
      </c>
      <c r="R14" s="82">
        <f t="shared" ca="1" si="6"/>
        <v>32.476099812507755</v>
      </c>
      <c r="S14" s="82">
        <f t="shared" ca="1" si="7"/>
        <v>135.29370975950772</v>
      </c>
      <c r="T14" s="83" cm="1">
        <f t="array" aca="1" ref="T14" ca="1">_xlfn.STDEV.P(_xlfn._xlws.FILTER(INDIRECT("'"&amp;L14&amp;"'!"&amp;N14),INDIRECT("'"&amp;L14&amp;"'!"&amp;M14)=O14))</f>
        <v>38.922994703223424</v>
      </c>
    </row>
    <row r="28" spans="9:9" x14ac:dyDescent="0.3">
      <c r="I28" s="91" t="s">
        <v>545</v>
      </c>
    </row>
  </sheetData>
  <dataValidations count="1">
    <dataValidation type="list" allowBlank="1" showInputMessage="1" showErrorMessage="1" sqref="D3:D14" xr:uid="{80CD9643-8B17-44CD-B7BD-24654ED584AF}">
      <formula1>"Data,Expert Estimate"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9C70C-BD56-4764-9A6F-F325F0EF6F57}">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9.1093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ca="1" si="0">IF(D3="Data",Q3,(G3*3+H3+I3)/5)</f>
        <v>212.30196272820004</v>
      </c>
      <c r="C3" s="115">
        <f t="shared" ref="C3:C14" ca="1" si="1">IF(D3="Data",T3,(I3-H3)/5)</f>
        <v>0</v>
      </c>
      <c r="D3" s="91" t="s">
        <v>275</v>
      </c>
      <c r="F3" s="106"/>
      <c r="G3" s="186">
        <v>212.30196272820004</v>
      </c>
      <c r="H3" s="116">
        <f>0.9*G3</f>
        <v>191.07176645538004</v>
      </c>
      <c r="I3" s="117">
        <f>1.1*G3</f>
        <v>233.53215900102006</v>
      </c>
      <c r="K3" s="106"/>
      <c r="L3" s="185" t="s">
        <v>231</v>
      </c>
      <c r="M3" s="184" t="s">
        <v>278</v>
      </c>
      <c r="N3" s="184" t="s">
        <v>279</v>
      </c>
      <c r="O3" s="184" t="s">
        <v>140</v>
      </c>
      <c r="P3" s="83">
        <f ca="1">COUNTIF(INDIRECT("'"&amp;L3&amp;"'!"&amp;M3),O3)</f>
        <v>1</v>
      </c>
      <c r="Q3" s="82">
        <f ca="1">AVERAGEIF(INDIRECT("'"&amp;L3&amp;"'!"&amp;M3),O3,INDIRECT("'"&amp;L3&amp;"'!"&amp;N3))</f>
        <v>212.30196272820004</v>
      </c>
      <c r="R3" s="82">
        <f ca="1">_xlfn.MINIFS(INDIRECT("'"&amp;L3&amp;"'!"&amp;N3),INDIRECT("'"&amp;L3&amp;"'!"&amp;M3),O3)</f>
        <v>212.30196272820004</v>
      </c>
      <c r="S3" s="82">
        <f ca="1">_xlfn.MAXIFS(INDIRECT("'"&amp;L3&amp;"'!"&amp;N3),INDIRECT("'"&amp;L3&amp;"'!"&amp;M3),O3)</f>
        <v>212.30196272820004</v>
      </c>
      <c r="T3" s="83" cm="1">
        <f t="array" aca="1" ref="T3" ca="1">_xlfn.STDEV.P(_xlfn._xlws.FILTER(INDIRECT("'"&amp;L3&amp;"'!"&amp;N3),INDIRECT("'"&amp;L3&amp;"'!"&amp;M3)=O3))</f>
        <v>0</v>
      </c>
    </row>
    <row r="4" spans="1:20" ht="21.6" customHeight="1" x14ac:dyDescent="0.3">
      <c r="A4" s="10" t="s">
        <v>455</v>
      </c>
      <c r="B4" s="115">
        <f t="shared" ca="1" si="0"/>
        <v>212.30196272820004</v>
      </c>
      <c r="C4" s="115">
        <f t="shared" ca="1" si="1"/>
        <v>0</v>
      </c>
      <c r="D4" s="91" t="s">
        <v>275</v>
      </c>
      <c r="F4" s="106"/>
      <c r="G4" s="187">
        <v>212.30196272820004</v>
      </c>
      <c r="H4" s="119">
        <f t="shared" ref="H4:H14" si="2">0.9*G4</f>
        <v>191.07176645538004</v>
      </c>
      <c r="I4" s="120">
        <f t="shared" ref="I4:I14" si="3">1.1*G4</f>
        <v>233.53215900102006</v>
      </c>
      <c r="L4" s="184" t="s">
        <v>231</v>
      </c>
      <c r="M4" s="184" t="s">
        <v>278</v>
      </c>
      <c r="N4" s="184" t="s">
        <v>279</v>
      </c>
      <c r="O4" s="184" t="s">
        <v>140</v>
      </c>
      <c r="P4" s="83">
        <f t="shared" ref="P4:P14" ca="1" si="4">COUNTIF(INDIRECT("'"&amp;L4&amp;"'!"&amp;M4),O4)</f>
        <v>1</v>
      </c>
      <c r="Q4" s="82">
        <f t="shared" ref="Q4:Q14" ca="1" si="5">AVERAGEIF(INDIRECT("'"&amp;L4&amp;"'!"&amp;M4),O4,INDIRECT("'"&amp;L4&amp;"'!"&amp;N4))</f>
        <v>212.30196272820004</v>
      </c>
      <c r="R4" s="82">
        <f t="shared" ref="R4:R14" ca="1" si="6">_xlfn.MINIFS(INDIRECT("'"&amp;L4&amp;"'!"&amp;N4),INDIRECT("'"&amp;L4&amp;"'!"&amp;M4),O4)</f>
        <v>212.30196272820004</v>
      </c>
      <c r="S4" s="82">
        <f t="shared" ref="S4:S14" ca="1" si="7">_xlfn.MAXIFS(INDIRECT("'"&amp;L4&amp;"'!"&amp;N4),INDIRECT("'"&amp;L4&amp;"'!"&amp;M4),O4)</f>
        <v>212.30196272820004</v>
      </c>
      <c r="T4" s="83" cm="1">
        <f t="array" aca="1" ref="T4" ca="1">_xlfn.STDEV.P(_xlfn._xlws.FILTER(INDIRECT("'"&amp;L4&amp;"'!"&amp;N4),INDIRECT("'"&amp;L4&amp;"'!"&amp;M4)=O4))</f>
        <v>0</v>
      </c>
    </row>
    <row r="5" spans="1:20" ht="21.6" customHeight="1" x14ac:dyDescent="0.3">
      <c r="A5" s="12" t="s">
        <v>456</v>
      </c>
      <c r="B5" s="115">
        <f t="shared" ca="1" si="0"/>
        <v>212.30196272820004</v>
      </c>
      <c r="C5" s="115">
        <f t="shared" ca="1" si="1"/>
        <v>0</v>
      </c>
      <c r="D5" s="91" t="s">
        <v>275</v>
      </c>
      <c r="F5" s="106"/>
      <c r="G5" s="187">
        <v>212.30196272820004</v>
      </c>
      <c r="H5" s="119">
        <f t="shared" si="2"/>
        <v>191.07176645538004</v>
      </c>
      <c r="I5" s="120">
        <f t="shared" si="3"/>
        <v>233.53215900102006</v>
      </c>
      <c r="L5" s="184" t="s">
        <v>231</v>
      </c>
      <c r="M5" s="184" t="s">
        <v>278</v>
      </c>
      <c r="N5" s="184" t="s">
        <v>279</v>
      </c>
      <c r="O5" s="184" t="s">
        <v>140</v>
      </c>
      <c r="P5" s="83">
        <f t="shared" ca="1" si="4"/>
        <v>1</v>
      </c>
      <c r="Q5" s="82">
        <f t="shared" ca="1" si="5"/>
        <v>212.30196272820004</v>
      </c>
      <c r="R5" s="82">
        <f t="shared" ca="1" si="6"/>
        <v>212.30196272820004</v>
      </c>
      <c r="S5" s="82">
        <f t="shared" ca="1" si="7"/>
        <v>212.30196272820004</v>
      </c>
      <c r="T5" s="83" cm="1">
        <f t="array" aca="1" ref="T5" ca="1">_xlfn.STDEV.P(_xlfn._xlws.FILTER(INDIRECT("'"&amp;L5&amp;"'!"&amp;N5),INDIRECT("'"&amp;L5&amp;"'!"&amp;M5)=O5))</f>
        <v>0</v>
      </c>
    </row>
    <row r="6" spans="1:20" ht="21.6" customHeight="1" x14ac:dyDescent="0.3">
      <c r="A6" s="10" t="s">
        <v>457</v>
      </c>
      <c r="B6" s="115">
        <f t="shared" ca="1" si="0"/>
        <v>212.30196272820004</v>
      </c>
      <c r="C6" s="115">
        <f t="shared" ca="1" si="1"/>
        <v>0</v>
      </c>
      <c r="D6" s="91" t="s">
        <v>275</v>
      </c>
      <c r="F6" s="106"/>
      <c r="G6" s="187">
        <v>212.30196272820004</v>
      </c>
      <c r="H6" s="119">
        <f t="shared" si="2"/>
        <v>191.07176645538004</v>
      </c>
      <c r="I6" s="120">
        <f t="shared" si="3"/>
        <v>233.53215900102006</v>
      </c>
      <c r="L6" s="184" t="s">
        <v>231</v>
      </c>
      <c r="M6" s="184" t="s">
        <v>278</v>
      </c>
      <c r="N6" s="184" t="s">
        <v>279</v>
      </c>
      <c r="O6" s="184" t="s">
        <v>140</v>
      </c>
      <c r="P6" s="83">
        <f t="shared" ca="1" si="4"/>
        <v>1</v>
      </c>
      <c r="Q6" s="82">
        <f t="shared" ca="1" si="5"/>
        <v>212.30196272820004</v>
      </c>
      <c r="R6" s="82">
        <f t="shared" ca="1" si="6"/>
        <v>212.30196272820004</v>
      </c>
      <c r="S6" s="82">
        <f t="shared" ca="1" si="7"/>
        <v>212.30196272820004</v>
      </c>
      <c r="T6" s="83" cm="1">
        <f t="array" aca="1" ref="T6" ca="1">_xlfn.STDEV.P(_xlfn._xlws.FILTER(INDIRECT("'"&amp;L6&amp;"'!"&amp;N6),INDIRECT("'"&amp;L6&amp;"'!"&amp;M6)=O6))</f>
        <v>0</v>
      </c>
    </row>
    <row r="7" spans="1:20" ht="21.6" customHeight="1" x14ac:dyDescent="0.3">
      <c r="A7" s="12" t="s">
        <v>458</v>
      </c>
      <c r="B7" s="115">
        <f t="shared" ca="1" si="0"/>
        <v>212.30196272820004</v>
      </c>
      <c r="C7" s="115">
        <f t="shared" ca="1" si="1"/>
        <v>0</v>
      </c>
      <c r="D7" s="91" t="s">
        <v>275</v>
      </c>
      <c r="F7" s="106"/>
      <c r="G7" s="187">
        <v>212.30196272820004</v>
      </c>
      <c r="H7" s="119">
        <f t="shared" si="2"/>
        <v>191.07176645538004</v>
      </c>
      <c r="I7" s="120">
        <f t="shared" si="3"/>
        <v>233.53215900102006</v>
      </c>
      <c r="L7" s="184" t="s">
        <v>231</v>
      </c>
      <c r="M7" s="184" t="s">
        <v>278</v>
      </c>
      <c r="N7" s="184" t="s">
        <v>279</v>
      </c>
      <c r="O7" s="184" t="s">
        <v>140</v>
      </c>
      <c r="P7" s="83">
        <f t="shared" ca="1" si="4"/>
        <v>1</v>
      </c>
      <c r="Q7" s="82">
        <f t="shared" ca="1" si="5"/>
        <v>212.30196272820004</v>
      </c>
      <c r="R7" s="82">
        <f t="shared" ca="1" si="6"/>
        <v>212.30196272820004</v>
      </c>
      <c r="S7" s="82">
        <f t="shared" ca="1" si="7"/>
        <v>212.30196272820004</v>
      </c>
      <c r="T7" s="83" cm="1">
        <f t="array" aca="1" ref="T7" ca="1">_xlfn.STDEV.P(_xlfn._xlws.FILTER(INDIRECT("'"&amp;L7&amp;"'!"&amp;N7),INDIRECT("'"&amp;L7&amp;"'!"&amp;M7)=O7))</f>
        <v>0</v>
      </c>
    </row>
    <row r="8" spans="1:20" ht="21.6" customHeight="1" x14ac:dyDescent="0.3">
      <c r="A8" s="12" t="s">
        <v>459</v>
      </c>
      <c r="B8" s="115">
        <f t="shared" ca="1" si="0"/>
        <v>212.30196272820004</v>
      </c>
      <c r="C8" s="115">
        <f t="shared" ca="1" si="1"/>
        <v>0</v>
      </c>
      <c r="D8" s="91" t="s">
        <v>275</v>
      </c>
      <c r="G8" s="187">
        <v>212.30196272820004</v>
      </c>
      <c r="H8" s="119">
        <f t="shared" si="2"/>
        <v>191.07176645538004</v>
      </c>
      <c r="I8" s="120">
        <f t="shared" si="3"/>
        <v>233.53215900102006</v>
      </c>
      <c r="L8" s="184" t="s">
        <v>231</v>
      </c>
      <c r="M8" s="184" t="s">
        <v>278</v>
      </c>
      <c r="N8" s="184" t="s">
        <v>279</v>
      </c>
      <c r="O8" s="184" t="s">
        <v>140</v>
      </c>
      <c r="P8" s="83">
        <f t="shared" ca="1" si="4"/>
        <v>1</v>
      </c>
      <c r="Q8" s="82">
        <f t="shared" ca="1" si="5"/>
        <v>212.30196272820004</v>
      </c>
      <c r="R8" s="82">
        <f t="shared" ca="1" si="6"/>
        <v>212.30196272820004</v>
      </c>
      <c r="S8" s="82">
        <f t="shared" ca="1" si="7"/>
        <v>212.30196272820004</v>
      </c>
      <c r="T8" s="83" cm="1">
        <f t="array" aca="1" ref="T8" ca="1">_xlfn.STDEV.P(_xlfn._xlws.FILTER(INDIRECT("'"&amp;L8&amp;"'!"&amp;N8),INDIRECT("'"&amp;L8&amp;"'!"&amp;M8)=O8))</f>
        <v>0</v>
      </c>
    </row>
    <row r="9" spans="1:20" ht="21.6" customHeight="1" x14ac:dyDescent="0.3">
      <c r="A9" s="12" t="s">
        <v>460</v>
      </c>
      <c r="B9" s="115">
        <f t="shared" ca="1" si="0"/>
        <v>212.30196272820004</v>
      </c>
      <c r="C9" s="115">
        <f t="shared" ca="1" si="1"/>
        <v>0</v>
      </c>
      <c r="D9" s="91" t="s">
        <v>275</v>
      </c>
      <c r="F9" s="106"/>
      <c r="G9" s="187">
        <v>212.30196272820004</v>
      </c>
      <c r="H9" s="119">
        <f t="shared" si="2"/>
        <v>191.07176645538004</v>
      </c>
      <c r="I9" s="120">
        <f t="shared" si="3"/>
        <v>233.53215900102006</v>
      </c>
      <c r="L9" s="184" t="s">
        <v>231</v>
      </c>
      <c r="M9" s="184" t="s">
        <v>278</v>
      </c>
      <c r="N9" s="184" t="s">
        <v>279</v>
      </c>
      <c r="O9" s="184" t="s">
        <v>140</v>
      </c>
      <c r="P9" s="83">
        <f t="shared" ca="1" si="4"/>
        <v>1</v>
      </c>
      <c r="Q9" s="82">
        <f t="shared" ca="1" si="5"/>
        <v>212.30196272820004</v>
      </c>
      <c r="R9" s="82">
        <f t="shared" ca="1" si="6"/>
        <v>212.30196272820004</v>
      </c>
      <c r="S9" s="82">
        <f t="shared" ca="1" si="7"/>
        <v>212.30196272820004</v>
      </c>
      <c r="T9" s="83" cm="1">
        <f t="array" aca="1" ref="T9" ca="1">_xlfn.STDEV.P(_xlfn._xlws.FILTER(INDIRECT("'"&amp;L9&amp;"'!"&amp;N9),INDIRECT("'"&amp;L9&amp;"'!"&amp;M9)=O9))</f>
        <v>0</v>
      </c>
    </row>
    <row r="10" spans="1:20" ht="21.6" customHeight="1" x14ac:dyDescent="0.3">
      <c r="A10" s="12" t="s">
        <v>461</v>
      </c>
      <c r="B10" s="115">
        <f t="shared" ca="1" si="0"/>
        <v>212.30196272820004</v>
      </c>
      <c r="C10" s="115">
        <f t="shared" ca="1" si="1"/>
        <v>0</v>
      </c>
      <c r="D10" s="91" t="s">
        <v>275</v>
      </c>
      <c r="F10" s="106"/>
      <c r="G10" s="187">
        <v>212.30196272820004</v>
      </c>
      <c r="H10" s="119">
        <f t="shared" si="2"/>
        <v>191.07176645538004</v>
      </c>
      <c r="I10" s="120">
        <f t="shared" si="3"/>
        <v>233.53215900102006</v>
      </c>
      <c r="L10" s="184" t="s">
        <v>231</v>
      </c>
      <c r="M10" s="184" t="s">
        <v>278</v>
      </c>
      <c r="N10" s="184" t="s">
        <v>279</v>
      </c>
      <c r="O10" s="184" t="s">
        <v>140</v>
      </c>
      <c r="P10" s="83">
        <f t="shared" ca="1" si="4"/>
        <v>1</v>
      </c>
      <c r="Q10" s="82">
        <f t="shared" ca="1" si="5"/>
        <v>212.30196272820004</v>
      </c>
      <c r="R10" s="82">
        <f t="shared" ca="1" si="6"/>
        <v>212.30196272820004</v>
      </c>
      <c r="S10" s="82">
        <f t="shared" ca="1" si="7"/>
        <v>212.30196272820004</v>
      </c>
      <c r="T10" s="83" cm="1">
        <f t="array" aca="1" ref="T10" ca="1">_xlfn.STDEV.P(_xlfn._xlws.FILTER(INDIRECT("'"&amp;L10&amp;"'!"&amp;N10),INDIRECT("'"&amp;L10&amp;"'!"&amp;M10)=O10))</f>
        <v>0</v>
      </c>
    </row>
    <row r="11" spans="1:20" ht="21.6" customHeight="1" x14ac:dyDescent="0.3">
      <c r="A11" s="12" t="s">
        <v>462</v>
      </c>
      <c r="B11" s="115">
        <f t="shared" ca="1" si="0"/>
        <v>212.30196272820004</v>
      </c>
      <c r="C11" s="115">
        <f t="shared" ca="1" si="1"/>
        <v>0</v>
      </c>
      <c r="D11" s="91" t="s">
        <v>275</v>
      </c>
      <c r="F11" s="106"/>
      <c r="G11" s="187">
        <v>212.30196272820004</v>
      </c>
      <c r="H11" s="119">
        <f t="shared" si="2"/>
        <v>191.07176645538004</v>
      </c>
      <c r="I11" s="120">
        <f t="shared" si="3"/>
        <v>233.53215900102006</v>
      </c>
      <c r="L11" s="184" t="s">
        <v>231</v>
      </c>
      <c r="M11" s="184" t="s">
        <v>278</v>
      </c>
      <c r="N11" s="184" t="s">
        <v>279</v>
      </c>
      <c r="O11" s="184" t="s">
        <v>140</v>
      </c>
      <c r="P11" s="83">
        <f t="shared" ca="1" si="4"/>
        <v>1</v>
      </c>
      <c r="Q11" s="82">
        <f t="shared" ca="1" si="5"/>
        <v>212.30196272820004</v>
      </c>
      <c r="R11" s="82">
        <f t="shared" ca="1" si="6"/>
        <v>212.30196272820004</v>
      </c>
      <c r="S11" s="82">
        <f t="shared" ca="1" si="7"/>
        <v>212.30196272820004</v>
      </c>
      <c r="T11" s="83" cm="1">
        <f t="array" aca="1" ref="T11" ca="1">_xlfn.STDEV.P(_xlfn._xlws.FILTER(INDIRECT("'"&amp;L11&amp;"'!"&amp;N11),INDIRECT("'"&amp;L11&amp;"'!"&amp;M11)=O11))</f>
        <v>0</v>
      </c>
    </row>
    <row r="12" spans="1:20" ht="21.6" customHeight="1" x14ac:dyDescent="0.3">
      <c r="A12" s="12" t="s">
        <v>19</v>
      </c>
      <c r="B12" s="115">
        <f t="shared" ca="1" si="0"/>
        <v>212.30196272820004</v>
      </c>
      <c r="C12" s="115">
        <f t="shared" ca="1" si="1"/>
        <v>0</v>
      </c>
      <c r="D12" s="91" t="s">
        <v>275</v>
      </c>
      <c r="F12" s="106"/>
      <c r="G12" s="187">
        <v>212.30196272820004</v>
      </c>
      <c r="H12" s="119">
        <f t="shared" si="2"/>
        <v>191.07176645538004</v>
      </c>
      <c r="I12" s="120">
        <f t="shared" si="3"/>
        <v>233.53215900102006</v>
      </c>
      <c r="K12" s="106"/>
      <c r="L12" s="184" t="s">
        <v>231</v>
      </c>
      <c r="M12" s="184" t="s">
        <v>278</v>
      </c>
      <c r="N12" s="184" t="s">
        <v>279</v>
      </c>
      <c r="O12" s="184" t="s">
        <v>140</v>
      </c>
      <c r="P12" s="83">
        <f t="shared" ca="1" si="4"/>
        <v>1</v>
      </c>
      <c r="Q12" s="82">
        <f t="shared" ca="1" si="5"/>
        <v>212.30196272820004</v>
      </c>
      <c r="R12" s="82">
        <f t="shared" ca="1" si="6"/>
        <v>212.30196272820004</v>
      </c>
      <c r="S12" s="82">
        <f t="shared" ca="1" si="7"/>
        <v>212.30196272820004</v>
      </c>
      <c r="T12" s="83" cm="1">
        <f t="array" aca="1" ref="T12" ca="1">_xlfn.STDEV.P(_xlfn._xlws.FILTER(INDIRECT("'"&amp;L12&amp;"'!"&amp;N12),INDIRECT("'"&amp;L12&amp;"'!"&amp;M12)=O12))</f>
        <v>0</v>
      </c>
    </row>
    <row r="13" spans="1:20" ht="21.6" customHeight="1" x14ac:dyDescent="0.3">
      <c r="A13" s="12" t="s">
        <v>20</v>
      </c>
      <c r="B13" s="115">
        <f t="shared" ca="1" si="0"/>
        <v>212.30196272820004</v>
      </c>
      <c r="C13" s="115">
        <f t="shared" ca="1" si="1"/>
        <v>0</v>
      </c>
      <c r="D13" s="91" t="s">
        <v>275</v>
      </c>
      <c r="F13" s="106"/>
      <c r="G13" s="187">
        <v>212.30196272820004</v>
      </c>
      <c r="H13" s="119">
        <f t="shared" si="2"/>
        <v>191.07176645538004</v>
      </c>
      <c r="I13" s="120">
        <f t="shared" si="3"/>
        <v>233.53215900102006</v>
      </c>
      <c r="L13" s="184" t="s">
        <v>231</v>
      </c>
      <c r="M13" s="184" t="s">
        <v>278</v>
      </c>
      <c r="N13" s="184" t="s">
        <v>279</v>
      </c>
      <c r="O13" s="184" t="s">
        <v>140</v>
      </c>
      <c r="P13" s="83">
        <f t="shared" ca="1" si="4"/>
        <v>1</v>
      </c>
      <c r="Q13" s="82">
        <f t="shared" ca="1" si="5"/>
        <v>212.30196272820004</v>
      </c>
      <c r="R13" s="82">
        <f t="shared" ca="1" si="6"/>
        <v>212.30196272820004</v>
      </c>
      <c r="S13" s="82">
        <f t="shared" ca="1" si="7"/>
        <v>212.30196272820004</v>
      </c>
      <c r="T13" s="83" cm="1">
        <f t="array" aca="1" ref="T13" ca="1">_xlfn.STDEV.P(_xlfn._xlws.FILTER(INDIRECT("'"&amp;L13&amp;"'!"&amp;N13),INDIRECT("'"&amp;L13&amp;"'!"&amp;M13)=O13))</f>
        <v>0</v>
      </c>
    </row>
    <row r="14" spans="1:20" ht="21.6" customHeight="1" thickBot="1" x14ac:dyDescent="0.35">
      <c r="A14" s="14" t="s">
        <v>464</v>
      </c>
      <c r="B14" s="115">
        <f t="shared" ca="1" si="0"/>
        <v>212.30196272820004</v>
      </c>
      <c r="C14" s="115">
        <f t="shared" ca="1" si="1"/>
        <v>0</v>
      </c>
      <c r="D14" s="91" t="s">
        <v>275</v>
      </c>
      <c r="F14" s="106"/>
      <c r="G14" s="188">
        <v>212.30196272820004</v>
      </c>
      <c r="H14" s="121">
        <f t="shared" si="2"/>
        <v>191.07176645538004</v>
      </c>
      <c r="I14" s="122">
        <f t="shared" si="3"/>
        <v>233.53215900102006</v>
      </c>
      <c r="L14" s="184" t="s">
        <v>231</v>
      </c>
      <c r="M14" s="184" t="s">
        <v>278</v>
      </c>
      <c r="N14" s="184" t="s">
        <v>279</v>
      </c>
      <c r="O14" s="184" t="s">
        <v>140</v>
      </c>
      <c r="P14" s="83">
        <f t="shared" ca="1" si="4"/>
        <v>1</v>
      </c>
      <c r="Q14" s="82">
        <f t="shared" ca="1" si="5"/>
        <v>212.30196272820004</v>
      </c>
      <c r="R14" s="82">
        <f t="shared" ca="1" si="6"/>
        <v>212.30196272820004</v>
      </c>
      <c r="S14" s="82">
        <f t="shared" ca="1" si="7"/>
        <v>212.30196272820004</v>
      </c>
      <c r="T14" s="83" cm="1">
        <f t="array" aca="1" ref="T14" ca="1">_xlfn.STDEV.P(_xlfn._xlws.FILTER(INDIRECT("'"&amp;L14&amp;"'!"&amp;N14),INDIRECT("'"&amp;L14&amp;"'!"&amp;M14)=O14))</f>
        <v>0</v>
      </c>
    </row>
    <row r="28" spans="9:9" x14ac:dyDescent="0.3">
      <c r="I28" s="91" t="s">
        <v>545</v>
      </c>
    </row>
  </sheetData>
  <dataValidations count="1">
    <dataValidation type="list" allowBlank="1" showInputMessage="1" showErrorMessage="1" sqref="D3:D14" xr:uid="{DF462927-E30C-4BE2-9F1C-860DD2EC04BA}">
      <formula1>"Data,Expert Estimate"</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8E21D-9F07-4E88-9664-311E0CDE7A2A}">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si="0">IF(D3="Data",Q3,(G3*3+H3+I3)/5)</f>
        <v>0</v>
      </c>
      <c r="C3" s="115">
        <f t="shared" ref="C3:C14" si="1">IF(D3="Data",T3,(I3-H3)/5)</f>
        <v>0</v>
      </c>
      <c r="D3" s="91" t="s">
        <v>232</v>
      </c>
      <c r="F3" s="106"/>
      <c r="G3" s="9">
        <v>0</v>
      </c>
      <c r="H3" s="116">
        <f>G3*0.9</f>
        <v>0</v>
      </c>
      <c r="I3" s="117">
        <f>G3*1.1</f>
        <v>0</v>
      </c>
      <c r="K3" s="106"/>
      <c r="L3" s="185" t="s">
        <v>231</v>
      </c>
      <c r="M3" s="184" t="s">
        <v>278</v>
      </c>
      <c r="N3" s="184" t="s">
        <v>279</v>
      </c>
      <c r="O3" s="184" t="s">
        <v>142</v>
      </c>
      <c r="P3" s="83">
        <f ca="1">COUNTIF(INDIRECT("'"&amp;L3&amp;"'!"&amp;M3),O3)</f>
        <v>2</v>
      </c>
      <c r="Q3" s="82">
        <f ca="1">AVERAGEIF(INDIRECT("'"&amp;L3&amp;"'!"&amp;M3),O3,INDIRECT("'"&amp;L3&amp;"'!"&amp;N3))</f>
        <v>65.468541390000013</v>
      </c>
      <c r="R3" s="82">
        <f ca="1">_xlfn.MINIFS(INDIRECT("'"&amp;L3&amp;"'!"&amp;N3),INDIRECT("'"&amp;L3&amp;"'!"&amp;M3),O3)</f>
        <v>38.147477790000025</v>
      </c>
      <c r="S3" s="82">
        <f ca="1">_xlfn.MAXIFS(INDIRECT("'"&amp;L3&amp;"'!"&amp;N3),INDIRECT("'"&amp;L3&amp;"'!"&amp;M3),O3)</f>
        <v>92.789604990000015</v>
      </c>
      <c r="T3" s="83" cm="1">
        <f t="array" aca="1" ref="T3" ca="1">_xlfn.STDEV.P(_xlfn._xlws.FILTER(INDIRECT("'"&amp;L3&amp;"'!"&amp;N3),INDIRECT("'"&amp;L3&amp;"'!"&amp;M3)=O3))</f>
        <v>27.321063600000002</v>
      </c>
    </row>
    <row r="4" spans="1:20" ht="21.6" customHeight="1" x14ac:dyDescent="0.3">
      <c r="A4" s="10" t="s">
        <v>455</v>
      </c>
      <c r="B4" s="115">
        <f t="shared" si="0"/>
        <v>0</v>
      </c>
      <c r="C4" s="115">
        <f t="shared" si="1"/>
        <v>0</v>
      </c>
      <c r="D4" s="91" t="s">
        <v>232</v>
      </c>
      <c r="F4" s="106"/>
      <c r="G4" s="11">
        <v>0</v>
      </c>
      <c r="H4" s="119">
        <f t="shared" ref="H4" si="2">G4*0.9</f>
        <v>0</v>
      </c>
      <c r="I4" s="120">
        <f>G4*1.1</f>
        <v>0</v>
      </c>
      <c r="L4" s="184" t="s">
        <v>231</v>
      </c>
      <c r="M4" s="184" t="s">
        <v>278</v>
      </c>
      <c r="N4" s="184" t="s">
        <v>279</v>
      </c>
      <c r="O4" s="184" t="s">
        <v>142</v>
      </c>
      <c r="P4" s="83">
        <f t="shared" ref="P4:P14" ca="1" si="3">COUNTIF(INDIRECT("'"&amp;L4&amp;"'!"&amp;M4),O4)</f>
        <v>2</v>
      </c>
      <c r="Q4" s="82">
        <f t="shared" ref="Q4:Q14" ca="1" si="4">AVERAGEIF(INDIRECT("'"&amp;L4&amp;"'!"&amp;M4),O4,INDIRECT("'"&amp;L4&amp;"'!"&amp;N4))</f>
        <v>65.468541390000013</v>
      </c>
      <c r="R4" s="82">
        <f t="shared" ref="R4:R14" ca="1" si="5">_xlfn.MINIFS(INDIRECT("'"&amp;L4&amp;"'!"&amp;N4),INDIRECT("'"&amp;L4&amp;"'!"&amp;M4),O4)</f>
        <v>38.147477790000025</v>
      </c>
      <c r="S4" s="82">
        <f t="shared" ref="S4:S14" ca="1" si="6">_xlfn.MAXIFS(INDIRECT("'"&amp;L4&amp;"'!"&amp;N4),INDIRECT("'"&amp;L4&amp;"'!"&amp;M4),O4)</f>
        <v>92.789604990000015</v>
      </c>
      <c r="T4" s="83" cm="1">
        <f t="array" aca="1" ref="T4" ca="1">_xlfn.STDEV.P(_xlfn._xlws.FILTER(INDIRECT("'"&amp;L4&amp;"'!"&amp;N4),INDIRECT("'"&amp;L4&amp;"'!"&amp;M4)=O4))</f>
        <v>27.321063600000002</v>
      </c>
    </row>
    <row r="5" spans="1:20" ht="21.6" customHeight="1" x14ac:dyDescent="0.3">
      <c r="A5" s="12" t="s">
        <v>456</v>
      </c>
      <c r="B5" s="115">
        <f t="shared" ca="1" si="0"/>
        <v>65.468541390000013</v>
      </c>
      <c r="C5" s="115">
        <f t="shared" ca="1" si="1"/>
        <v>27.321063600000002</v>
      </c>
      <c r="D5" s="91" t="s">
        <v>275</v>
      </c>
      <c r="F5" s="106"/>
      <c r="G5" s="11"/>
      <c r="H5" s="119"/>
      <c r="I5" s="120"/>
      <c r="L5" s="184" t="s">
        <v>231</v>
      </c>
      <c r="M5" s="184" t="s">
        <v>278</v>
      </c>
      <c r="N5" s="184" t="s">
        <v>279</v>
      </c>
      <c r="O5" s="184" t="s">
        <v>142</v>
      </c>
      <c r="P5" s="83">
        <f t="shared" ca="1" si="3"/>
        <v>2</v>
      </c>
      <c r="Q5" s="82">
        <f t="shared" ca="1" si="4"/>
        <v>65.468541390000013</v>
      </c>
      <c r="R5" s="82">
        <f t="shared" ca="1" si="5"/>
        <v>38.147477790000025</v>
      </c>
      <c r="S5" s="82">
        <f t="shared" ca="1" si="6"/>
        <v>92.789604990000015</v>
      </c>
      <c r="T5" s="83" cm="1">
        <f t="array" aca="1" ref="T5" ca="1">_xlfn.STDEV.P(_xlfn._xlws.FILTER(INDIRECT("'"&amp;L5&amp;"'!"&amp;N5),INDIRECT("'"&amp;L5&amp;"'!"&amp;M5)=O5))</f>
        <v>27.321063600000002</v>
      </c>
    </row>
    <row r="6" spans="1:20" ht="21.6" customHeight="1" x14ac:dyDescent="0.3">
      <c r="A6" s="10" t="s">
        <v>457</v>
      </c>
      <c r="B6" s="115">
        <f t="shared" ca="1" si="0"/>
        <v>65.468541390000013</v>
      </c>
      <c r="C6" s="115">
        <f t="shared" ca="1" si="1"/>
        <v>27.321063600000002</v>
      </c>
      <c r="D6" s="91" t="s">
        <v>275</v>
      </c>
      <c r="F6" s="106"/>
      <c r="G6" s="11"/>
      <c r="H6" s="119"/>
      <c r="I6" s="120"/>
      <c r="L6" s="184" t="s">
        <v>231</v>
      </c>
      <c r="M6" s="184" t="s">
        <v>278</v>
      </c>
      <c r="N6" s="184" t="s">
        <v>279</v>
      </c>
      <c r="O6" s="184" t="s">
        <v>142</v>
      </c>
      <c r="P6" s="83">
        <f t="shared" ca="1" si="3"/>
        <v>2</v>
      </c>
      <c r="Q6" s="82">
        <f t="shared" ca="1" si="4"/>
        <v>65.468541390000013</v>
      </c>
      <c r="R6" s="82">
        <f t="shared" ca="1" si="5"/>
        <v>38.147477790000025</v>
      </c>
      <c r="S6" s="82">
        <f t="shared" ca="1" si="6"/>
        <v>92.789604990000015</v>
      </c>
      <c r="T6" s="83" cm="1">
        <f t="array" aca="1" ref="T6" ca="1">_xlfn.STDEV.P(_xlfn._xlws.FILTER(INDIRECT("'"&amp;L6&amp;"'!"&amp;N6),INDIRECT("'"&amp;L6&amp;"'!"&amp;M6)=O6))</f>
        <v>27.321063600000002</v>
      </c>
    </row>
    <row r="7" spans="1:20" ht="21.6" customHeight="1" x14ac:dyDescent="0.3">
      <c r="A7" s="12" t="s">
        <v>458</v>
      </c>
      <c r="B7" s="115">
        <f t="shared" ca="1" si="0"/>
        <v>65.468541390000013</v>
      </c>
      <c r="C7" s="115">
        <f t="shared" ca="1" si="1"/>
        <v>27.321063600000002</v>
      </c>
      <c r="D7" s="91" t="s">
        <v>275</v>
      </c>
      <c r="F7" s="106"/>
      <c r="G7" s="11"/>
      <c r="H7" s="119"/>
      <c r="I7" s="120"/>
      <c r="L7" s="184" t="s">
        <v>231</v>
      </c>
      <c r="M7" s="184" t="s">
        <v>278</v>
      </c>
      <c r="N7" s="184" t="s">
        <v>279</v>
      </c>
      <c r="O7" s="184" t="s">
        <v>142</v>
      </c>
      <c r="P7" s="83">
        <f t="shared" ca="1" si="3"/>
        <v>2</v>
      </c>
      <c r="Q7" s="82">
        <f t="shared" ca="1" si="4"/>
        <v>65.468541390000013</v>
      </c>
      <c r="R7" s="82">
        <f t="shared" ca="1" si="5"/>
        <v>38.147477790000025</v>
      </c>
      <c r="S7" s="82">
        <f t="shared" ca="1" si="6"/>
        <v>92.789604990000015</v>
      </c>
      <c r="T7" s="83" cm="1">
        <f t="array" aca="1" ref="T7" ca="1">_xlfn.STDEV.P(_xlfn._xlws.FILTER(INDIRECT("'"&amp;L7&amp;"'!"&amp;N7),INDIRECT("'"&amp;L7&amp;"'!"&amp;M7)=O7))</f>
        <v>27.321063600000002</v>
      </c>
    </row>
    <row r="8" spans="1:20" ht="21.6" customHeight="1" x14ac:dyDescent="0.3">
      <c r="A8" s="12" t="s">
        <v>459</v>
      </c>
      <c r="B8" s="115">
        <f t="shared" ca="1" si="0"/>
        <v>65.468541390000013</v>
      </c>
      <c r="C8" s="115">
        <f t="shared" ca="1" si="1"/>
        <v>27.321063600000002</v>
      </c>
      <c r="D8" s="91" t="s">
        <v>275</v>
      </c>
      <c r="G8" s="13"/>
      <c r="H8" s="119"/>
      <c r="I8" s="120"/>
      <c r="L8" s="184" t="s">
        <v>231</v>
      </c>
      <c r="M8" s="184" t="s">
        <v>278</v>
      </c>
      <c r="N8" s="184" t="s">
        <v>279</v>
      </c>
      <c r="O8" s="184" t="s">
        <v>142</v>
      </c>
      <c r="P8" s="83">
        <f t="shared" ca="1" si="3"/>
        <v>2</v>
      </c>
      <c r="Q8" s="82">
        <f t="shared" ca="1" si="4"/>
        <v>65.468541390000013</v>
      </c>
      <c r="R8" s="82">
        <f t="shared" ca="1" si="5"/>
        <v>38.147477790000025</v>
      </c>
      <c r="S8" s="82">
        <f t="shared" ca="1" si="6"/>
        <v>92.789604990000015</v>
      </c>
      <c r="T8" s="83" cm="1">
        <f t="array" aca="1" ref="T8" ca="1">_xlfn.STDEV.P(_xlfn._xlws.FILTER(INDIRECT("'"&amp;L8&amp;"'!"&amp;N8),INDIRECT("'"&amp;L8&amp;"'!"&amp;M8)=O8))</f>
        <v>27.321063600000002</v>
      </c>
    </row>
    <row r="9" spans="1:20" ht="21.6" customHeight="1" x14ac:dyDescent="0.3">
      <c r="A9" s="12" t="s">
        <v>460</v>
      </c>
      <c r="B9" s="115">
        <f t="shared" ca="1" si="0"/>
        <v>65.468541390000013</v>
      </c>
      <c r="C9" s="115">
        <f t="shared" ca="1" si="1"/>
        <v>27.321063600000002</v>
      </c>
      <c r="D9" s="91" t="s">
        <v>275</v>
      </c>
      <c r="F9" s="106"/>
      <c r="G9" s="13"/>
      <c r="H9" s="119"/>
      <c r="I9" s="120"/>
      <c r="L9" s="184" t="s">
        <v>231</v>
      </c>
      <c r="M9" s="184" t="s">
        <v>278</v>
      </c>
      <c r="N9" s="184" t="s">
        <v>279</v>
      </c>
      <c r="O9" s="184" t="s">
        <v>142</v>
      </c>
      <c r="P9" s="83">
        <f t="shared" ca="1" si="3"/>
        <v>2</v>
      </c>
      <c r="Q9" s="82">
        <f t="shared" ca="1" si="4"/>
        <v>65.468541390000013</v>
      </c>
      <c r="R9" s="82">
        <f t="shared" ca="1" si="5"/>
        <v>38.147477790000025</v>
      </c>
      <c r="S9" s="82">
        <f t="shared" ca="1" si="6"/>
        <v>92.789604990000015</v>
      </c>
      <c r="T9" s="83" cm="1">
        <f t="array" aca="1" ref="T9" ca="1">_xlfn.STDEV.P(_xlfn._xlws.FILTER(INDIRECT("'"&amp;L9&amp;"'!"&amp;N9),INDIRECT("'"&amp;L9&amp;"'!"&amp;M9)=O9))</f>
        <v>27.321063600000002</v>
      </c>
    </row>
    <row r="10" spans="1:20" ht="21.6" customHeight="1" x14ac:dyDescent="0.3">
      <c r="A10" s="12" t="s">
        <v>461</v>
      </c>
      <c r="B10" s="115">
        <f t="shared" ca="1" si="0"/>
        <v>65.468541390000013</v>
      </c>
      <c r="C10" s="115">
        <f t="shared" ca="1" si="1"/>
        <v>27.321063600000002</v>
      </c>
      <c r="D10" s="91" t="s">
        <v>275</v>
      </c>
      <c r="F10" s="106"/>
      <c r="G10" s="13"/>
      <c r="H10" s="119"/>
      <c r="I10" s="120"/>
      <c r="L10" s="184" t="s">
        <v>231</v>
      </c>
      <c r="M10" s="184" t="s">
        <v>278</v>
      </c>
      <c r="N10" s="184" t="s">
        <v>279</v>
      </c>
      <c r="O10" s="184" t="s">
        <v>142</v>
      </c>
      <c r="P10" s="83">
        <f t="shared" ca="1" si="3"/>
        <v>2</v>
      </c>
      <c r="Q10" s="82">
        <f t="shared" ca="1" si="4"/>
        <v>65.468541390000013</v>
      </c>
      <c r="R10" s="82">
        <f t="shared" ca="1" si="5"/>
        <v>38.147477790000025</v>
      </c>
      <c r="S10" s="82">
        <f t="shared" ca="1" si="6"/>
        <v>92.789604990000015</v>
      </c>
      <c r="T10" s="83" cm="1">
        <f t="array" aca="1" ref="T10" ca="1">_xlfn.STDEV.P(_xlfn._xlws.FILTER(INDIRECT("'"&amp;L10&amp;"'!"&amp;N10),INDIRECT("'"&amp;L10&amp;"'!"&amp;M10)=O10))</f>
        <v>27.321063600000002</v>
      </c>
    </row>
    <row r="11" spans="1:20" ht="21.6" customHeight="1" x14ac:dyDescent="0.3">
      <c r="A11" s="12" t="s">
        <v>462</v>
      </c>
      <c r="B11" s="115">
        <f t="shared" ca="1" si="0"/>
        <v>65.468541390000013</v>
      </c>
      <c r="C11" s="115">
        <f t="shared" ca="1" si="1"/>
        <v>27.321063600000002</v>
      </c>
      <c r="D11" s="91" t="s">
        <v>275</v>
      </c>
      <c r="F11" s="106"/>
      <c r="G11" s="13"/>
      <c r="H11" s="119"/>
      <c r="I11" s="120"/>
      <c r="L11" s="184" t="s">
        <v>231</v>
      </c>
      <c r="M11" s="184" t="s">
        <v>278</v>
      </c>
      <c r="N11" s="184" t="s">
        <v>279</v>
      </c>
      <c r="O11" s="184" t="s">
        <v>142</v>
      </c>
      <c r="P11" s="83">
        <f t="shared" ca="1" si="3"/>
        <v>2</v>
      </c>
      <c r="Q11" s="82">
        <f t="shared" ca="1" si="4"/>
        <v>65.468541390000013</v>
      </c>
      <c r="R11" s="82">
        <f t="shared" ca="1" si="5"/>
        <v>38.147477790000025</v>
      </c>
      <c r="S11" s="82">
        <f t="shared" ca="1" si="6"/>
        <v>92.789604990000015</v>
      </c>
      <c r="T11" s="83" cm="1">
        <f t="array" aca="1" ref="T11" ca="1">_xlfn.STDEV.P(_xlfn._xlws.FILTER(INDIRECT("'"&amp;L11&amp;"'!"&amp;N11),INDIRECT("'"&amp;L11&amp;"'!"&amp;M11)=O11))</f>
        <v>27.321063600000002</v>
      </c>
    </row>
    <row r="12" spans="1:20" ht="21.6" customHeight="1" x14ac:dyDescent="0.3">
      <c r="A12" s="12" t="s">
        <v>19</v>
      </c>
      <c r="B12" s="115">
        <f t="shared" ca="1" si="0"/>
        <v>65.468541390000013</v>
      </c>
      <c r="C12" s="115">
        <f t="shared" ca="1" si="1"/>
        <v>27.321063600000002</v>
      </c>
      <c r="D12" s="91" t="s">
        <v>275</v>
      </c>
      <c r="F12" s="106"/>
      <c r="G12" s="13"/>
      <c r="H12" s="119"/>
      <c r="I12" s="120"/>
      <c r="K12" s="106"/>
      <c r="L12" s="184" t="s">
        <v>231</v>
      </c>
      <c r="M12" s="184" t="s">
        <v>278</v>
      </c>
      <c r="N12" s="184" t="s">
        <v>279</v>
      </c>
      <c r="O12" s="184" t="s">
        <v>142</v>
      </c>
      <c r="P12" s="83">
        <f t="shared" ca="1" si="3"/>
        <v>2</v>
      </c>
      <c r="Q12" s="82">
        <f t="shared" ca="1" si="4"/>
        <v>65.468541390000013</v>
      </c>
      <c r="R12" s="82">
        <f t="shared" ca="1" si="5"/>
        <v>38.147477790000025</v>
      </c>
      <c r="S12" s="82">
        <f t="shared" ca="1" si="6"/>
        <v>92.789604990000015</v>
      </c>
      <c r="T12" s="83" cm="1">
        <f t="array" aca="1" ref="T12" ca="1">_xlfn.STDEV.P(_xlfn._xlws.FILTER(INDIRECT("'"&amp;L12&amp;"'!"&amp;N12),INDIRECT("'"&amp;L12&amp;"'!"&amp;M12)=O12))</f>
        <v>27.321063600000002</v>
      </c>
    </row>
    <row r="13" spans="1:20" ht="21.6" customHeight="1" x14ac:dyDescent="0.3">
      <c r="A13" s="12" t="s">
        <v>20</v>
      </c>
      <c r="B13" s="115">
        <f t="shared" ca="1" si="0"/>
        <v>65.468541390000013</v>
      </c>
      <c r="C13" s="115">
        <f t="shared" ca="1" si="1"/>
        <v>27.321063600000002</v>
      </c>
      <c r="D13" s="91" t="s">
        <v>275</v>
      </c>
      <c r="F13" s="106"/>
      <c r="G13" s="13"/>
      <c r="H13" s="119"/>
      <c r="I13" s="120"/>
      <c r="L13" s="184" t="s">
        <v>231</v>
      </c>
      <c r="M13" s="184" t="s">
        <v>278</v>
      </c>
      <c r="N13" s="184" t="s">
        <v>279</v>
      </c>
      <c r="O13" s="184" t="s">
        <v>142</v>
      </c>
      <c r="P13" s="83">
        <f t="shared" ca="1" si="3"/>
        <v>2</v>
      </c>
      <c r="Q13" s="82">
        <f t="shared" ca="1" si="4"/>
        <v>65.468541390000013</v>
      </c>
      <c r="R13" s="82">
        <f t="shared" ca="1" si="5"/>
        <v>38.147477790000025</v>
      </c>
      <c r="S13" s="82">
        <f t="shared" ca="1" si="6"/>
        <v>92.789604990000015</v>
      </c>
      <c r="T13" s="83" cm="1">
        <f t="array" aca="1" ref="T13" ca="1">_xlfn.STDEV.P(_xlfn._xlws.FILTER(INDIRECT("'"&amp;L13&amp;"'!"&amp;N13),INDIRECT("'"&amp;L13&amp;"'!"&amp;M13)=O13))</f>
        <v>27.321063600000002</v>
      </c>
    </row>
    <row r="14" spans="1:20" ht="21.6" customHeight="1" thickBot="1" x14ac:dyDescent="0.35">
      <c r="A14" s="14" t="s">
        <v>464</v>
      </c>
      <c r="B14" s="115">
        <f t="shared" ca="1" si="0"/>
        <v>65.468541390000013</v>
      </c>
      <c r="C14" s="115">
        <f t="shared" ca="1" si="1"/>
        <v>27.321063600000002</v>
      </c>
      <c r="D14" s="91" t="s">
        <v>275</v>
      </c>
      <c r="F14" s="106"/>
      <c r="G14" s="15"/>
      <c r="H14" s="121"/>
      <c r="I14" s="122"/>
      <c r="L14" s="184" t="s">
        <v>231</v>
      </c>
      <c r="M14" s="184" t="s">
        <v>278</v>
      </c>
      <c r="N14" s="184" t="s">
        <v>279</v>
      </c>
      <c r="O14" s="184" t="s">
        <v>142</v>
      </c>
      <c r="P14" s="83">
        <f t="shared" ca="1" si="3"/>
        <v>2</v>
      </c>
      <c r="Q14" s="82">
        <f t="shared" ca="1" si="4"/>
        <v>65.468541390000013</v>
      </c>
      <c r="R14" s="82">
        <f t="shared" ca="1" si="5"/>
        <v>38.147477790000025</v>
      </c>
      <c r="S14" s="82">
        <f t="shared" ca="1" si="6"/>
        <v>92.789604990000015</v>
      </c>
      <c r="T14" s="83" cm="1">
        <f t="array" aca="1" ref="T14" ca="1">_xlfn.STDEV.P(_xlfn._xlws.FILTER(INDIRECT("'"&amp;L14&amp;"'!"&amp;N14),INDIRECT("'"&amp;L14&amp;"'!"&amp;M14)=O14))</f>
        <v>27.321063600000002</v>
      </c>
    </row>
    <row r="28" spans="9:9" x14ac:dyDescent="0.3">
      <c r="I28" s="91" t="s">
        <v>545</v>
      </c>
    </row>
  </sheetData>
  <phoneticPr fontId="2" type="noConversion"/>
  <dataValidations disablePrompts="1" count="1">
    <dataValidation type="list" allowBlank="1" showInputMessage="1" showErrorMessage="1" sqref="D3:D14" xr:uid="{38CA3863-F6A4-4A2E-9FFF-2469D14D9A36}">
      <formula1>"Data,Expert Estimate"</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1BDFC-21DE-4FEC-931A-972D8DEF2026}">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ca="1" si="0">IF(D3="Data",Q3,(G3*3+H3+I3)/5)</f>
        <v>28.242328223495665</v>
      </c>
      <c r="C3" s="115">
        <f t="shared" ref="C3:C14" ca="1" si="1">IF(D3="Data",T3,(I3-H3)/5)</f>
        <v>6.3537628603753999</v>
      </c>
      <c r="D3" s="91" t="s">
        <v>275</v>
      </c>
      <c r="F3" s="106"/>
      <c r="G3" s="186"/>
      <c r="H3" s="116">
        <f>0.9*G3</f>
        <v>0</v>
      </c>
      <c r="I3" s="117">
        <f>1.1*G3</f>
        <v>0</v>
      </c>
      <c r="K3" s="106"/>
      <c r="L3" s="185" t="s">
        <v>231</v>
      </c>
      <c r="M3" s="184" t="s">
        <v>278</v>
      </c>
      <c r="N3" s="184" t="s">
        <v>279</v>
      </c>
      <c r="O3" s="184" t="s">
        <v>145</v>
      </c>
      <c r="P3" s="83">
        <f ca="1">COUNTIF(INDIRECT("'"&amp;L3&amp;"'!"&amp;M3),O3)</f>
        <v>3</v>
      </c>
      <c r="Q3" s="82">
        <f ca="1">AVERAGEIF(INDIRECT("'"&amp;L3&amp;"'!"&amp;M3),O3,INDIRECT("'"&amp;L3&amp;"'!"&amp;N3))</f>
        <v>28.242328223495665</v>
      </c>
      <c r="R3" s="82">
        <f ca="1">_xlfn.MINIFS(INDIRECT("'"&amp;L3&amp;"'!"&amp;N3),INDIRECT("'"&amp;L3&amp;"'!"&amp;M3),O3)</f>
        <v>19.809654297487</v>
      </c>
      <c r="S3" s="82">
        <f ca="1">_xlfn.MAXIFS(INDIRECT("'"&amp;L3&amp;"'!"&amp;N3),INDIRECT("'"&amp;L3&amp;"'!"&amp;M3),O3)</f>
        <v>35.146221989999994</v>
      </c>
      <c r="T3" s="83" cm="1">
        <f t="array" aca="1" ref="T3" ca="1">_xlfn.STDEV.P(_xlfn._xlws.FILTER(INDIRECT("'"&amp;L3&amp;"'!"&amp;N3),INDIRECT("'"&amp;L3&amp;"'!"&amp;M3)=O3))</f>
        <v>6.3537628603753999</v>
      </c>
    </row>
    <row r="4" spans="1:20" ht="21.6" customHeight="1" x14ac:dyDescent="0.3">
      <c r="A4" s="10" t="s">
        <v>455</v>
      </c>
      <c r="B4" s="115">
        <f t="shared" ca="1" si="0"/>
        <v>28.242328223495665</v>
      </c>
      <c r="C4" s="115">
        <f t="shared" ca="1" si="1"/>
        <v>6.3537628603753999</v>
      </c>
      <c r="D4" s="91" t="s">
        <v>275</v>
      </c>
      <c r="F4" s="106"/>
      <c r="G4" s="187"/>
      <c r="H4" s="119">
        <f t="shared" ref="H4:H14" si="2">0.9*G4</f>
        <v>0</v>
      </c>
      <c r="I4" s="120">
        <f t="shared" ref="I4:I14" si="3">1.1*G4</f>
        <v>0</v>
      </c>
      <c r="L4" s="184" t="s">
        <v>231</v>
      </c>
      <c r="M4" s="184" t="s">
        <v>278</v>
      </c>
      <c r="N4" s="184" t="s">
        <v>279</v>
      </c>
      <c r="O4" s="184" t="s">
        <v>145</v>
      </c>
      <c r="P4" s="83">
        <f t="shared" ref="P4:P14" ca="1" si="4">COUNTIF(INDIRECT("'"&amp;L4&amp;"'!"&amp;M4),O4)</f>
        <v>3</v>
      </c>
      <c r="Q4" s="82">
        <f t="shared" ref="Q4:Q14" ca="1" si="5">AVERAGEIF(INDIRECT("'"&amp;L4&amp;"'!"&amp;M4),O4,INDIRECT("'"&amp;L4&amp;"'!"&amp;N4))</f>
        <v>28.242328223495665</v>
      </c>
      <c r="R4" s="82">
        <f t="shared" ref="R4:R14" ca="1" si="6">_xlfn.MINIFS(INDIRECT("'"&amp;L4&amp;"'!"&amp;N4),INDIRECT("'"&amp;L4&amp;"'!"&amp;M4),O4)</f>
        <v>19.809654297487</v>
      </c>
      <c r="S4" s="82">
        <f t="shared" ref="S4:S14" ca="1" si="7">_xlfn.MAXIFS(INDIRECT("'"&amp;L4&amp;"'!"&amp;N4),INDIRECT("'"&amp;L4&amp;"'!"&amp;M4),O4)</f>
        <v>35.146221989999994</v>
      </c>
      <c r="T4" s="83" cm="1">
        <f t="array" aca="1" ref="T4" ca="1">_xlfn.STDEV.P(_xlfn._xlws.FILTER(INDIRECT("'"&amp;L4&amp;"'!"&amp;N4),INDIRECT("'"&amp;L4&amp;"'!"&amp;M4)=O4))</f>
        <v>6.3537628603753999</v>
      </c>
    </row>
    <row r="5" spans="1:20" ht="21.6" customHeight="1" x14ac:dyDescent="0.3">
      <c r="A5" s="12" t="s">
        <v>456</v>
      </c>
      <c r="B5" s="115">
        <f t="shared" ca="1" si="0"/>
        <v>28.242328223495665</v>
      </c>
      <c r="C5" s="115">
        <f t="shared" ca="1" si="1"/>
        <v>6.3537628603753999</v>
      </c>
      <c r="D5" s="91" t="s">
        <v>275</v>
      </c>
      <c r="F5" s="106"/>
      <c r="G5" s="187"/>
      <c r="H5" s="119">
        <f t="shared" si="2"/>
        <v>0</v>
      </c>
      <c r="I5" s="120">
        <f t="shared" si="3"/>
        <v>0</v>
      </c>
      <c r="L5" s="184" t="s">
        <v>231</v>
      </c>
      <c r="M5" s="184" t="s">
        <v>278</v>
      </c>
      <c r="N5" s="184" t="s">
        <v>279</v>
      </c>
      <c r="O5" s="184" t="s">
        <v>145</v>
      </c>
      <c r="P5" s="83">
        <f t="shared" ca="1" si="4"/>
        <v>3</v>
      </c>
      <c r="Q5" s="82">
        <f t="shared" ca="1" si="5"/>
        <v>28.242328223495665</v>
      </c>
      <c r="R5" s="82">
        <f t="shared" ca="1" si="6"/>
        <v>19.809654297487</v>
      </c>
      <c r="S5" s="82">
        <f t="shared" ca="1" si="7"/>
        <v>35.146221989999994</v>
      </c>
      <c r="T5" s="83" cm="1">
        <f t="array" aca="1" ref="T5" ca="1">_xlfn.STDEV.P(_xlfn._xlws.FILTER(INDIRECT("'"&amp;L5&amp;"'!"&amp;N5),INDIRECT("'"&amp;L5&amp;"'!"&amp;M5)=O5))</f>
        <v>6.3537628603753999</v>
      </c>
    </row>
    <row r="6" spans="1:20" ht="21.6" customHeight="1" x14ac:dyDescent="0.3">
      <c r="A6" s="10" t="s">
        <v>457</v>
      </c>
      <c r="B6" s="115">
        <f t="shared" ca="1" si="0"/>
        <v>28.242328223495665</v>
      </c>
      <c r="C6" s="115">
        <f t="shared" ca="1" si="1"/>
        <v>6.3537628603753999</v>
      </c>
      <c r="D6" s="91" t="s">
        <v>275</v>
      </c>
      <c r="F6" s="106"/>
      <c r="G6" s="187"/>
      <c r="H6" s="119">
        <f t="shared" si="2"/>
        <v>0</v>
      </c>
      <c r="I6" s="120">
        <f t="shared" si="3"/>
        <v>0</v>
      </c>
      <c r="L6" s="184" t="s">
        <v>231</v>
      </c>
      <c r="M6" s="184" t="s">
        <v>278</v>
      </c>
      <c r="N6" s="184" t="s">
        <v>279</v>
      </c>
      <c r="O6" s="184" t="s">
        <v>145</v>
      </c>
      <c r="P6" s="83">
        <f t="shared" ca="1" si="4"/>
        <v>3</v>
      </c>
      <c r="Q6" s="82">
        <f t="shared" ca="1" si="5"/>
        <v>28.242328223495665</v>
      </c>
      <c r="R6" s="82">
        <f t="shared" ca="1" si="6"/>
        <v>19.809654297487</v>
      </c>
      <c r="S6" s="82">
        <f t="shared" ca="1" si="7"/>
        <v>35.146221989999994</v>
      </c>
      <c r="T6" s="83" cm="1">
        <f t="array" aca="1" ref="T6" ca="1">_xlfn.STDEV.P(_xlfn._xlws.FILTER(INDIRECT("'"&amp;L6&amp;"'!"&amp;N6),INDIRECT("'"&amp;L6&amp;"'!"&amp;M6)=O6))</f>
        <v>6.3537628603753999</v>
      </c>
    </row>
    <row r="7" spans="1:20" ht="21.6" customHeight="1" x14ac:dyDescent="0.3">
      <c r="A7" s="12" t="s">
        <v>458</v>
      </c>
      <c r="B7" s="115">
        <f t="shared" ca="1" si="0"/>
        <v>28.242328223495665</v>
      </c>
      <c r="C7" s="115">
        <f t="shared" ca="1" si="1"/>
        <v>6.3537628603753999</v>
      </c>
      <c r="D7" s="91" t="s">
        <v>275</v>
      </c>
      <c r="F7" s="106"/>
      <c r="G7" s="187"/>
      <c r="H7" s="119">
        <f t="shared" si="2"/>
        <v>0</v>
      </c>
      <c r="I7" s="120">
        <f t="shared" si="3"/>
        <v>0</v>
      </c>
      <c r="L7" s="184" t="s">
        <v>231</v>
      </c>
      <c r="M7" s="184" t="s">
        <v>278</v>
      </c>
      <c r="N7" s="184" t="s">
        <v>279</v>
      </c>
      <c r="O7" s="184" t="s">
        <v>145</v>
      </c>
      <c r="P7" s="83">
        <f t="shared" ca="1" si="4"/>
        <v>3</v>
      </c>
      <c r="Q7" s="82">
        <f t="shared" ca="1" si="5"/>
        <v>28.242328223495665</v>
      </c>
      <c r="R7" s="82">
        <f t="shared" ca="1" si="6"/>
        <v>19.809654297487</v>
      </c>
      <c r="S7" s="82">
        <f t="shared" ca="1" si="7"/>
        <v>35.146221989999994</v>
      </c>
      <c r="T7" s="83" cm="1">
        <f t="array" aca="1" ref="T7" ca="1">_xlfn.STDEV.P(_xlfn._xlws.FILTER(INDIRECT("'"&amp;L7&amp;"'!"&amp;N7),INDIRECT("'"&amp;L7&amp;"'!"&amp;M7)=O7))</f>
        <v>6.3537628603753999</v>
      </c>
    </row>
    <row r="8" spans="1:20" ht="21.6" customHeight="1" x14ac:dyDescent="0.3">
      <c r="A8" s="12" t="s">
        <v>459</v>
      </c>
      <c r="B8" s="115">
        <f t="shared" ca="1" si="0"/>
        <v>28.242328223495665</v>
      </c>
      <c r="C8" s="115">
        <f t="shared" ca="1" si="1"/>
        <v>6.3537628603753999</v>
      </c>
      <c r="D8" s="91" t="s">
        <v>275</v>
      </c>
      <c r="G8" s="187"/>
      <c r="H8" s="119">
        <f t="shared" si="2"/>
        <v>0</v>
      </c>
      <c r="I8" s="120">
        <f t="shared" si="3"/>
        <v>0</v>
      </c>
      <c r="L8" s="184" t="s">
        <v>231</v>
      </c>
      <c r="M8" s="184" t="s">
        <v>278</v>
      </c>
      <c r="N8" s="184" t="s">
        <v>279</v>
      </c>
      <c r="O8" s="184" t="s">
        <v>145</v>
      </c>
      <c r="P8" s="83">
        <f t="shared" ca="1" si="4"/>
        <v>3</v>
      </c>
      <c r="Q8" s="82">
        <f t="shared" ca="1" si="5"/>
        <v>28.242328223495665</v>
      </c>
      <c r="R8" s="82">
        <f t="shared" ca="1" si="6"/>
        <v>19.809654297487</v>
      </c>
      <c r="S8" s="82">
        <f t="shared" ca="1" si="7"/>
        <v>35.146221989999994</v>
      </c>
      <c r="T8" s="83" cm="1">
        <f t="array" aca="1" ref="T8" ca="1">_xlfn.STDEV.P(_xlfn._xlws.FILTER(INDIRECT("'"&amp;L8&amp;"'!"&amp;N8),INDIRECT("'"&amp;L8&amp;"'!"&amp;M8)=O8))</f>
        <v>6.3537628603753999</v>
      </c>
    </row>
    <row r="9" spans="1:20" ht="21.6" customHeight="1" x14ac:dyDescent="0.3">
      <c r="A9" s="12" t="s">
        <v>460</v>
      </c>
      <c r="B9" s="115">
        <f t="shared" ca="1" si="0"/>
        <v>28.242328223495665</v>
      </c>
      <c r="C9" s="115">
        <f t="shared" ca="1" si="1"/>
        <v>6.3537628603753999</v>
      </c>
      <c r="D9" s="91" t="s">
        <v>275</v>
      </c>
      <c r="F9" s="106"/>
      <c r="G9" s="187"/>
      <c r="H9" s="119">
        <f t="shared" si="2"/>
        <v>0</v>
      </c>
      <c r="I9" s="120">
        <f t="shared" si="3"/>
        <v>0</v>
      </c>
      <c r="L9" s="184" t="s">
        <v>231</v>
      </c>
      <c r="M9" s="184" t="s">
        <v>278</v>
      </c>
      <c r="N9" s="184" t="s">
        <v>279</v>
      </c>
      <c r="O9" s="184" t="s">
        <v>145</v>
      </c>
      <c r="P9" s="83">
        <f t="shared" ca="1" si="4"/>
        <v>3</v>
      </c>
      <c r="Q9" s="82">
        <f t="shared" ca="1" si="5"/>
        <v>28.242328223495665</v>
      </c>
      <c r="R9" s="82">
        <f t="shared" ca="1" si="6"/>
        <v>19.809654297487</v>
      </c>
      <c r="S9" s="82">
        <f t="shared" ca="1" si="7"/>
        <v>35.146221989999994</v>
      </c>
      <c r="T9" s="83" cm="1">
        <f t="array" aca="1" ref="T9" ca="1">_xlfn.STDEV.P(_xlfn._xlws.FILTER(INDIRECT("'"&amp;L9&amp;"'!"&amp;N9),INDIRECT("'"&amp;L9&amp;"'!"&amp;M9)=O9))</f>
        <v>6.3537628603753999</v>
      </c>
    </row>
    <row r="10" spans="1:20" ht="21.6" customHeight="1" x14ac:dyDescent="0.3">
      <c r="A10" s="12" t="s">
        <v>461</v>
      </c>
      <c r="B10" s="115">
        <f t="shared" ca="1" si="0"/>
        <v>28.242328223495665</v>
      </c>
      <c r="C10" s="115">
        <f t="shared" ca="1" si="1"/>
        <v>6.3537628603753999</v>
      </c>
      <c r="D10" s="91" t="s">
        <v>275</v>
      </c>
      <c r="F10" s="106"/>
      <c r="G10" s="187"/>
      <c r="H10" s="119">
        <f t="shared" si="2"/>
        <v>0</v>
      </c>
      <c r="I10" s="120">
        <f t="shared" si="3"/>
        <v>0</v>
      </c>
      <c r="L10" s="184" t="s">
        <v>231</v>
      </c>
      <c r="M10" s="184" t="s">
        <v>278</v>
      </c>
      <c r="N10" s="184" t="s">
        <v>279</v>
      </c>
      <c r="O10" s="184" t="s">
        <v>145</v>
      </c>
      <c r="P10" s="83">
        <f t="shared" ca="1" si="4"/>
        <v>3</v>
      </c>
      <c r="Q10" s="82">
        <f t="shared" ca="1" si="5"/>
        <v>28.242328223495665</v>
      </c>
      <c r="R10" s="82">
        <f t="shared" ca="1" si="6"/>
        <v>19.809654297487</v>
      </c>
      <c r="S10" s="82">
        <f t="shared" ca="1" si="7"/>
        <v>35.146221989999994</v>
      </c>
      <c r="T10" s="83" cm="1">
        <f t="array" aca="1" ref="T10" ca="1">_xlfn.STDEV.P(_xlfn._xlws.FILTER(INDIRECT("'"&amp;L10&amp;"'!"&amp;N10),INDIRECT("'"&amp;L10&amp;"'!"&amp;M10)=O10))</f>
        <v>6.3537628603753999</v>
      </c>
    </row>
    <row r="11" spans="1:20" ht="21.6" customHeight="1" x14ac:dyDescent="0.3">
      <c r="A11" s="12" t="s">
        <v>462</v>
      </c>
      <c r="B11" s="115">
        <f t="shared" ca="1" si="0"/>
        <v>28.242328223495665</v>
      </c>
      <c r="C11" s="115">
        <f t="shared" ca="1" si="1"/>
        <v>6.3537628603753999</v>
      </c>
      <c r="D11" s="91" t="s">
        <v>275</v>
      </c>
      <c r="F11" s="106"/>
      <c r="G11" s="187"/>
      <c r="H11" s="119">
        <f t="shared" si="2"/>
        <v>0</v>
      </c>
      <c r="I11" s="120">
        <f t="shared" si="3"/>
        <v>0</v>
      </c>
      <c r="L11" s="184" t="s">
        <v>231</v>
      </c>
      <c r="M11" s="184" t="s">
        <v>278</v>
      </c>
      <c r="N11" s="184" t="s">
        <v>279</v>
      </c>
      <c r="O11" s="184" t="s">
        <v>145</v>
      </c>
      <c r="P11" s="83">
        <f t="shared" ca="1" si="4"/>
        <v>3</v>
      </c>
      <c r="Q11" s="82">
        <f t="shared" ca="1" si="5"/>
        <v>28.242328223495665</v>
      </c>
      <c r="R11" s="82">
        <f t="shared" ca="1" si="6"/>
        <v>19.809654297487</v>
      </c>
      <c r="S11" s="82">
        <f t="shared" ca="1" si="7"/>
        <v>35.146221989999994</v>
      </c>
      <c r="T11" s="83" cm="1">
        <f t="array" aca="1" ref="T11" ca="1">_xlfn.STDEV.P(_xlfn._xlws.FILTER(INDIRECT("'"&amp;L11&amp;"'!"&amp;N11),INDIRECT("'"&amp;L11&amp;"'!"&amp;M11)=O11))</f>
        <v>6.3537628603753999</v>
      </c>
    </row>
    <row r="12" spans="1:20" ht="21.6" customHeight="1" x14ac:dyDescent="0.3">
      <c r="A12" s="12" t="s">
        <v>19</v>
      </c>
      <c r="B12" s="115">
        <f t="shared" ca="1" si="0"/>
        <v>28.242328223495665</v>
      </c>
      <c r="C12" s="115">
        <f t="shared" ca="1" si="1"/>
        <v>6.3537628603753999</v>
      </c>
      <c r="D12" s="91" t="s">
        <v>275</v>
      </c>
      <c r="F12" s="106"/>
      <c r="G12" s="187"/>
      <c r="H12" s="119">
        <f t="shared" si="2"/>
        <v>0</v>
      </c>
      <c r="I12" s="120">
        <f t="shared" si="3"/>
        <v>0</v>
      </c>
      <c r="K12" s="106"/>
      <c r="L12" s="184" t="s">
        <v>231</v>
      </c>
      <c r="M12" s="184" t="s">
        <v>278</v>
      </c>
      <c r="N12" s="184" t="s">
        <v>279</v>
      </c>
      <c r="O12" s="184" t="s">
        <v>145</v>
      </c>
      <c r="P12" s="83">
        <f t="shared" ca="1" si="4"/>
        <v>3</v>
      </c>
      <c r="Q12" s="82">
        <f t="shared" ca="1" si="5"/>
        <v>28.242328223495665</v>
      </c>
      <c r="R12" s="82">
        <f t="shared" ca="1" si="6"/>
        <v>19.809654297487</v>
      </c>
      <c r="S12" s="82">
        <f t="shared" ca="1" si="7"/>
        <v>35.146221989999994</v>
      </c>
      <c r="T12" s="83" cm="1">
        <f t="array" aca="1" ref="T12" ca="1">_xlfn.STDEV.P(_xlfn._xlws.FILTER(INDIRECT("'"&amp;L12&amp;"'!"&amp;N12),INDIRECT("'"&amp;L12&amp;"'!"&amp;M12)=O12))</f>
        <v>6.3537628603753999</v>
      </c>
    </row>
    <row r="13" spans="1:20" ht="21.6" customHeight="1" x14ac:dyDescent="0.3">
      <c r="A13" s="12" t="s">
        <v>20</v>
      </c>
      <c r="B13" s="115">
        <f t="shared" ca="1" si="0"/>
        <v>28.242328223495665</v>
      </c>
      <c r="C13" s="115">
        <f t="shared" ca="1" si="1"/>
        <v>6.3537628603753999</v>
      </c>
      <c r="D13" s="91" t="s">
        <v>275</v>
      </c>
      <c r="F13" s="106"/>
      <c r="G13" s="187"/>
      <c r="H13" s="119">
        <f t="shared" si="2"/>
        <v>0</v>
      </c>
      <c r="I13" s="120">
        <f t="shared" si="3"/>
        <v>0</v>
      </c>
      <c r="L13" s="184" t="s">
        <v>231</v>
      </c>
      <c r="M13" s="184" t="s">
        <v>278</v>
      </c>
      <c r="N13" s="184" t="s">
        <v>279</v>
      </c>
      <c r="O13" s="184" t="s">
        <v>145</v>
      </c>
      <c r="P13" s="83">
        <f t="shared" ca="1" si="4"/>
        <v>3</v>
      </c>
      <c r="Q13" s="82">
        <f t="shared" ca="1" si="5"/>
        <v>28.242328223495665</v>
      </c>
      <c r="R13" s="82">
        <f t="shared" ca="1" si="6"/>
        <v>19.809654297487</v>
      </c>
      <c r="S13" s="82">
        <f t="shared" ca="1" si="7"/>
        <v>35.146221989999994</v>
      </c>
      <c r="T13" s="83" cm="1">
        <f t="array" aca="1" ref="T13" ca="1">_xlfn.STDEV.P(_xlfn._xlws.FILTER(INDIRECT("'"&amp;L13&amp;"'!"&amp;N13),INDIRECT("'"&amp;L13&amp;"'!"&amp;M13)=O13))</f>
        <v>6.3537628603753999</v>
      </c>
    </row>
    <row r="14" spans="1:20" ht="21.6" customHeight="1" thickBot="1" x14ac:dyDescent="0.35">
      <c r="A14" s="14" t="s">
        <v>464</v>
      </c>
      <c r="B14" s="115">
        <f t="shared" ca="1" si="0"/>
        <v>28.242328223495665</v>
      </c>
      <c r="C14" s="115">
        <f t="shared" ca="1" si="1"/>
        <v>6.3537628603753999</v>
      </c>
      <c r="D14" s="91" t="s">
        <v>275</v>
      </c>
      <c r="F14" s="106"/>
      <c r="G14" s="188"/>
      <c r="H14" s="121">
        <f t="shared" si="2"/>
        <v>0</v>
      </c>
      <c r="I14" s="122">
        <f t="shared" si="3"/>
        <v>0</v>
      </c>
      <c r="L14" s="184" t="s">
        <v>231</v>
      </c>
      <c r="M14" s="184" t="s">
        <v>278</v>
      </c>
      <c r="N14" s="184" t="s">
        <v>279</v>
      </c>
      <c r="O14" s="184" t="s">
        <v>145</v>
      </c>
      <c r="P14" s="83">
        <f t="shared" ca="1" si="4"/>
        <v>3</v>
      </c>
      <c r="Q14" s="82">
        <f t="shared" ca="1" si="5"/>
        <v>28.242328223495665</v>
      </c>
      <c r="R14" s="82">
        <f t="shared" ca="1" si="6"/>
        <v>19.809654297487</v>
      </c>
      <c r="S14" s="82">
        <f t="shared" ca="1" si="7"/>
        <v>35.146221989999994</v>
      </c>
      <c r="T14" s="83" cm="1">
        <f t="array" aca="1" ref="T14" ca="1">_xlfn.STDEV.P(_xlfn._xlws.FILTER(INDIRECT("'"&amp;L14&amp;"'!"&amp;N14),INDIRECT("'"&amp;L14&amp;"'!"&amp;M14)=O14))</f>
        <v>6.3537628603753999</v>
      </c>
    </row>
    <row r="28" spans="9:9" x14ac:dyDescent="0.3">
      <c r="I28" s="91" t="s">
        <v>545</v>
      </c>
    </row>
  </sheetData>
  <dataValidations count="1">
    <dataValidation type="list" allowBlank="1" showInputMessage="1" showErrorMessage="1" sqref="D3:D14" xr:uid="{335CCAB9-1D7B-4C4B-8552-E438D0CFF926}">
      <formula1>"Data,Expert Estimate"</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6D183-0401-4A48-97D8-127EC2F79720}">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ca="1" si="0">IF(D3="Data",Q3,(G3*3+H3+I3)/5)</f>
        <v>28.242328223495665</v>
      </c>
      <c r="C3" s="115">
        <f t="shared" ref="C3:C14" ca="1" si="1">IF(D3="Data",T3,(I3-H3)/5)</f>
        <v>6.3537628603753999</v>
      </c>
      <c r="D3" s="91" t="s">
        <v>275</v>
      </c>
      <c r="F3" s="106"/>
      <c r="G3" s="186"/>
      <c r="H3" s="116">
        <f>0.9*G3</f>
        <v>0</v>
      </c>
      <c r="I3" s="117">
        <f>1.1*G3</f>
        <v>0</v>
      </c>
      <c r="K3" s="106"/>
      <c r="L3" s="185" t="s">
        <v>231</v>
      </c>
      <c r="M3" s="184" t="s">
        <v>278</v>
      </c>
      <c r="N3" s="184" t="s">
        <v>279</v>
      </c>
      <c r="O3" s="184" t="s">
        <v>145</v>
      </c>
      <c r="P3" s="83">
        <f ca="1">COUNTIF(INDIRECT("'"&amp;L3&amp;"'!"&amp;M3),O3)</f>
        <v>3</v>
      </c>
      <c r="Q3" s="82">
        <f ca="1">AVERAGEIF(INDIRECT("'"&amp;L3&amp;"'!"&amp;M3),O3,INDIRECT("'"&amp;L3&amp;"'!"&amp;N3))</f>
        <v>28.242328223495665</v>
      </c>
      <c r="R3" s="82">
        <f ca="1">_xlfn.MINIFS(INDIRECT("'"&amp;L3&amp;"'!"&amp;N3),INDIRECT("'"&amp;L3&amp;"'!"&amp;M3),O3)</f>
        <v>19.809654297487</v>
      </c>
      <c r="S3" s="82">
        <f ca="1">_xlfn.MAXIFS(INDIRECT("'"&amp;L3&amp;"'!"&amp;N3),INDIRECT("'"&amp;L3&amp;"'!"&amp;M3),O3)</f>
        <v>35.146221989999994</v>
      </c>
      <c r="T3" s="83" cm="1">
        <f t="array" aca="1" ref="T3" ca="1">_xlfn.STDEV.P(_xlfn._xlws.FILTER(INDIRECT("'"&amp;L3&amp;"'!"&amp;N3),INDIRECT("'"&amp;L3&amp;"'!"&amp;M3)=O3))</f>
        <v>6.3537628603753999</v>
      </c>
    </row>
    <row r="4" spans="1:20" ht="21.6" customHeight="1" x14ac:dyDescent="0.3">
      <c r="A4" s="10" t="s">
        <v>455</v>
      </c>
      <c r="B4" s="115">
        <f t="shared" ca="1" si="0"/>
        <v>28.242328223495665</v>
      </c>
      <c r="C4" s="115">
        <f t="shared" ca="1" si="1"/>
        <v>6.3537628603753999</v>
      </c>
      <c r="D4" s="91" t="s">
        <v>275</v>
      </c>
      <c r="F4" s="106"/>
      <c r="G4" s="187"/>
      <c r="H4" s="119">
        <f t="shared" ref="H4:H14" si="2">0.9*G4</f>
        <v>0</v>
      </c>
      <c r="I4" s="120">
        <f t="shared" ref="I4:I14" si="3">1.1*G4</f>
        <v>0</v>
      </c>
      <c r="L4" s="184" t="s">
        <v>231</v>
      </c>
      <c r="M4" s="184" t="s">
        <v>278</v>
      </c>
      <c r="N4" s="184" t="s">
        <v>279</v>
      </c>
      <c r="O4" s="184" t="s">
        <v>145</v>
      </c>
      <c r="P4" s="83">
        <f t="shared" ref="P4:P14" ca="1" si="4">COUNTIF(INDIRECT("'"&amp;L4&amp;"'!"&amp;M4),O4)</f>
        <v>3</v>
      </c>
      <c r="Q4" s="82">
        <f t="shared" ref="Q4:Q14" ca="1" si="5">AVERAGEIF(INDIRECT("'"&amp;L4&amp;"'!"&amp;M4),O4,INDIRECT("'"&amp;L4&amp;"'!"&amp;N4))</f>
        <v>28.242328223495665</v>
      </c>
      <c r="R4" s="82">
        <f t="shared" ref="R4:R14" ca="1" si="6">_xlfn.MINIFS(INDIRECT("'"&amp;L4&amp;"'!"&amp;N4),INDIRECT("'"&amp;L4&amp;"'!"&amp;M4),O4)</f>
        <v>19.809654297487</v>
      </c>
      <c r="S4" s="82">
        <f t="shared" ref="S4:S14" ca="1" si="7">_xlfn.MAXIFS(INDIRECT("'"&amp;L4&amp;"'!"&amp;N4),INDIRECT("'"&amp;L4&amp;"'!"&amp;M4),O4)</f>
        <v>35.146221989999994</v>
      </c>
      <c r="T4" s="83" cm="1">
        <f t="array" aca="1" ref="T4" ca="1">_xlfn.STDEV.P(_xlfn._xlws.FILTER(INDIRECT("'"&amp;L4&amp;"'!"&amp;N4),INDIRECT("'"&amp;L4&amp;"'!"&amp;M4)=O4))</f>
        <v>6.3537628603753999</v>
      </c>
    </row>
    <row r="5" spans="1:20" ht="21.6" customHeight="1" x14ac:dyDescent="0.3">
      <c r="A5" s="12" t="s">
        <v>456</v>
      </c>
      <c r="B5" s="115">
        <f t="shared" ca="1" si="0"/>
        <v>28.242328223495665</v>
      </c>
      <c r="C5" s="115">
        <f t="shared" ca="1" si="1"/>
        <v>6.3537628603753999</v>
      </c>
      <c r="D5" s="91" t="s">
        <v>275</v>
      </c>
      <c r="F5" s="106"/>
      <c r="G5" s="187"/>
      <c r="H5" s="119">
        <f t="shared" si="2"/>
        <v>0</v>
      </c>
      <c r="I5" s="120">
        <f t="shared" si="3"/>
        <v>0</v>
      </c>
      <c r="L5" s="184" t="s">
        <v>231</v>
      </c>
      <c r="M5" s="184" t="s">
        <v>278</v>
      </c>
      <c r="N5" s="184" t="s">
        <v>279</v>
      </c>
      <c r="O5" s="184" t="s">
        <v>145</v>
      </c>
      <c r="P5" s="83">
        <f t="shared" ca="1" si="4"/>
        <v>3</v>
      </c>
      <c r="Q5" s="82">
        <f t="shared" ca="1" si="5"/>
        <v>28.242328223495665</v>
      </c>
      <c r="R5" s="82">
        <f t="shared" ca="1" si="6"/>
        <v>19.809654297487</v>
      </c>
      <c r="S5" s="82">
        <f t="shared" ca="1" si="7"/>
        <v>35.146221989999994</v>
      </c>
      <c r="T5" s="83" cm="1">
        <f t="array" aca="1" ref="T5" ca="1">_xlfn.STDEV.P(_xlfn._xlws.FILTER(INDIRECT("'"&amp;L5&amp;"'!"&amp;N5),INDIRECT("'"&amp;L5&amp;"'!"&amp;M5)=O5))</f>
        <v>6.3537628603753999</v>
      </c>
    </row>
    <row r="6" spans="1:20" ht="21.6" customHeight="1" x14ac:dyDescent="0.3">
      <c r="A6" s="10" t="s">
        <v>457</v>
      </c>
      <c r="B6" s="115">
        <f t="shared" ca="1" si="0"/>
        <v>28.242328223495665</v>
      </c>
      <c r="C6" s="115">
        <f t="shared" ca="1" si="1"/>
        <v>6.3537628603753999</v>
      </c>
      <c r="D6" s="91" t="s">
        <v>275</v>
      </c>
      <c r="F6" s="106"/>
      <c r="G6" s="187"/>
      <c r="H6" s="119">
        <f t="shared" si="2"/>
        <v>0</v>
      </c>
      <c r="I6" s="120">
        <f t="shared" si="3"/>
        <v>0</v>
      </c>
      <c r="L6" s="184" t="s">
        <v>231</v>
      </c>
      <c r="M6" s="184" t="s">
        <v>278</v>
      </c>
      <c r="N6" s="184" t="s">
        <v>279</v>
      </c>
      <c r="O6" s="184" t="s">
        <v>145</v>
      </c>
      <c r="P6" s="83">
        <f t="shared" ca="1" si="4"/>
        <v>3</v>
      </c>
      <c r="Q6" s="82">
        <f t="shared" ca="1" si="5"/>
        <v>28.242328223495665</v>
      </c>
      <c r="R6" s="82">
        <f t="shared" ca="1" si="6"/>
        <v>19.809654297487</v>
      </c>
      <c r="S6" s="82">
        <f t="shared" ca="1" si="7"/>
        <v>35.146221989999994</v>
      </c>
      <c r="T6" s="83" cm="1">
        <f t="array" aca="1" ref="T6" ca="1">_xlfn.STDEV.P(_xlfn._xlws.FILTER(INDIRECT("'"&amp;L6&amp;"'!"&amp;N6),INDIRECT("'"&amp;L6&amp;"'!"&amp;M6)=O6))</f>
        <v>6.3537628603753999</v>
      </c>
    </row>
    <row r="7" spans="1:20" ht="21.6" customHeight="1" x14ac:dyDescent="0.3">
      <c r="A7" s="12" t="s">
        <v>458</v>
      </c>
      <c r="B7" s="115">
        <f t="shared" ca="1" si="0"/>
        <v>28.242328223495665</v>
      </c>
      <c r="C7" s="115">
        <f t="shared" ca="1" si="1"/>
        <v>6.3537628603753999</v>
      </c>
      <c r="D7" s="91" t="s">
        <v>275</v>
      </c>
      <c r="F7" s="106"/>
      <c r="G7" s="187"/>
      <c r="H7" s="119">
        <f t="shared" si="2"/>
        <v>0</v>
      </c>
      <c r="I7" s="120">
        <f t="shared" si="3"/>
        <v>0</v>
      </c>
      <c r="L7" s="184" t="s">
        <v>231</v>
      </c>
      <c r="M7" s="184" t="s">
        <v>278</v>
      </c>
      <c r="N7" s="184" t="s">
        <v>279</v>
      </c>
      <c r="O7" s="184" t="s">
        <v>145</v>
      </c>
      <c r="P7" s="83">
        <f t="shared" ca="1" si="4"/>
        <v>3</v>
      </c>
      <c r="Q7" s="82">
        <f t="shared" ca="1" si="5"/>
        <v>28.242328223495665</v>
      </c>
      <c r="R7" s="82">
        <f t="shared" ca="1" si="6"/>
        <v>19.809654297487</v>
      </c>
      <c r="S7" s="82">
        <f t="shared" ca="1" si="7"/>
        <v>35.146221989999994</v>
      </c>
      <c r="T7" s="83" cm="1">
        <f t="array" aca="1" ref="T7" ca="1">_xlfn.STDEV.P(_xlfn._xlws.FILTER(INDIRECT("'"&amp;L7&amp;"'!"&amp;N7),INDIRECT("'"&amp;L7&amp;"'!"&amp;M7)=O7))</f>
        <v>6.3537628603753999</v>
      </c>
    </row>
    <row r="8" spans="1:20" ht="21.6" customHeight="1" x14ac:dyDescent="0.3">
      <c r="A8" s="12" t="s">
        <v>459</v>
      </c>
      <c r="B8" s="115">
        <f t="shared" ca="1" si="0"/>
        <v>28.242328223495665</v>
      </c>
      <c r="C8" s="115">
        <f t="shared" ca="1" si="1"/>
        <v>6.3537628603753999</v>
      </c>
      <c r="D8" s="91" t="s">
        <v>275</v>
      </c>
      <c r="G8" s="187"/>
      <c r="H8" s="119">
        <f t="shared" si="2"/>
        <v>0</v>
      </c>
      <c r="I8" s="120">
        <f t="shared" si="3"/>
        <v>0</v>
      </c>
      <c r="L8" s="184" t="s">
        <v>231</v>
      </c>
      <c r="M8" s="184" t="s">
        <v>278</v>
      </c>
      <c r="N8" s="184" t="s">
        <v>279</v>
      </c>
      <c r="O8" s="184" t="s">
        <v>145</v>
      </c>
      <c r="P8" s="83">
        <f t="shared" ca="1" si="4"/>
        <v>3</v>
      </c>
      <c r="Q8" s="82">
        <f t="shared" ca="1" si="5"/>
        <v>28.242328223495665</v>
      </c>
      <c r="R8" s="82">
        <f t="shared" ca="1" si="6"/>
        <v>19.809654297487</v>
      </c>
      <c r="S8" s="82">
        <f t="shared" ca="1" si="7"/>
        <v>35.146221989999994</v>
      </c>
      <c r="T8" s="83" cm="1">
        <f t="array" aca="1" ref="T8" ca="1">_xlfn.STDEV.P(_xlfn._xlws.FILTER(INDIRECT("'"&amp;L8&amp;"'!"&amp;N8),INDIRECT("'"&amp;L8&amp;"'!"&amp;M8)=O8))</f>
        <v>6.3537628603753999</v>
      </c>
    </row>
    <row r="9" spans="1:20" ht="21.6" customHeight="1" x14ac:dyDescent="0.3">
      <c r="A9" s="12" t="s">
        <v>460</v>
      </c>
      <c r="B9" s="115">
        <f t="shared" ca="1" si="0"/>
        <v>28.242328223495665</v>
      </c>
      <c r="C9" s="115">
        <f t="shared" ca="1" si="1"/>
        <v>6.3537628603753999</v>
      </c>
      <c r="D9" s="91" t="s">
        <v>275</v>
      </c>
      <c r="F9" s="106"/>
      <c r="G9" s="187"/>
      <c r="H9" s="119">
        <f t="shared" si="2"/>
        <v>0</v>
      </c>
      <c r="I9" s="120">
        <f t="shared" si="3"/>
        <v>0</v>
      </c>
      <c r="L9" s="184" t="s">
        <v>231</v>
      </c>
      <c r="M9" s="184" t="s">
        <v>278</v>
      </c>
      <c r="N9" s="184" t="s">
        <v>279</v>
      </c>
      <c r="O9" s="184" t="s">
        <v>145</v>
      </c>
      <c r="P9" s="83">
        <f t="shared" ca="1" si="4"/>
        <v>3</v>
      </c>
      <c r="Q9" s="82">
        <f t="shared" ca="1" si="5"/>
        <v>28.242328223495665</v>
      </c>
      <c r="R9" s="82">
        <f t="shared" ca="1" si="6"/>
        <v>19.809654297487</v>
      </c>
      <c r="S9" s="82">
        <f t="shared" ca="1" si="7"/>
        <v>35.146221989999994</v>
      </c>
      <c r="T9" s="83" cm="1">
        <f t="array" aca="1" ref="T9" ca="1">_xlfn.STDEV.P(_xlfn._xlws.FILTER(INDIRECT("'"&amp;L9&amp;"'!"&amp;N9),INDIRECT("'"&amp;L9&amp;"'!"&amp;M9)=O9))</f>
        <v>6.3537628603753999</v>
      </c>
    </row>
    <row r="10" spans="1:20" ht="21.6" customHeight="1" x14ac:dyDescent="0.3">
      <c r="A10" s="12" t="s">
        <v>461</v>
      </c>
      <c r="B10" s="115">
        <f t="shared" ca="1" si="0"/>
        <v>28.242328223495665</v>
      </c>
      <c r="C10" s="115">
        <f t="shared" ca="1" si="1"/>
        <v>6.3537628603753999</v>
      </c>
      <c r="D10" s="91" t="s">
        <v>275</v>
      </c>
      <c r="F10" s="106"/>
      <c r="G10" s="187"/>
      <c r="H10" s="119">
        <f t="shared" si="2"/>
        <v>0</v>
      </c>
      <c r="I10" s="120">
        <f t="shared" si="3"/>
        <v>0</v>
      </c>
      <c r="L10" s="184" t="s">
        <v>231</v>
      </c>
      <c r="M10" s="184" t="s">
        <v>278</v>
      </c>
      <c r="N10" s="184" t="s">
        <v>279</v>
      </c>
      <c r="O10" s="184" t="s">
        <v>145</v>
      </c>
      <c r="P10" s="83">
        <f t="shared" ca="1" si="4"/>
        <v>3</v>
      </c>
      <c r="Q10" s="82">
        <f t="shared" ca="1" si="5"/>
        <v>28.242328223495665</v>
      </c>
      <c r="R10" s="82">
        <f t="shared" ca="1" si="6"/>
        <v>19.809654297487</v>
      </c>
      <c r="S10" s="82">
        <f t="shared" ca="1" si="7"/>
        <v>35.146221989999994</v>
      </c>
      <c r="T10" s="83" cm="1">
        <f t="array" aca="1" ref="T10" ca="1">_xlfn.STDEV.P(_xlfn._xlws.FILTER(INDIRECT("'"&amp;L10&amp;"'!"&amp;N10),INDIRECT("'"&amp;L10&amp;"'!"&amp;M10)=O10))</f>
        <v>6.3537628603753999</v>
      </c>
    </row>
    <row r="11" spans="1:20" ht="21.6" customHeight="1" x14ac:dyDescent="0.3">
      <c r="A11" s="12" t="s">
        <v>462</v>
      </c>
      <c r="B11" s="115">
        <f t="shared" ca="1" si="0"/>
        <v>28.242328223495665</v>
      </c>
      <c r="C11" s="115">
        <f t="shared" ca="1" si="1"/>
        <v>6.3537628603753999</v>
      </c>
      <c r="D11" s="91" t="s">
        <v>275</v>
      </c>
      <c r="F11" s="106"/>
      <c r="G11" s="187"/>
      <c r="H11" s="119">
        <f t="shared" si="2"/>
        <v>0</v>
      </c>
      <c r="I11" s="120">
        <f t="shared" si="3"/>
        <v>0</v>
      </c>
      <c r="L11" s="184" t="s">
        <v>231</v>
      </c>
      <c r="M11" s="184" t="s">
        <v>278</v>
      </c>
      <c r="N11" s="184" t="s">
        <v>279</v>
      </c>
      <c r="O11" s="184" t="s">
        <v>145</v>
      </c>
      <c r="P11" s="83">
        <f t="shared" ca="1" si="4"/>
        <v>3</v>
      </c>
      <c r="Q11" s="82">
        <f t="shared" ca="1" si="5"/>
        <v>28.242328223495665</v>
      </c>
      <c r="R11" s="82">
        <f t="shared" ca="1" si="6"/>
        <v>19.809654297487</v>
      </c>
      <c r="S11" s="82">
        <f t="shared" ca="1" si="7"/>
        <v>35.146221989999994</v>
      </c>
      <c r="T11" s="83" cm="1">
        <f t="array" aca="1" ref="T11" ca="1">_xlfn.STDEV.P(_xlfn._xlws.FILTER(INDIRECT("'"&amp;L11&amp;"'!"&amp;N11),INDIRECT("'"&amp;L11&amp;"'!"&amp;M11)=O11))</f>
        <v>6.3537628603753999</v>
      </c>
    </row>
    <row r="12" spans="1:20" ht="21.6" customHeight="1" x14ac:dyDescent="0.3">
      <c r="A12" s="12" t="s">
        <v>19</v>
      </c>
      <c r="B12" s="115">
        <f t="shared" ca="1" si="0"/>
        <v>28.242328223495665</v>
      </c>
      <c r="C12" s="115">
        <f t="shared" ca="1" si="1"/>
        <v>6.3537628603753999</v>
      </c>
      <c r="D12" s="91" t="s">
        <v>275</v>
      </c>
      <c r="F12" s="106"/>
      <c r="G12" s="187"/>
      <c r="H12" s="119">
        <f t="shared" si="2"/>
        <v>0</v>
      </c>
      <c r="I12" s="120">
        <f t="shared" si="3"/>
        <v>0</v>
      </c>
      <c r="K12" s="106"/>
      <c r="L12" s="184" t="s">
        <v>231</v>
      </c>
      <c r="M12" s="184" t="s">
        <v>278</v>
      </c>
      <c r="N12" s="184" t="s">
        <v>279</v>
      </c>
      <c r="O12" s="184" t="s">
        <v>145</v>
      </c>
      <c r="P12" s="83">
        <f t="shared" ca="1" si="4"/>
        <v>3</v>
      </c>
      <c r="Q12" s="82">
        <f t="shared" ca="1" si="5"/>
        <v>28.242328223495665</v>
      </c>
      <c r="R12" s="82">
        <f t="shared" ca="1" si="6"/>
        <v>19.809654297487</v>
      </c>
      <c r="S12" s="82">
        <f t="shared" ca="1" si="7"/>
        <v>35.146221989999994</v>
      </c>
      <c r="T12" s="83" cm="1">
        <f t="array" aca="1" ref="T12" ca="1">_xlfn.STDEV.P(_xlfn._xlws.FILTER(INDIRECT("'"&amp;L12&amp;"'!"&amp;N12),INDIRECT("'"&amp;L12&amp;"'!"&amp;M12)=O12))</f>
        <v>6.3537628603753999</v>
      </c>
    </row>
    <row r="13" spans="1:20" ht="21.6" customHeight="1" x14ac:dyDescent="0.3">
      <c r="A13" s="12" t="s">
        <v>20</v>
      </c>
      <c r="B13" s="115">
        <f t="shared" ca="1" si="0"/>
        <v>28.242328223495665</v>
      </c>
      <c r="C13" s="115">
        <f t="shared" ca="1" si="1"/>
        <v>6.3537628603753999</v>
      </c>
      <c r="D13" s="91" t="s">
        <v>275</v>
      </c>
      <c r="F13" s="106"/>
      <c r="G13" s="187"/>
      <c r="H13" s="119">
        <f t="shared" si="2"/>
        <v>0</v>
      </c>
      <c r="I13" s="120">
        <f t="shared" si="3"/>
        <v>0</v>
      </c>
      <c r="L13" s="184" t="s">
        <v>231</v>
      </c>
      <c r="M13" s="184" t="s">
        <v>278</v>
      </c>
      <c r="N13" s="184" t="s">
        <v>279</v>
      </c>
      <c r="O13" s="184" t="s">
        <v>145</v>
      </c>
      <c r="P13" s="83">
        <f t="shared" ca="1" si="4"/>
        <v>3</v>
      </c>
      <c r="Q13" s="82">
        <f t="shared" ca="1" si="5"/>
        <v>28.242328223495665</v>
      </c>
      <c r="R13" s="82">
        <f t="shared" ca="1" si="6"/>
        <v>19.809654297487</v>
      </c>
      <c r="S13" s="82">
        <f t="shared" ca="1" si="7"/>
        <v>35.146221989999994</v>
      </c>
      <c r="T13" s="83" cm="1">
        <f t="array" aca="1" ref="T13" ca="1">_xlfn.STDEV.P(_xlfn._xlws.FILTER(INDIRECT("'"&amp;L13&amp;"'!"&amp;N13),INDIRECT("'"&amp;L13&amp;"'!"&amp;M13)=O13))</f>
        <v>6.3537628603753999</v>
      </c>
    </row>
    <row r="14" spans="1:20" ht="21.6" customHeight="1" thickBot="1" x14ac:dyDescent="0.35">
      <c r="A14" s="14" t="s">
        <v>464</v>
      </c>
      <c r="B14" s="115">
        <f t="shared" ca="1" si="0"/>
        <v>28.242328223495665</v>
      </c>
      <c r="C14" s="115">
        <f t="shared" ca="1" si="1"/>
        <v>6.3537628603753999</v>
      </c>
      <c r="D14" s="91" t="s">
        <v>275</v>
      </c>
      <c r="F14" s="106"/>
      <c r="G14" s="188"/>
      <c r="H14" s="121">
        <f t="shared" si="2"/>
        <v>0</v>
      </c>
      <c r="I14" s="122">
        <f t="shared" si="3"/>
        <v>0</v>
      </c>
      <c r="L14" s="184" t="s">
        <v>231</v>
      </c>
      <c r="M14" s="184" t="s">
        <v>278</v>
      </c>
      <c r="N14" s="184" t="s">
        <v>279</v>
      </c>
      <c r="O14" s="184" t="s">
        <v>145</v>
      </c>
      <c r="P14" s="83">
        <f t="shared" ca="1" si="4"/>
        <v>3</v>
      </c>
      <c r="Q14" s="82">
        <f t="shared" ca="1" si="5"/>
        <v>28.242328223495665</v>
      </c>
      <c r="R14" s="82">
        <f t="shared" ca="1" si="6"/>
        <v>19.809654297487</v>
      </c>
      <c r="S14" s="82">
        <f t="shared" ca="1" si="7"/>
        <v>35.146221989999994</v>
      </c>
      <c r="T14" s="83" cm="1">
        <f t="array" aca="1" ref="T14" ca="1">_xlfn.STDEV.P(_xlfn._xlws.FILTER(INDIRECT("'"&amp;L14&amp;"'!"&amp;N14),INDIRECT("'"&amp;L14&amp;"'!"&amp;M14)=O14))</f>
        <v>6.3537628603753999</v>
      </c>
    </row>
    <row r="28" spans="9:9" x14ac:dyDescent="0.3">
      <c r="I28" s="91" t="s">
        <v>545</v>
      </c>
    </row>
  </sheetData>
  <dataValidations count="1">
    <dataValidation type="list" allowBlank="1" showInputMessage="1" showErrorMessage="1" sqref="D3:D14" xr:uid="{534E5481-47F2-43DF-8FBF-E41DB3639D3F}">
      <formula1>"Data,Expert Estimate"</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FBD50-1A0E-4834-85A3-E7FDB4257315}">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ca="1" si="0">IF(D3="Data",Q3,(G3*3+H3+I3)/5)</f>
        <v>20.874426681360266</v>
      </c>
      <c r="C3" s="115">
        <f t="shared" ref="C3:C14" ca="1" si="1">IF(D3="Data",T3,(I3-H3)/5)</f>
        <v>6.0216559597064094</v>
      </c>
      <c r="D3" s="91" t="s">
        <v>275</v>
      </c>
      <c r="F3" s="106"/>
      <c r="G3" s="186"/>
      <c r="H3" s="116">
        <f>0.9*G3</f>
        <v>0</v>
      </c>
      <c r="I3" s="117">
        <f>1.1*G3</f>
        <v>0</v>
      </c>
      <c r="K3" s="106"/>
      <c r="L3" s="185" t="s">
        <v>231</v>
      </c>
      <c r="M3" s="184" t="s">
        <v>278</v>
      </c>
      <c r="N3" s="184" t="s">
        <v>279</v>
      </c>
      <c r="O3" s="184" t="s">
        <v>24</v>
      </c>
      <c r="P3" s="83">
        <f ca="1">COUNTIF(INDIRECT("'"&amp;L3&amp;"'!"&amp;M3),O3)</f>
        <v>3</v>
      </c>
      <c r="Q3" s="82">
        <f ca="1">AVERAGEIF(INDIRECT("'"&amp;L3&amp;"'!"&amp;M3),O3,INDIRECT("'"&amp;L3&amp;"'!"&amp;N3))</f>
        <v>20.874426681360266</v>
      </c>
      <c r="R3" s="82">
        <f ca="1">_xlfn.MINIFS(INDIRECT("'"&amp;L3&amp;"'!"&amp;N3),INDIRECT("'"&amp;L3&amp;"'!"&amp;M3),O3)</f>
        <v>12.439540184080796</v>
      </c>
      <c r="S3" s="82">
        <f ca="1">_xlfn.MAXIFS(INDIRECT("'"&amp;L3&amp;"'!"&amp;N3),INDIRECT("'"&amp;L3&amp;"'!"&amp;M3),O3)</f>
        <v>26.106772919999997</v>
      </c>
      <c r="T3" s="83" cm="1">
        <f t="array" aca="1" ref="T3" ca="1">_xlfn.STDEV.P(_xlfn._xlws.FILTER(INDIRECT("'"&amp;L3&amp;"'!"&amp;N3),INDIRECT("'"&amp;L3&amp;"'!"&amp;M3)=O3))</f>
        <v>6.0216559597064094</v>
      </c>
    </row>
    <row r="4" spans="1:20" ht="21.6" customHeight="1" x14ac:dyDescent="0.3">
      <c r="A4" s="10" t="s">
        <v>455</v>
      </c>
      <c r="B4" s="115">
        <f t="shared" ca="1" si="0"/>
        <v>20.874426681360266</v>
      </c>
      <c r="C4" s="115">
        <f t="shared" ca="1" si="1"/>
        <v>6.0216559597064094</v>
      </c>
      <c r="D4" s="91" t="s">
        <v>275</v>
      </c>
      <c r="F4" s="106"/>
      <c r="G4" s="187"/>
      <c r="H4" s="119">
        <f t="shared" ref="H4:H14" si="2">0.9*G4</f>
        <v>0</v>
      </c>
      <c r="I4" s="120">
        <f t="shared" ref="I4:I14" si="3">1.1*G4</f>
        <v>0</v>
      </c>
      <c r="L4" s="184" t="s">
        <v>231</v>
      </c>
      <c r="M4" s="184" t="s">
        <v>278</v>
      </c>
      <c r="N4" s="184" t="s">
        <v>279</v>
      </c>
      <c r="O4" s="184" t="s">
        <v>24</v>
      </c>
      <c r="P4" s="83">
        <f t="shared" ref="P4:P14" ca="1" si="4">COUNTIF(INDIRECT("'"&amp;L4&amp;"'!"&amp;M4),O4)</f>
        <v>3</v>
      </c>
      <c r="Q4" s="82">
        <f t="shared" ref="Q4:Q14" ca="1" si="5">AVERAGEIF(INDIRECT("'"&amp;L4&amp;"'!"&amp;M4),O4,INDIRECT("'"&amp;L4&amp;"'!"&amp;N4))</f>
        <v>20.874426681360266</v>
      </c>
      <c r="R4" s="82">
        <f t="shared" ref="R4:R14" ca="1" si="6">_xlfn.MINIFS(INDIRECT("'"&amp;L4&amp;"'!"&amp;N4),INDIRECT("'"&amp;L4&amp;"'!"&amp;M4),O4)</f>
        <v>12.439540184080796</v>
      </c>
      <c r="S4" s="82">
        <f t="shared" ref="S4:S14" ca="1" si="7">_xlfn.MAXIFS(INDIRECT("'"&amp;L4&amp;"'!"&amp;N4),INDIRECT("'"&amp;L4&amp;"'!"&amp;M4),O4)</f>
        <v>26.106772919999997</v>
      </c>
      <c r="T4" s="83" cm="1">
        <f t="array" aca="1" ref="T4" ca="1">_xlfn.STDEV.P(_xlfn._xlws.FILTER(INDIRECT("'"&amp;L4&amp;"'!"&amp;N4),INDIRECT("'"&amp;L4&amp;"'!"&amp;M4)=O4))</f>
        <v>6.0216559597064094</v>
      </c>
    </row>
    <row r="5" spans="1:20" ht="21.6" customHeight="1" x14ac:dyDescent="0.3">
      <c r="A5" s="12" t="s">
        <v>456</v>
      </c>
      <c r="B5" s="115">
        <f t="shared" ca="1" si="0"/>
        <v>20.874426681360266</v>
      </c>
      <c r="C5" s="115">
        <f t="shared" ca="1" si="1"/>
        <v>6.0216559597064094</v>
      </c>
      <c r="D5" s="91" t="s">
        <v>275</v>
      </c>
      <c r="F5" s="106"/>
      <c r="G5" s="187"/>
      <c r="H5" s="119">
        <f t="shared" si="2"/>
        <v>0</v>
      </c>
      <c r="I5" s="120">
        <f t="shared" si="3"/>
        <v>0</v>
      </c>
      <c r="L5" s="184" t="s">
        <v>231</v>
      </c>
      <c r="M5" s="184" t="s">
        <v>278</v>
      </c>
      <c r="N5" s="184" t="s">
        <v>279</v>
      </c>
      <c r="O5" s="184" t="s">
        <v>24</v>
      </c>
      <c r="P5" s="83">
        <f t="shared" ca="1" si="4"/>
        <v>3</v>
      </c>
      <c r="Q5" s="82">
        <f t="shared" ca="1" si="5"/>
        <v>20.874426681360266</v>
      </c>
      <c r="R5" s="82">
        <f t="shared" ca="1" si="6"/>
        <v>12.439540184080796</v>
      </c>
      <c r="S5" s="82">
        <f t="shared" ca="1" si="7"/>
        <v>26.106772919999997</v>
      </c>
      <c r="T5" s="83" cm="1">
        <f t="array" aca="1" ref="T5" ca="1">_xlfn.STDEV.P(_xlfn._xlws.FILTER(INDIRECT("'"&amp;L5&amp;"'!"&amp;N5),INDIRECT("'"&amp;L5&amp;"'!"&amp;M5)=O5))</f>
        <v>6.0216559597064094</v>
      </c>
    </row>
    <row r="6" spans="1:20" ht="21.6" customHeight="1" x14ac:dyDescent="0.3">
      <c r="A6" s="10" t="s">
        <v>457</v>
      </c>
      <c r="B6" s="115">
        <f t="shared" ca="1" si="0"/>
        <v>20.874426681360266</v>
      </c>
      <c r="C6" s="115">
        <f t="shared" ca="1" si="1"/>
        <v>6.0216559597064094</v>
      </c>
      <c r="D6" s="91" t="s">
        <v>275</v>
      </c>
      <c r="F6" s="106"/>
      <c r="G6" s="187"/>
      <c r="H6" s="119">
        <f t="shared" si="2"/>
        <v>0</v>
      </c>
      <c r="I6" s="120">
        <f t="shared" si="3"/>
        <v>0</v>
      </c>
      <c r="L6" s="184" t="s">
        <v>231</v>
      </c>
      <c r="M6" s="184" t="s">
        <v>278</v>
      </c>
      <c r="N6" s="184" t="s">
        <v>279</v>
      </c>
      <c r="O6" s="184" t="s">
        <v>24</v>
      </c>
      <c r="P6" s="83">
        <f t="shared" ca="1" si="4"/>
        <v>3</v>
      </c>
      <c r="Q6" s="82">
        <f t="shared" ca="1" si="5"/>
        <v>20.874426681360266</v>
      </c>
      <c r="R6" s="82">
        <f t="shared" ca="1" si="6"/>
        <v>12.439540184080796</v>
      </c>
      <c r="S6" s="82">
        <f t="shared" ca="1" si="7"/>
        <v>26.106772919999997</v>
      </c>
      <c r="T6" s="83" cm="1">
        <f t="array" aca="1" ref="T6" ca="1">_xlfn.STDEV.P(_xlfn._xlws.FILTER(INDIRECT("'"&amp;L6&amp;"'!"&amp;N6),INDIRECT("'"&amp;L6&amp;"'!"&amp;M6)=O6))</f>
        <v>6.0216559597064094</v>
      </c>
    </row>
    <row r="7" spans="1:20" ht="21.6" customHeight="1" x14ac:dyDescent="0.3">
      <c r="A7" s="12" t="s">
        <v>458</v>
      </c>
      <c r="B7" s="115">
        <f t="shared" ca="1" si="0"/>
        <v>20.874426681360266</v>
      </c>
      <c r="C7" s="115">
        <f t="shared" ca="1" si="1"/>
        <v>6.0216559597064094</v>
      </c>
      <c r="D7" s="91" t="s">
        <v>275</v>
      </c>
      <c r="F7" s="106"/>
      <c r="G7" s="187"/>
      <c r="H7" s="119">
        <f t="shared" si="2"/>
        <v>0</v>
      </c>
      <c r="I7" s="120">
        <f t="shared" si="3"/>
        <v>0</v>
      </c>
      <c r="L7" s="184" t="s">
        <v>231</v>
      </c>
      <c r="M7" s="184" t="s">
        <v>278</v>
      </c>
      <c r="N7" s="184" t="s">
        <v>279</v>
      </c>
      <c r="O7" s="184" t="s">
        <v>24</v>
      </c>
      <c r="P7" s="83">
        <f t="shared" ca="1" si="4"/>
        <v>3</v>
      </c>
      <c r="Q7" s="82">
        <f t="shared" ca="1" si="5"/>
        <v>20.874426681360266</v>
      </c>
      <c r="R7" s="82">
        <f t="shared" ca="1" si="6"/>
        <v>12.439540184080796</v>
      </c>
      <c r="S7" s="82">
        <f t="shared" ca="1" si="7"/>
        <v>26.106772919999997</v>
      </c>
      <c r="T7" s="83" cm="1">
        <f t="array" aca="1" ref="T7" ca="1">_xlfn.STDEV.P(_xlfn._xlws.FILTER(INDIRECT("'"&amp;L7&amp;"'!"&amp;N7),INDIRECT("'"&amp;L7&amp;"'!"&amp;M7)=O7))</f>
        <v>6.0216559597064094</v>
      </c>
    </row>
    <row r="8" spans="1:20" ht="21.6" customHeight="1" x14ac:dyDescent="0.3">
      <c r="A8" s="12" t="s">
        <v>459</v>
      </c>
      <c r="B8" s="115">
        <f t="shared" ca="1" si="0"/>
        <v>20.874426681360266</v>
      </c>
      <c r="C8" s="115">
        <f t="shared" ca="1" si="1"/>
        <v>6.0216559597064094</v>
      </c>
      <c r="D8" s="91" t="s">
        <v>275</v>
      </c>
      <c r="G8" s="187"/>
      <c r="H8" s="119">
        <f t="shared" si="2"/>
        <v>0</v>
      </c>
      <c r="I8" s="120">
        <f t="shared" si="3"/>
        <v>0</v>
      </c>
      <c r="L8" s="184" t="s">
        <v>231</v>
      </c>
      <c r="M8" s="184" t="s">
        <v>278</v>
      </c>
      <c r="N8" s="184" t="s">
        <v>279</v>
      </c>
      <c r="O8" s="184" t="s">
        <v>24</v>
      </c>
      <c r="P8" s="83">
        <f t="shared" ca="1" si="4"/>
        <v>3</v>
      </c>
      <c r="Q8" s="82">
        <f t="shared" ca="1" si="5"/>
        <v>20.874426681360266</v>
      </c>
      <c r="R8" s="82">
        <f t="shared" ca="1" si="6"/>
        <v>12.439540184080796</v>
      </c>
      <c r="S8" s="82">
        <f t="shared" ca="1" si="7"/>
        <v>26.106772919999997</v>
      </c>
      <c r="T8" s="83" cm="1">
        <f t="array" aca="1" ref="T8" ca="1">_xlfn.STDEV.P(_xlfn._xlws.FILTER(INDIRECT("'"&amp;L8&amp;"'!"&amp;N8),INDIRECT("'"&amp;L8&amp;"'!"&amp;M8)=O8))</f>
        <v>6.0216559597064094</v>
      </c>
    </row>
    <row r="9" spans="1:20" ht="21.6" customHeight="1" x14ac:dyDescent="0.3">
      <c r="A9" s="12" t="s">
        <v>460</v>
      </c>
      <c r="B9" s="115">
        <f t="shared" ca="1" si="0"/>
        <v>20.874426681360266</v>
      </c>
      <c r="C9" s="115">
        <f t="shared" ca="1" si="1"/>
        <v>6.0216559597064094</v>
      </c>
      <c r="D9" s="91" t="s">
        <v>275</v>
      </c>
      <c r="F9" s="106"/>
      <c r="G9" s="187"/>
      <c r="H9" s="119">
        <f t="shared" si="2"/>
        <v>0</v>
      </c>
      <c r="I9" s="120">
        <f t="shared" si="3"/>
        <v>0</v>
      </c>
      <c r="L9" s="184" t="s">
        <v>231</v>
      </c>
      <c r="M9" s="184" t="s">
        <v>278</v>
      </c>
      <c r="N9" s="184" t="s">
        <v>279</v>
      </c>
      <c r="O9" s="184" t="s">
        <v>24</v>
      </c>
      <c r="P9" s="83">
        <f t="shared" ca="1" si="4"/>
        <v>3</v>
      </c>
      <c r="Q9" s="82">
        <f t="shared" ca="1" si="5"/>
        <v>20.874426681360266</v>
      </c>
      <c r="R9" s="82">
        <f t="shared" ca="1" si="6"/>
        <v>12.439540184080796</v>
      </c>
      <c r="S9" s="82">
        <f t="shared" ca="1" si="7"/>
        <v>26.106772919999997</v>
      </c>
      <c r="T9" s="83" cm="1">
        <f t="array" aca="1" ref="T9" ca="1">_xlfn.STDEV.P(_xlfn._xlws.FILTER(INDIRECT("'"&amp;L9&amp;"'!"&amp;N9),INDIRECT("'"&amp;L9&amp;"'!"&amp;M9)=O9))</f>
        <v>6.0216559597064094</v>
      </c>
    </row>
    <row r="10" spans="1:20" ht="21.6" customHeight="1" x14ac:dyDescent="0.3">
      <c r="A10" s="12" t="s">
        <v>461</v>
      </c>
      <c r="B10" s="115">
        <f t="shared" ca="1" si="0"/>
        <v>20.874426681360266</v>
      </c>
      <c r="C10" s="115">
        <f t="shared" ca="1" si="1"/>
        <v>6.0216559597064094</v>
      </c>
      <c r="D10" s="91" t="s">
        <v>275</v>
      </c>
      <c r="F10" s="106"/>
      <c r="G10" s="187"/>
      <c r="H10" s="119">
        <f t="shared" si="2"/>
        <v>0</v>
      </c>
      <c r="I10" s="120">
        <f t="shared" si="3"/>
        <v>0</v>
      </c>
      <c r="L10" s="184" t="s">
        <v>231</v>
      </c>
      <c r="M10" s="184" t="s">
        <v>278</v>
      </c>
      <c r="N10" s="184" t="s">
        <v>279</v>
      </c>
      <c r="O10" s="184" t="s">
        <v>24</v>
      </c>
      <c r="P10" s="83">
        <f t="shared" ca="1" si="4"/>
        <v>3</v>
      </c>
      <c r="Q10" s="82">
        <f t="shared" ca="1" si="5"/>
        <v>20.874426681360266</v>
      </c>
      <c r="R10" s="82">
        <f t="shared" ca="1" si="6"/>
        <v>12.439540184080796</v>
      </c>
      <c r="S10" s="82">
        <f t="shared" ca="1" si="7"/>
        <v>26.106772919999997</v>
      </c>
      <c r="T10" s="83" cm="1">
        <f t="array" aca="1" ref="T10" ca="1">_xlfn.STDEV.P(_xlfn._xlws.FILTER(INDIRECT("'"&amp;L10&amp;"'!"&amp;N10),INDIRECT("'"&amp;L10&amp;"'!"&amp;M10)=O10))</f>
        <v>6.0216559597064094</v>
      </c>
    </row>
    <row r="11" spans="1:20" ht="21.6" customHeight="1" x14ac:dyDescent="0.3">
      <c r="A11" s="12" t="s">
        <v>462</v>
      </c>
      <c r="B11" s="115">
        <f t="shared" ca="1" si="0"/>
        <v>20.874426681360266</v>
      </c>
      <c r="C11" s="115">
        <f t="shared" ca="1" si="1"/>
        <v>6.0216559597064094</v>
      </c>
      <c r="D11" s="91" t="s">
        <v>275</v>
      </c>
      <c r="F11" s="106"/>
      <c r="G11" s="187"/>
      <c r="H11" s="119">
        <f t="shared" si="2"/>
        <v>0</v>
      </c>
      <c r="I11" s="120">
        <f t="shared" si="3"/>
        <v>0</v>
      </c>
      <c r="L11" s="184" t="s">
        <v>231</v>
      </c>
      <c r="M11" s="184" t="s">
        <v>278</v>
      </c>
      <c r="N11" s="184" t="s">
        <v>279</v>
      </c>
      <c r="O11" s="184" t="s">
        <v>24</v>
      </c>
      <c r="P11" s="83">
        <f t="shared" ca="1" si="4"/>
        <v>3</v>
      </c>
      <c r="Q11" s="82">
        <f t="shared" ca="1" si="5"/>
        <v>20.874426681360266</v>
      </c>
      <c r="R11" s="82">
        <f t="shared" ca="1" si="6"/>
        <v>12.439540184080796</v>
      </c>
      <c r="S11" s="82">
        <f t="shared" ca="1" si="7"/>
        <v>26.106772919999997</v>
      </c>
      <c r="T11" s="83" cm="1">
        <f t="array" aca="1" ref="T11" ca="1">_xlfn.STDEV.P(_xlfn._xlws.FILTER(INDIRECT("'"&amp;L11&amp;"'!"&amp;N11),INDIRECT("'"&amp;L11&amp;"'!"&amp;M11)=O11))</f>
        <v>6.0216559597064094</v>
      </c>
    </row>
    <row r="12" spans="1:20" ht="21.6" customHeight="1" x14ac:dyDescent="0.3">
      <c r="A12" s="12" t="s">
        <v>19</v>
      </c>
      <c r="B12" s="115">
        <f t="shared" ca="1" si="0"/>
        <v>20.874426681360266</v>
      </c>
      <c r="C12" s="115">
        <f t="shared" ca="1" si="1"/>
        <v>6.0216559597064094</v>
      </c>
      <c r="D12" s="91" t="s">
        <v>275</v>
      </c>
      <c r="F12" s="106"/>
      <c r="G12" s="187"/>
      <c r="H12" s="119">
        <f t="shared" si="2"/>
        <v>0</v>
      </c>
      <c r="I12" s="120">
        <f t="shared" si="3"/>
        <v>0</v>
      </c>
      <c r="K12" s="106"/>
      <c r="L12" s="184" t="s">
        <v>231</v>
      </c>
      <c r="M12" s="184" t="s">
        <v>278</v>
      </c>
      <c r="N12" s="184" t="s">
        <v>279</v>
      </c>
      <c r="O12" s="184" t="s">
        <v>24</v>
      </c>
      <c r="P12" s="83">
        <f t="shared" ca="1" si="4"/>
        <v>3</v>
      </c>
      <c r="Q12" s="82">
        <f t="shared" ca="1" si="5"/>
        <v>20.874426681360266</v>
      </c>
      <c r="R12" s="82">
        <f t="shared" ca="1" si="6"/>
        <v>12.439540184080796</v>
      </c>
      <c r="S12" s="82">
        <f t="shared" ca="1" si="7"/>
        <v>26.106772919999997</v>
      </c>
      <c r="T12" s="83" cm="1">
        <f t="array" aca="1" ref="T12" ca="1">_xlfn.STDEV.P(_xlfn._xlws.FILTER(INDIRECT("'"&amp;L12&amp;"'!"&amp;N12),INDIRECT("'"&amp;L12&amp;"'!"&amp;M12)=O12))</f>
        <v>6.0216559597064094</v>
      </c>
    </row>
    <row r="13" spans="1:20" ht="21.6" customHeight="1" x14ac:dyDescent="0.3">
      <c r="A13" s="12" t="s">
        <v>20</v>
      </c>
      <c r="B13" s="115">
        <f t="shared" ca="1" si="0"/>
        <v>20.874426681360266</v>
      </c>
      <c r="C13" s="115">
        <f t="shared" ca="1" si="1"/>
        <v>6.0216559597064094</v>
      </c>
      <c r="D13" s="91" t="s">
        <v>275</v>
      </c>
      <c r="F13" s="106"/>
      <c r="G13" s="187"/>
      <c r="H13" s="119">
        <f t="shared" si="2"/>
        <v>0</v>
      </c>
      <c r="I13" s="120">
        <f t="shared" si="3"/>
        <v>0</v>
      </c>
      <c r="L13" s="184" t="s">
        <v>231</v>
      </c>
      <c r="M13" s="184" t="s">
        <v>278</v>
      </c>
      <c r="N13" s="184" t="s">
        <v>279</v>
      </c>
      <c r="O13" s="184" t="s">
        <v>24</v>
      </c>
      <c r="P13" s="83">
        <f t="shared" ca="1" si="4"/>
        <v>3</v>
      </c>
      <c r="Q13" s="82">
        <f t="shared" ca="1" si="5"/>
        <v>20.874426681360266</v>
      </c>
      <c r="R13" s="82">
        <f t="shared" ca="1" si="6"/>
        <v>12.439540184080796</v>
      </c>
      <c r="S13" s="82">
        <f t="shared" ca="1" si="7"/>
        <v>26.106772919999997</v>
      </c>
      <c r="T13" s="83" cm="1">
        <f t="array" aca="1" ref="T13" ca="1">_xlfn.STDEV.P(_xlfn._xlws.FILTER(INDIRECT("'"&amp;L13&amp;"'!"&amp;N13),INDIRECT("'"&amp;L13&amp;"'!"&amp;M13)=O13))</f>
        <v>6.0216559597064094</v>
      </c>
    </row>
    <row r="14" spans="1:20" ht="21.6" customHeight="1" thickBot="1" x14ac:dyDescent="0.35">
      <c r="A14" s="14" t="s">
        <v>464</v>
      </c>
      <c r="B14" s="115">
        <f t="shared" ca="1" si="0"/>
        <v>20.874426681360266</v>
      </c>
      <c r="C14" s="115">
        <f t="shared" ca="1" si="1"/>
        <v>6.0216559597064094</v>
      </c>
      <c r="D14" s="91" t="s">
        <v>275</v>
      </c>
      <c r="F14" s="106"/>
      <c r="G14" s="188"/>
      <c r="H14" s="121">
        <f t="shared" si="2"/>
        <v>0</v>
      </c>
      <c r="I14" s="122">
        <f t="shared" si="3"/>
        <v>0</v>
      </c>
      <c r="L14" s="184" t="s">
        <v>231</v>
      </c>
      <c r="M14" s="184" t="s">
        <v>278</v>
      </c>
      <c r="N14" s="184" t="s">
        <v>279</v>
      </c>
      <c r="O14" s="184" t="s">
        <v>24</v>
      </c>
      <c r="P14" s="83">
        <f t="shared" ca="1" si="4"/>
        <v>3</v>
      </c>
      <c r="Q14" s="82">
        <f t="shared" ca="1" si="5"/>
        <v>20.874426681360266</v>
      </c>
      <c r="R14" s="82">
        <f t="shared" ca="1" si="6"/>
        <v>12.439540184080796</v>
      </c>
      <c r="S14" s="82">
        <f t="shared" ca="1" si="7"/>
        <v>26.106772919999997</v>
      </c>
      <c r="T14" s="83" cm="1">
        <f t="array" aca="1" ref="T14" ca="1">_xlfn.STDEV.P(_xlfn._xlws.FILTER(INDIRECT("'"&amp;L14&amp;"'!"&amp;N14),INDIRECT("'"&amp;L14&amp;"'!"&amp;M14)=O14))</f>
        <v>6.0216559597064094</v>
      </c>
    </row>
    <row r="28" spans="9:9" x14ac:dyDescent="0.3">
      <c r="I28" s="91" t="s">
        <v>545</v>
      </c>
    </row>
  </sheetData>
  <dataValidations count="1">
    <dataValidation type="list" allowBlank="1" showInputMessage="1" showErrorMessage="1" sqref="D3:D14" xr:uid="{FA76E838-EACE-4514-9CDE-ED5827D61962}">
      <formula1>"Data,Expert Estimate"</formula1>
    </dataValidation>
  </dataValidation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D145-6F59-43A6-B828-EF3B51C89DC7}">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ca="1" si="0">IF(D3="Data",Q3,(G3*3+H3+I3)/5)</f>
        <v>25.418831125011501</v>
      </c>
      <c r="C3" s="115">
        <f t="shared" ref="C3:C14" ca="1" si="1">IF(D3="Data",T3,(I3-H3)/5)</f>
        <v>15.136896104988502</v>
      </c>
      <c r="D3" s="91" t="s">
        <v>275</v>
      </c>
      <c r="F3" s="106"/>
      <c r="G3" s="186"/>
      <c r="H3" s="116">
        <f>0.9*G3</f>
        <v>0</v>
      </c>
      <c r="I3" s="117">
        <f>1.1*G3</f>
        <v>0</v>
      </c>
      <c r="K3" s="106"/>
      <c r="L3" s="185" t="s">
        <v>231</v>
      </c>
      <c r="M3" s="184" t="s">
        <v>278</v>
      </c>
      <c r="N3" s="184" t="s">
        <v>279</v>
      </c>
      <c r="O3" s="184" t="s">
        <v>25</v>
      </c>
      <c r="P3" s="83">
        <f ca="1">COUNTIF(INDIRECT("'"&amp;L3&amp;"'!"&amp;M3),O3)</f>
        <v>2</v>
      </c>
      <c r="Q3" s="82">
        <f ca="1">AVERAGEIF(INDIRECT("'"&amp;L3&amp;"'!"&amp;M3),O3,INDIRECT("'"&amp;L3&amp;"'!"&amp;N3))</f>
        <v>25.418831125011501</v>
      </c>
      <c r="R3" s="82">
        <f ca="1">_xlfn.MINIFS(INDIRECT("'"&amp;L3&amp;"'!"&amp;N3),INDIRECT("'"&amp;L3&amp;"'!"&amp;M3),O3)</f>
        <v>10.281935020023001</v>
      </c>
      <c r="S3" s="82">
        <f ca="1">_xlfn.MAXIFS(INDIRECT("'"&amp;L3&amp;"'!"&amp;N3),INDIRECT("'"&amp;L3&amp;"'!"&amp;M3),O3)</f>
        <v>40.555727230000002</v>
      </c>
      <c r="T3" s="83" cm="1">
        <f t="array" aca="1" ref="T3" ca="1">_xlfn.STDEV.P(_xlfn._xlws.FILTER(INDIRECT("'"&amp;L3&amp;"'!"&amp;N3),INDIRECT("'"&amp;L3&amp;"'!"&amp;M3)=O3))</f>
        <v>15.136896104988502</v>
      </c>
    </row>
    <row r="4" spans="1:20" ht="21.6" customHeight="1" x14ac:dyDescent="0.3">
      <c r="A4" s="10" t="s">
        <v>455</v>
      </c>
      <c r="B4" s="115">
        <f t="shared" ca="1" si="0"/>
        <v>25.418831125011501</v>
      </c>
      <c r="C4" s="115">
        <f t="shared" ca="1" si="1"/>
        <v>15.136896104988502</v>
      </c>
      <c r="D4" s="91" t="s">
        <v>275</v>
      </c>
      <c r="F4" s="106"/>
      <c r="G4" s="187"/>
      <c r="H4" s="119">
        <f t="shared" ref="H4:H14" si="2">0.9*G4</f>
        <v>0</v>
      </c>
      <c r="I4" s="120">
        <f t="shared" ref="I4:I14" si="3">1.1*G4</f>
        <v>0</v>
      </c>
      <c r="L4" s="184" t="s">
        <v>231</v>
      </c>
      <c r="M4" s="184" t="s">
        <v>278</v>
      </c>
      <c r="N4" s="184" t="s">
        <v>279</v>
      </c>
      <c r="O4" s="184" t="s">
        <v>25</v>
      </c>
      <c r="P4" s="83">
        <f t="shared" ref="P4:P14" ca="1" si="4">COUNTIF(INDIRECT("'"&amp;L4&amp;"'!"&amp;M4),O4)</f>
        <v>2</v>
      </c>
      <c r="Q4" s="82">
        <f t="shared" ref="Q4:Q14" ca="1" si="5">AVERAGEIF(INDIRECT("'"&amp;L4&amp;"'!"&amp;M4),O4,INDIRECT("'"&amp;L4&amp;"'!"&amp;N4))</f>
        <v>25.418831125011501</v>
      </c>
      <c r="R4" s="82">
        <f t="shared" ref="R4:R14" ca="1" si="6">_xlfn.MINIFS(INDIRECT("'"&amp;L4&amp;"'!"&amp;N4),INDIRECT("'"&amp;L4&amp;"'!"&amp;M4),O4)</f>
        <v>10.281935020023001</v>
      </c>
      <c r="S4" s="82">
        <f t="shared" ref="S4:S14" ca="1" si="7">_xlfn.MAXIFS(INDIRECT("'"&amp;L4&amp;"'!"&amp;N4),INDIRECT("'"&amp;L4&amp;"'!"&amp;M4),O4)</f>
        <v>40.555727230000002</v>
      </c>
      <c r="T4" s="83" cm="1">
        <f t="array" aca="1" ref="T4" ca="1">_xlfn.STDEV.P(_xlfn._xlws.FILTER(INDIRECT("'"&amp;L4&amp;"'!"&amp;N4),INDIRECT("'"&amp;L4&amp;"'!"&amp;M4)=O4))</f>
        <v>15.136896104988502</v>
      </c>
    </row>
    <row r="5" spans="1:20" ht="21.6" customHeight="1" x14ac:dyDescent="0.3">
      <c r="A5" s="12" t="s">
        <v>456</v>
      </c>
      <c r="B5" s="115">
        <f t="shared" ca="1" si="0"/>
        <v>25.418831125011501</v>
      </c>
      <c r="C5" s="115">
        <f t="shared" ca="1" si="1"/>
        <v>15.136896104988502</v>
      </c>
      <c r="D5" s="91" t="s">
        <v>275</v>
      </c>
      <c r="F5" s="106"/>
      <c r="G5" s="187"/>
      <c r="H5" s="119">
        <f t="shared" si="2"/>
        <v>0</v>
      </c>
      <c r="I5" s="120">
        <f t="shared" si="3"/>
        <v>0</v>
      </c>
      <c r="L5" s="184" t="s">
        <v>231</v>
      </c>
      <c r="M5" s="184" t="s">
        <v>278</v>
      </c>
      <c r="N5" s="184" t="s">
        <v>279</v>
      </c>
      <c r="O5" s="184" t="s">
        <v>25</v>
      </c>
      <c r="P5" s="83">
        <f t="shared" ca="1" si="4"/>
        <v>2</v>
      </c>
      <c r="Q5" s="82">
        <f t="shared" ca="1" si="5"/>
        <v>25.418831125011501</v>
      </c>
      <c r="R5" s="82">
        <f t="shared" ca="1" si="6"/>
        <v>10.281935020023001</v>
      </c>
      <c r="S5" s="82">
        <f t="shared" ca="1" si="7"/>
        <v>40.555727230000002</v>
      </c>
      <c r="T5" s="83" cm="1">
        <f t="array" aca="1" ref="T5" ca="1">_xlfn.STDEV.P(_xlfn._xlws.FILTER(INDIRECT("'"&amp;L5&amp;"'!"&amp;N5),INDIRECT("'"&amp;L5&amp;"'!"&amp;M5)=O5))</f>
        <v>15.136896104988502</v>
      </c>
    </row>
    <row r="6" spans="1:20" ht="21.6" customHeight="1" x14ac:dyDescent="0.3">
      <c r="A6" s="10" t="s">
        <v>457</v>
      </c>
      <c r="B6" s="115">
        <f t="shared" ca="1" si="0"/>
        <v>25.418831125011501</v>
      </c>
      <c r="C6" s="115">
        <f t="shared" ca="1" si="1"/>
        <v>15.136896104988502</v>
      </c>
      <c r="D6" s="91" t="s">
        <v>275</v>
      </c>
      <c r="F6" s="106"/>
      <c r="G6" s="187"/>
      <c r="H6" s="119">
        <f t="shared" si="2"/>
        <v>0</v>
      </c>
      <c r="I6" s="120">
        <f t="shared" si="3"/>
        <v>0</v>
      </c>
      <c r="L6" s="184" t="s">
        <v>231</v>
      </c>
      <c r="M6" s="184" t="s">
        <v>278</v>
      </c>
      <c r="N6" s="184" t="s">
        <v>279</v>
      </c>
      <c r="O6" s="184" t="s">
        <v>25</v>
      </c>
      <c r="P6" s="83">
        <f t="shared" ca="1" si="4"/>
        <v>2</v>
      </c>
      <c r="Q6" s="82">
        <f t="shared" ca="1" si="5"/>
        <v>25.418831125011501</v>
      </c>
      <c r="R6" s="82">
        <f t="shared" ca="1" si="6"/>
        <v>10.281935020023001</v>
      </c>
      <c r="S6" s="82">
        <f t="shared" ca="1" si="7"/>
        <v>40.555727230000002</v>
      </c>
      <c r="T6" s="83" cm="1">
        <f t="array" aca="1" ref="T6" ca="1">_xlfn.STDEV.P(_xlfn._xlws.FILTER(INDIRECT("'"&amp;L6&amp;"'!"&amp;N6),INDIRECT("'"&amp;L6&amp;"'!"&amp;M6)=O6))</f>
        <v>15.136896104988502</v>
      </c>
    </row>
    <row r="7" spans="1:20" ht="21.6" customHeight="1" x14ac:dyDescent="0.3">
      <c r="A7" s="12" t="s">
        <v>458</v>
      </c>
      <c r="B7" s="115">
        <f t="shared" ca="1" si="0"/>
        <v>25.418831125011501</v>
      </c>
      <c r="C7" s="115">
        <f t="shared" ca="1" si="1"/>
        <v>15.136896104988502</v>
      </c>
      <c r="D7" s="91" t="s">
        <v>275</v>
      </c>
      <c r="F7" s="106"/>
      <c r="G7" s="187"/>
      <c r="H7" s="119">
        <f t="shared" si="2"/>
        <v>0</v>
      </c>
      <c r="I7" s="120">
        <f t="shared" si="3"/>
        <v>0</v>
      </c>
      <c r="L7" s="184" t="s">
        <v>231</v>
      </c>
      <c r="M7" s="184" t="s">
        <v>278</v>
      </c>
      <c r="N7" s="184" t="s">
        <v>279</v>
      </c>
      <c r="O7" s="184" t="s">
        <v>25</v>
      </c>
      <c r="P7" s="83">
        <f t="shared" ca="1" si="4"/>
        <v>2</v>
      </c>
      <c r="Q7" s="82">
        <f t="shared" ca="1" si="5"/>
        <v>25.418831125011501</v>
      </c>
      <c r="R7" s="82">
        <f t="shared" ca="1" si="6"/>
        <v>10.281935020023001</v>
      </c>
      <c r="S7" s="82">
        <f t="shared" ca="1" si="7"/>
        <v>40.555727230000002</v>
      </c>
      <c r="T7" s="83" cm="1">
        <f t="array" aca="1" ref="T7" ca="1">_xlfn.STDEV.P(_xlfn._xlws.FILTER(INDIRECT("'"&amp;L7&amp;"'!"&amp;N7),INDIRECT("'"&amp;L7&amp;"'!"&amp;M7)=O7))</f>
        <v>15.136896104988502</v>
      </c>
    </row>
    <row r="8" spans="1:20" ht="21.6" customHeight="1" x14ac:dyDescent="0.3">
      <c r="A8" s="12" t="s">
        <v>459</v>
      </c>
      <c r="B8" s="115">
        <f t="shared" ca="1" si="0"/>
        <v>25.418831125011501</v>
      </c>
      <c r="C8" s="115">
        <f t="shared" ca="1" si="1"/>
        <v>15.136896104988502</v>
      </c>
      <c r="D8" s="91" t="s">
        <v>275</v>
      </c>
      <c r="G8" s="187"/>
      <c r="H8" s="119">
        <f t="shared" si="2"/>
        <v>0</v>
      </c>
      <c r="I8" s="120">
        <f t="shared" si="3"/>
        <v>0</v>
      </c>
      <c r="L8" s="184" t="s">
        <v>231</v>
      </c>
      <c r="M8" s="184" t="s">
        <v>278</v>
      </c>
      <c r="N8" s="184" t="s">
        <v>279</v>
      </c>
      <c r="O8" s="184" t="s">
        <v>25</v>
      </c>
      <c r="P8" s="83">
        <f t="shared" ca="1" si="4"/>
        <v>2</v>
      </c>
      <c r="Q8" s="82">
        <f t="shared" ca="1" si="5"/>
        <v>25.418831125011501</v>
      </c>
      <c r="R8" s="82">
        <f t="shared" ca="1" si="6"/>
        <v>10.281935020023001</v>
      </c>
      <c r="S8" s="82">
        <f t="shared" ca="1" si="7"/>
        <v>40.555727230000002</v>
      </c>
      <c r="T8" s="83" cm="1">
        <f t="array" aca="1" ref="T8" ca="1">_xlfn.STDEV.P(_xlfn._xlws.FILTER(INDIRECT("'"&amp;L8&amp;"'!"&amp;N8),INDIRECT("'"&amp;L8&amp;"'!"&amp;M8)=O8))</f>
        <v>15.136896104988502</v>
      </c>
    </row>
    <row r="9" spans="1:20" ht="21.6" customHeight="1" x14ac:dyDescent="0.3">
      <c r="A9" s="12" t="s">
        <v>460</v>
      </c>
      <c r="B9" s="115">
        <f t="shared" ca="1" si="0"/>
        <v>25.418831125011501</v>
      </c>
      <c r="C9" s="115">
        <f t="shared" ca="1" si="1"/>
        <v>15.136896104988502</v>
      </c>
      <c r="D9" s="91" t="s">
        <v>275</v>
      </c>
      <c r="F9" s="106"/>
      <c r="G9" s="187"/>
      <c r="H9" s="119">
        <f t="shared" si="2"/>
        <v>0</v>
      </c>
      <c r="I9" s="120">
        <f t="shared" si="3"/>
        <v>0</v>
      </c>
      <c r="L9" s="184" t="s">
        <v>231</v>
      </c>
      <c r="M9" s="184" t="s">
        <v>278</v>
      </c>
      <c r="N9" s="184" t="s">
        <v>279</v>
      </c>
      <c r="O9" s="184" t="s">
        <v>25</v>
      </c>
      <c r="P9" s="83">
        <f t="shared" ca="1" si="4"/>
        <v>2</v>
      </c>
      <c r="Q9" s="82">
        <f t="shared" ca="1" si="5"/>
        <v>25.418831125011501</v>
      </c>
      <c r="R9" s="82">
        <f t="shared" ca="1" si="6"/>
        <v>10.281935020023001</v>
      </c>
      <c r="S9" s="82">
        <f t="shared" ca="1" si="7"/>
        <v>40.555727230000002</v>
      </c>
      <c r="T9" s="83" cm="1">
        <f t="array" aca="1" ref="T9" ca="1">_xlfn.STDEV.P(_xlfn._xlws.FILTER(INDIRECT("'"&amp;L9&amp;"'!"&amp;N9),INDIRECT("'"&amp;L9&amp;"'!"&amp;M9)=O9))</f>
        <v>15.136896104988502</v>
      </c>
    </row>
    <row r="10" spans="1:20" ht="21.6" customHeight="1" x14ac:dyDescent="0.3">
      <c r="A10" s="12" t="s">
        <v>461</v>
      </c>
      <c r="B10" s="115">
        <f t="shared" ca="1" si="0"/>
        <v>25.418831125011501</v>
      </c>
      <c r="C10" s="115">
        <f t="shared" ca="1" si="1"/>
        <v>15.136896104988502</v>
      </c>
      <c r="D10" s="91" t="s">
        <v>275</v>
      </c>
      <c r="F10" s="106"/>
      <c r="G10" s="187"/>
      <c r="H10" s="119">
        <f t="shared" si="2"/>
        <v>0</v>
      </c>
      <c r="I10" s="120">
        <f t="shared" si="3"/>
        <v>0</v>
      </c>
      <c r="L10" s="184" t="s">
        <v>231</v>
      </c>
      <c r="M10" s="184" t="s">
        <v>278</v>
      </c>
      <c r="N10" s="184" t="s">
        <v>279</v>
      </c>
      <c r="O10" s="184" t="s">
        <v>25</v>
      </c>
      <c r="P10" s="83">
        <f t="shared" ca="1" si="4"/>
        <v>2</v>
      </c>
      <c r="Q10" s="82">
        <f t="shared" ca="1" si="5"/>
        <v>25.418831125011501</v>
      </c>
      <c r="R10" s="82">
        <f t="shared" ca="1" si="6"/>
        <v>10.281935020023001</v>
      </c>
      <c r="S10" s="82">
        <f t="shared" ca="1" si="7"/>
        <v>40.555727230000002</v>
      </c>
      <c r="T10" s="83" cm="1">
        <f t="array" aca="1" ref="T10" ca="1">_xlfn.STDEV.P(_xlfn._xlws.FILTER(INDIRECT("'"&amp;L10&amp;"'!"&amp;N10),INDIRECT("'"&amp;L10&amp;"'!"&amp;M10)=O10))</f>
        <v>15.136896104988502</v>
      </c>
    </row>
    <row r="11" spans="1:20" ht="21.6" customHeight="1" x14ac:dyDescent="0.3">
      <c r="A11" s="12" t="s">
        <v>462</v>
      </c>
      <c r="B11" s="115">
        <f t="shared" ca="1" si="0"/>
        <v>25.418831125011501</v>
      </c>
      <c r="C11" s="115">
        <f t="shared" ca="1" si="1"/>
        <v>15.136896104988502</v>
      </c>
      <c r="D11" s="91" t="s">
        <v>275</v>
      </c>
      <c r="F11" s="106"/>
      <c r="G11" s="187"/>
      <c r="H11" s="119">
        <f t="shared" si="2"/>
        <v>0</v>
      </c>
      <c r="I11" s="120">
        <f t="shared" si="3"/>
        <v>0</v>
      </c>
      <c r="L11" s="184" t="s">
        <v>231</v>
      </c>
      <c r="M11" s="184" t="s">
        <v>278</v>
      </c>
      <c r="N11" s="184" t="s">
        <v>279</v>
      </c>
      <c r="O11" s="184" t="s">
        <v>25</v>
      </c>
      <c r="P11" s="83">
        <f t="shared" ca="1" si="4"/>
        <v>2</v>
      </c>
      <c r="Q11" s="82">
        <f t="shared" ca="1" si="5"/>
        <v>25.418831125011501</v>
      </c>
      <c r="R11" s="82">
        <f t="shared" ca="1" si="6"/>
        <v>10.281935020023001</v>
      </c>
      <c r="S11" s="82">
        <f t="shared" ca="1" si="7"/>
        <v>40.555727230000002</v>
      </c>
      <c r="T11" s="83" cm="1">
        <f t="array" aca="1" ref="T11" ca="1">_xlfn.STDEV.P(_xlfn._xlws.FILTER(INDIRECT("'"&amp;L11&amp;"'!"&amp;N11),INDIRECT("'"&amp;L11&amp;"'!"&amp;M11)=O11))</f>
        <v>15.136896104988502</v>
      </c>
    </row>
    <row r="12" spans="1:20" ht="21.6" customHeight="1" x14ac:dyDescent="0.3">
      <c r="A12" s="12" t="s">
        <v>19</v>
      </c>
      <c r="B12" s="115">
        <f t="shared" ca="1" si="0"/>
        <v>25.418831125011501</v>
      </c>
      <c r="C12" s="115">
        <f t="shared" ca="1" si="1"/>
        <v>15.136896104988502</v>
      </c>
      <c r="D12" s="91" t="s">
        <v>275</v>
      </c>
      <c r="F12" s="106"/>
      <c r="G12" s="187"/>
      <c r="H12" s="119">
        <f t="shared" si="2"/>
        <v>0</v>
      </c>
      <c r="I12" s="120">
        <f t="shared" si="3"/>
        <v>0</v>
      </c>
      <c r="K12" s="106"/>
      <c r="L12" s="184" t="s">
        <v>231</v>
      </c>
      <c r="M12" s="184" t="s">
        <v>278</v>
      </c>
      <c r="N12" s="184" t="s">
        <v>279</v>
      </c>
      <c r="O12" s="184" t="s">
        <v>25</v>
      </c>
      <c r="P12" s="83">
        <f t="shared" ca="1" si="4"/>
        <v>2</v>
      </c>
      <c r="Q12" s="82">
        <f t="shared" ca="1" si="5"/>
        <v>25.418831125011501</v>
      </c>
      <c r="R12" s="82">
        <f t="shared" ca="1" si="6"/>
        <v>10.281935020023001</v>
      </c>
      <c r="S12" s="82">
        <f t="shared" ca="1" si="7"/>
        <v>40.555727230000002</v>
      </c>
      <c r="T12" s="83" cm="1">
        <f t="array" aca="1" ref="T12" ca="1">_xlfn.STDEV.P(_xlfn._xlws.FILTER(INDIRECT("'"&amp;L12&amp;"'!"&amp;N12),INDIRECT("'"&amp;L12&amp;"'!"&amp;M12)=O12))</f>
        <v>15.136896104988502</v>
      </c>
    </row>
    <row r="13" spans="1:20" ht="21.6" customHeight="1" x14ac:dyDescent="0.3">
      <c r="A13" s="12" t="s">
        <v>20</v>
      </c>
      <c r="B13" s="115">
        <f t="shared" ca="1" si="0"/>
        <v>25.418831125011501</v>
      </c>
      <c r="C13" s="115">
        <f t="shared" ca="1" si="1"/>
        <v>15.136896104988502</v>
      </c>
      <c r="D13" s="91" t="s">
        <v>275</v>
      </c>
      <c r="F13" s="106"/>
      <c r="G13" s="187"/>
      <c r="H13" s="119">
        <f t="shared" si="2"/>
        <v>0</v>
      </c>
      <c r="I13" s="120">
        <f t="shared" si="3"/>
        <v>0</v>
      </c>
      <c r="L13" s="184" t="s">
        <v>231</v>
      </c>
      <c r="M13" s="184" t="s">
        <v>278</v>
      </c>
      <c r="N13" s="184" t="s">
        <v>279</v>
      </c>
      <c r="O13" s="184" t="s">
        <v>25</v>
      </c>
      <c r="P13" s="83">
        <f t="shared" ca="1" si="4"/>
        <v>2</v>
      </c>
      <c r="Q13" s="82">
        <f t="shared" ca="1" si="5"/>
        <v>25.418831125011501</v>
      </c>
      <c r="R13" s="82">
        <f t="shared" ca="1" si="6"/>
        <v>10.281935020023001</v>
      </c>
      <c r="S13" s="82">
        <f t="shared" ca="1" si="7"/>
        <v>40.555727230000002</v>
      </c>
      <c r="T13" s="83" cm="1">
        <f t="array" aca="1" ref="T13" ca="1">_xlfn.STDEV.P(_xlfn._xlws.FILTER(INDIRECT("'"&amp;L13&amp;"'!"&amp;N13),INDIRECT("'"&amp;L13&amp;"'!"&amp;M13)=O13))</f>
        <v>15.136896104988502</v>
      </c>
    </row>
    <row r="14" spans="1:20" ht="21.6" customHeight="1" thickBot="1" x14ac:dyDescent="0.35">
      <c r="A14" s="14" t="s">
        <v>464</v>
      </c>
      <c r="B14" s="115">
        <f t="shared" ca="1" si="0"/>
        <v>25.418831125011501</v>
      </c>
      <c r="C14" s="115">
        <f t="shared" ca="1" si="1"/>
        <v>15.136896104988502</v>
      </c>
      <c r="D14" s="91" t="s">
        <v>275</v>
      </c>
      <c r="F14" s="106"/>
      <c r="G14" s="188"/>
      <c r="H14" s="121">
        <f t="shared" si="2"/>
        <v>0</v>
      </c>
      <c r="I14" s="122">
        <f t="shared" si="3"/>
        <v>0</v>
      </c>
      <c r="L14" s="184" t="s">
        <v>231</v>
      </c>
      <c r="M14" s="184" t="s">
        <v>278</v>
      </c>
      <c r="N14" s="184" t="s">
        <v>279</v>
      </c>
      <c r="O14" s="184" t="s">
        <v>25</v>
      </c>
      <c r="P14" s="83">
        <f t="shared" ca="1" si="4"/>
        <v>2</v>
      </c>
      <c r="Q14" s="82">
        <f t="shared" ca="1" si="5"/>
        <v>25.418831125011501</v>
      </c>
      <c r="R14" s="82">
        <f t="shared" ca="1" si="6"/>
        <v>10.281935020023001</v>
      </c>
      <c r="S14" s="82">
        <f t="shared" ca="1" si="7"/>
        <v>40.555727230000002</v>
      </c>
      <c r="T14" s="83" cm="1">
        <f t="array" aca="1" ref="T14" ca="1">_xlfn.STDEV.P(_xlfn._xlws.FILTER(INDIRECT("'"&amp;L14&amp;"'!"&amp;N14),INDIRECT("'"&amp;L14&amp;"'!"&amp;M14)=O14))</f>
        <v>15.136896104988502</v>
      </c>
    </row>
    <row r="28" spans="9:9" x14ac:dyDescent="0.3">
      <c r="I28" s="91" t="s">
        <v>545</v>
      </c>
    </row>
  </sheetData>
  <dataValidations count="1">
    <dataValidation type="list" allowBlank="1" showInputMessage="1" showErrorMessage="1" sqref="D3:D14" xr:uid="{FB93A7DB-9FDE-46D8-9669-BBDC84D9B51D}">
      <formula1>"Data,Expert Estimate"</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ED16F-B312-4113-9800-8DC2226766B7}">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6.8" thickBot="1" x14ac:dyDescent="0.35">
      <c r="A2" s="102" t="s">
        <v>317</v>
      </c>
      <c r="B2" s="5" t="s">
        <v>288</v>
      </c>
      <c r="C2" s="5" t="s">
        <v>288</v>
      </c>
      <c r="D2" s="5" t="s">
        <v>245</v>
      </c>
      <c r="F2" s="105" t="s">
        <v>317</v>
      </c>
      <c r="G2" s="5" t="s">
        <v>288</v>
      </c>
      <c r="H2" s="5" t="s">
        <v>288</v>
      </c>
      <c r="I2" s="5" t="s">
        <v>288</v>
      </c>
      <c r="K2" s="108" t="s">
        <v>317</v>
      </c>
      <c r="L2" s="5" t="s">
        <v>7</v>
      </c>
      <c r="M2" s="5"/>
      <c r="N2" s="5"/>
      <c r="O2" s="5"/>
      <c r="P2" s="5" t="s">
        <v>7</v>
      </c>
      <c r="Q2" s="5" t="s">
        <v>288</v>
      </c>
      <c r="R2" s="5" t="s">
        <v>288</v>
      </c>
      <c r="S2" s="5" t="s">
        <v>288</v>
      </c>
      <c r="T2" s="5" t="s">
        <v>288</v>
      </c>
    </row>
    <row r="3" spans="1:20" ht="21.6" customHeight="1" x14ac:dyDescent="0.3">
      <c r="A3" s="7" t="s">
        <v>454</v>
      </c>
      <c r="B3" s="115">
        <f t="shared" ref="B3:B14" si="0">IF(D3="Data",Q3,(G3*3+H3+I3)/5)</f>
        <v>37.400000000000006</v>
      </c>
      <c r="C3" s="115">
        <f t="shared" ref="C3:C14" si="1">IF(D3="Data",T3,(I3-H3)/5)</f>
        <v>1.4960000000000009</v>
      </c>
      <c r="D3" s="91" t="s">
        <v>232</v>
      </c>
      <c r="F3" s="106"/>
      <c r="G3" s="187">
        <v>37.400000000000006</v>
      </c>
      <c r="H3" s="116">
        <f>0.9*G3</f>
        <v>33.660000000000004</v>
      </c>
      <c r="I3" s="117">
        <f>1.1*G3</f>
        <v>41.140000000000008</v>
      </c>
      <c r="K3" s="106"/>
      <c r="L3" s="185" t="s">
        <v>231</v>
      </c>
      <c r="M3" s="184" t="s">
        <v>278</v>
      </c>
      <c r="N3" s="184" t="s">
        <v>279</v>
      </c>
      <c r="O3" s="184" t="s">
        <v>26</v>
      </c>
      <c r="P3" s="83">
        <f ca="1">COUNTIF(INDIRECT("'"&amp;L3&amp;"'!"&amp;M3),O3)</f>
        <v>4</v>
      </c>
      <c r="Q3" s="82">
        <f ca="1">AVERAGEIF(INDIRECT("'"&amp;L3&amp;"'!"&amp;M3),O3,INDIRECT("'"&amp;L3&amp;"'!"&amp;N3))</f>
        <v>40.6011375</v>
      </c>
      <c r="R3" s="82">
        <f ca="1">_xlfn.MINIFS(INDIRECT("'"&amp;L3&amp;"'!"&amp;N3),INDIRECT("'"&amp;L3&amp;"'!"&amp;M3),O3)</f>
        <v>35.354549999999996</v>
      </c>
      <c r="S3" s="82">
        <f ca="1">_xlfn.MAXIFS(INDIRECT("'"&amp;L3&amp;"'!"&amp;N3),INDIRECT("'"&amp;L3&amp;"'!"&amp;M3),O3)</f>
        <v>51.7</v>
      </c>
      <c r="T3" s="83" cm="1">
        <f t="array" aca="1" ref="T3" ca="1">_xlfn.STDEV.P(_xlfn._xlws.FILTER(INDIRECT("'"&amp;L3&amp;"'!"&amp;N3),INDIRECT("'"&amp;L3&amp;"'!"&amp;M3)=O3))</f>
        <v>6.4804945900539899</v>
      </c>
    </row>
    <row r="4" spans="1:20" ht="21.6" customHeight="1" x14ac:dyDescent="0.3">
      <c r="A4" s="10" t="s">
        <v>455</v>
      </c>
      <c r="B4" s="115">
        <f t="shared" si="0"/>
        <v>35.354550000000003</v>
      </c>
      <c r="C4" s="115">
        <f t="shared" si="1"/>
        <v>1.4141820000000009</v>
      </c>
      <c r="D4" s="91" t="s">
        <v>232</v>
      </c>
      <c r="F4" s="106"/>
      <c r="G4" s="187">
        <v>35.354549999999996</v>
      </c>
      <c r="H4" s="119">
        <f t="shared" ref="H4:H14" si="2">0.9*G4</f>
        <v>31.819094999999997</v>
      </c>
      <c r="I4" s="120">
        <f t="shared" ref="I4:I14" si="3">1.1*G4</f>
        <v>38.890005000000002</v>
      </c>
      <c r="L4" s="184" t="s">
        <v>231</v>
      </c>
      <c r="M4" s="184" t="s">
        <v>278</v>
      </c>
      <c r="N4" s="184" t="s">
        <v>279</v>
      </c>
      <c r="O4" s="184" t="s">
        <v>26</v>
      </c>
      <c r="P4" s="83">
        <f t="shared" ref="P4:P14" ca="1" si="4">COUNTIF(INDIRECT("'"&amp;L4&amp;"'!"&amp;M4),O4)</f>
        <v>4</v>
      </c>
      <c r="Q4" s="82">
        <f t="shared" ref="Q4:Q14" ca="1" si="5">AVERAGEIF(INDIRECT("'"&amp;L4&amp;"'!"&amp;M4),O4,INDIRECT("'"&amp;L4&amp;"'!"&amp;N4))</f>
        <v>40.6011375</v>
      </c>
      <c r="R4" s="82">
        <f t="shared" ref="R4:R14" ca="1" si="6">_xlfn.MINIFS(INDIRECT("'"&amp;L4&amp;"'!"&amp;N4),INDIRECT("'"&amp;L4&amp;"'!"&amp;M4),O4)</f>
        <v>35.354549999999996</v>
      </c>
      <c r="S4" s="82">
        <f t="shared" ref="S4:S14" ca="1" si="7">_xlfn.MAXIFS(INDIRECT("'"&amp;L4&amp;"'!"&amp;N4),INDIRECT("'"&amp;L4&amp;"'!"&amp;M4),O4)</f>
        <v>51.7</v>
      </c>
      <c r="T4" s="83" cm="1">
        <f t="array" aca="1" ref="T4" ca="1">_xlfn.STDEV.P(_xlfn._xlws.FILTER(INDIRECT("'"&amp;L4&amp;"'!"&amp;N4),INDIRECT("'"&amp;L4&amp;"'!"&amp;M4)=O4))</f>
        <v>6.4804945900539899</v>
      </c>
    </row>
    <row r="5" spans="1:20" ht="21.6" customHeight="1" x14ac:dyDescent="0.3">
      <c r="A5" s="12" t="s">
        <v>456</v>
      </c>
      <c r="B5" s="115">
        <f t="shared" si="0"/>
        <v>37.950000000000003</v>
      </c>
      <c r="C5" s="115">
        <f t="shared" si="1"/>
        <v>1.5180000000000007</v>
      </c>
      <c r="D5" s="91" t="s">
        <v>232</v>
      </c>
      <c r="F5" s="106"/>
      <c r="G5" s="187">
        <v>37.950000000000003</v>
      </c>
      <c r="H5" s="119">
        <f t="shared" si="2"/>
        <v>34.155000000000001</v>
      </c>
      <c r="I5" s="120">
        <f t="shared" si="3"/>
        <v>41.745000000000005</v>
      </c>
      <c r="L5" s="184" t="s">
        <v>231</v>
      </c>
      <c r="M5" s="184" t="s">
        <v>278</v>
      </c>
      <c r="N5" s="184" t="s">
        <v>279</v>
      </c>
      <c r="O5" s="184" t="s">
        <v>26</v>
      </c>
      <c r="P5" s="83">
        <f t="shared" ca="1" si="4"/>
        <v>4</v>
      </c>
      <c r="Q5" s="82">
        <f t="shared" ca="1" si="5"/>
        <v>40.6011375</v>
      </c>
      <c r="R5" s="82">
        <f t="shared" ca="1" si="6"/>
        <v>35.354549999999996</v>
      </c>
      <c r="S5" s="82">
        <f t="shared" ca="1" si="7"/>
        <v>51.7</v>
      </c>
      <c r="T5" s="83" cm="1">
        <f t="array" aca="1" ref="T5" ca="1">_xlfn.STDEV.P(_xlfn._xlws.FILTER(INDIRECT("'"&amp;L5&amp;"'!"&amp;N5),INDIRECT("'"&amp;L5&amp;"'!"&amp;M5)=O5))</f>
        <v>6.4804945900539899</v>
      </c>
    </row>
    <row r="6" spans="1:20" ht="21.6" customHeight="1" x14ac:dyDescent="0.3">
      <c r="A6" s="10" t="s">
        <v>457</v>
      </c>
      <c r="B6" s="115">
        <f t="shared" si="0"/>
        <v>51.7</v>
      </c>
      <c r="C6" s="115">
        <f t="shared" si="1"/>
        <v>2.0680000000000005</v>
      </c>
      <c r="D6" s="91" t="s">
        <v>232</v>
      </c>
      <c r="F6" s="106"/>
      <c r="G6" s="187">
        <v>51.7</v>
      </c>
      <c r="H6" s="119">
        <f t="shared" si="2"/>
        <v>46.53</v>
      </c>
      <c r="I6" s="120">
        <f t="shared" si="3"/>
        <v>56.870000000000005</v>
      </c>
      <c r="L6" s="184" t="s">
        <v>231</v>
      </c>
      <c r="M6" s="184" t="s">
        <v>278</v>
      </c>
      <c r="N6" s="184" t="s">
        <v>279</v>
      </c>
      <c r="O6" s="184" t="s">
        <v>26</v>
      </c>
      <c r="P6" s="83">
        <f t="shared" ca="1" si="4"/>
        <v>4</v>
      </c>
      <c r="Q6" s="82">
        <f t="shared" ca="1" si="5"/>
        <v>40.6011375</v>
      </c>
      <c r="R6" s="82">
        <f t="shared" ca="1" si="6"/>
        <v>35.354549999999996</v>
      </c>
      <c r="S6" s="82">
        <f t="shared" ca="1" si="7"/>
        <v>51.7</v>
      </c>
      <c r="T6" s="83" cm="1">
        <f t="array" aca="1" ref="T6" ca="1">_xlfn.STDEV.P(_xlfn._xlws.FILTER(INDIRECT("'"&amp;L6&amp;"'!"&amp;N6),INDIRECT("'"&amp;L6&amp;"'!"&amp;M6)=O6))</f>
        <v>6.4804945900539899</v>
      </c>
    </row>
    <row r="7" spans="1:20" ht="21.6" customHeight="1" x14ac:dyDescent="0.3">
      <c r="A7" s="12" t="s">
        <v>458</v>
      </c>
      <c r="B7" s="115">
        <f t="shared" si="0"/>
        <v>67.099999999999994</v>
      </c>
      <c r="C7" s="115">
        <f t="shared" si="1"/>
        <v>2.6840000000000019</v>
      </c>
      <c r="D7" s="91" t="s">
        <v>232</v>
      </c>
      <c r="F7" s="106"/>
      <c r="G7" s="187">
        <v>67.099999999999994</v>
      </c>
      <c r="H7" s="119">
        <f t="shared" si="2"/>
        <v>60.389999999999993</v>
      </c>
      <c r="I7" s="120">
        <f t="shared" si="3"/>
        <v>73.81</v>
      </c>
      <c r="L7" s="184" t="s">
        <v>231</v>
      </c>
      <c r="M7" s="184" t="s">
        <v>278</v>
      </c>
      <c r="N7" s="184" t="s">
        <v>279</v>
      </c>
      <c r="O7" s="184" t="s">
        <v>26</v>
      </c>
      <c r="P7" s="83">
        <f t="shared" ca="1" si="4"/>
        <v>4</v>
      </c>
      <c r="Q7" s="82">
        <f t="shared" ca="1" si="5"/>
        <v>40.6011375</v>
      </c>
      <c r="R7" s="82">
        <f t="shared" ca="1" si="6"/>
        <v>35.354549999999996</v>
      </c>
      <c r="S7" s="82">
        <f t="shared" ca="1" si="7"/>
        <v>51.7</v>
      </c>
      <c r="T7" s="83" cm="1">
        <f t="array" aca="1" ref="T7" ca="1">_xlfn.STDEV.P(_xlfn._xlws.FILTER(INDIRECT("'"&amp;L7&amp;"'!"&amp;N7),INDIRECT("'"&amp;L7&amp;"'!"&amp;M7)=O7))</f>
        <v>6.4804945900539899</v>
      </c>
    </row>
    <row r="8" spans="1:20" ht="21.6" customHeight="1" x14ac:dyDescent="0.3">
      <c r="A8" s="12" t="s">
        <v>459</v>
      </c>
      <c r="B8" s="115">
        <f t="shared" si="0"/>
        <v>67.099999999999994</v>
      </c>
      <c r="C8" s="115">
        <f t="shared" si="1"/>
        <v>2.6840000000000019</v>
      </c>
      <c r="D8" s="91" t="s">
        <v>232</v>
      </c>
      <c r="G8" s="187">
        <v>67.099999999999994</v>
      </c>
      <c r="H8" s="119">
        <f t="shared" si="2"/>
        <v>60.389999999999993</v>
      </c>
      <c r="I8" s="120">
        <f t="shared" si="3"/>
        <v>73.81</v>
      </c>
      <c r="L8" s="184" t="s">
        <v>231</v>
      </c>
      <c r="M8" s="184" t="s">
        <v>278</v>
      </c>
      <c r="N8" s="184" t="s">
        <v>279</v>
      </c>
      <c r="O8" s="184" t="s">
        <v>26</v>
      </c>
      <c r="P8" s="83">
        <f t="shared" ca="1" si="4"/>
        <v>4</v>
      </c>
      <c r="Q8" s="82">
        <f t="shared" ca="1" si="5"/>
        <v>40.6011375</v>
      </c>
      <c r="R8" s="82">
        <f t="shared" ca="1" si="6"/>
        <v>35.354549999999996</v>
      </c>
      <c r="S8" s="82">
        <f t="shared" ca="1" si="7"/>
        <v>51.7</v>
      </c>
      <c r="T8" s="83" cm="1">
        <f t="array" aca="1" ref="T8" ca="1">_xlfn.STDEV.P(_xlfn._xlws.FILTER(INDIRECT("'"&amp;L8&amp;"'!"&amp;N8),INDIRECT("'"&amp;L8&amp;"'!"&amp;M8)=O8))</f>
        <v>6.4804945900539899</v>
      </c>
    </row>
    <row r="9" spans="1:20" ht="21.6" customHeight="1" x14ac:dyDescent="0.3">
      <c r="A9" s="12" t="s">
        <v>460</v>
      </c>
      <c r="B9" s="115">
        <f t="shared" si="0"/>
        <v>67.099999999999994</v>
      </c>
      <c r="C9" s="115">
        <f t="shared" si="1"/>
        <v>2.6840000000000019</v>
      </c>
      <c r="D9" s="91" t="s">
        <v>232</v>
      </c>
      <c r="F9" s="106"/>
      <c r="G9" s="187">
        <v>67.099999999999994</v>
      </c>
      <c r="H9" s="119">
        <f t="shared" si="2"/>
        <v>60.389999999999993</v>
      </c>
      <c r="I9" s="120">
        <f t="shared" si="3"/>
        <v>73.81</v>
      </c>
      <c r="L9" s="184" t="s">
        <v>231</v>
      </c>
      <c r="M9" s="184" t="s">
        <v>278</v>
      </c>
      <c r="N9" s="184" t="s">
        <v>279</v>
      </c>
      <c r="O9" s="184" t="s">
        <v>26</v>
      </c>
      <c r="P9" s="83">
        <f t="shared" ca="1" si="4"/>
        <v>4</v>
      </c>
      <c r="Q9" s="82">
        <f t="shared" ca="1" si="5"/>
        <v>40.6011375</v>
      </c>
      <c r="R9" s="82">
        <f t="shared" ca="1" si="6"/>
        <v>35.354549999999996</v>
      </c>
      <c r="S9" s="82">
        <f t="shared" ca="1" si="7"/>
        <v>51.7</v>
      </c>
      <c r="T9" s="83" cm="1">
        <f t="array" aca="1" ref="T9" ca="1">_xlfn.STDEV.P(_xlfn._xlws.FILTER(INDIRECT("'"&amp;L9&amp;"'!"&amp;N9),INDIRECT("'"&amp;L9&amp;"'!"&amp;M9)=O9))</f>
        <v>6.4804945900539899</v>
      </c>
    </row>
    <row r="10" spans="1:20" ht="21.6" customHeight="1" x14ac:dyDescent="0.3">
      <c r="A10" s="12" t="s">
        <v>461</v>
      </c>
      <c r="B10" s="115">
        <f t="shared" si="0"/>
        <v>0</v>
      </c>
      <c r="C10" s="115">
        <f t="shared" si="1"/>
        <v>0</v>
      </c>
      <c r="D10" s="91" t="s">
        <v>232</v>
      </c>
      <c r="F10" s="106"/>
      <c r="G10" s="187">
        <v>0</v>
      </c>
      <c r="H10" s="119">
        <f t="shared" si="2"/>
        <v>0</v>
      </c>
      <c r="I10" s="120">
        <f t="shared" si="3"/>
        <v>0</v>
      </c>
      <c r="L10" s="184" t="s">
        <v>231</v>
      </c>
      <c r="M10" s="184" t="s">
        <v>278</v>
      </c>
      <c r="N10" s="184" t="s">
        <v>279</v>
      </c>
      <c r="O10" s="184" t="s">
        <v>26</v>
      </c>
      <c r="P10" s="83">
        <f t="shared" ca="1" si="4"/>
        <v>4</v>
      </c>
      <c r="Q10" s="82">
        <f t="shared" ca="1" si="5"/>
        <v>40.6011375</v>
      </c>
      <c r="R10" s="82">
        <f t="shared" ca="1" si="6"/>
        <v>35.354549999999996</v>
      </c>
      <c r="S10" s="82">
        <f t="shared" ca="1" si="7"/>
        <v>51.7</v>
      </c>
      <c r="T10" s="83" cm="1">
        <f t="array" aca="1" ref="T10" ca="1">_xlfn.STDEV.P(_xlfn._xlws.FILTER(INDIRECT("'"&amp;L10&amp;"'!"&amp;N10),INDIRECT("'"&amp;L10&amp;"'!"&amp;M10)=O10))</f>
        <v>6.4804945900539899</v>
      </c>
    </row>
    <row r="11" spans="1:20" ht="21.6" customHeight="1" x14ac:dyDescent="0.3">
      <c r="A11" s="12" t="s">
        <v>462</v>
      </c>
      <c r="B11" s="115">
        <f t="shared" si="0"/>
        <v>67.099999999999994</v>
      </c>
      <c r="C11" s="115">
        <f t="shared" si="1"/>
        <v>2.6840000000000019</v>
      </c>
      <c r="D11" s="91" t="s">
        <v>232</v>
      </c>
      <c r="F11" s="106"/>
      <c r="G11" s="187">
        <v>67.099999999999994</v>
      </c>
      <c r="H11" s="119">
        <f t="shared" si="2"/>
        <v>60.389999999999993</v>
      </c>
      <c r="I11" s="120">
        <f t="shared" si="3"/>
        <v>73.81</v>
      </c>
      <c r="L11" s="184" t="s">
        <v>231</v>
      </c>
      <c r="M11" s="184" t="s">
        <v>278</v>
      </c>
      <c r="N11" s="184" t="s">
        <v>279</v>
      </c>
      <c r="O11" s="184" t="s">
        <v>26</v>
      </c>
      <c r="P11" s="83">
        <f t="shared" ca="1" si="4"/>
        <v>4</v>
      </c>
      <c r="Q11" s="82">
        <f t="shared" ca="1" si="5"/>
        <v>40.6011375</v>
      </c>
      <c r="R11" s="82">
        <f t="shared" ca="1" si="6"/>
        <v>35.354549999999996</v>
      </c>
      <c r="S11" s="82">
        <f t="shared" ca="1" si="7"/>
        <v>51.7</v>
      </c>
      <c r="T11" s="83" cm="1">
        <f t="array" aca="1" ref="T11" ca="1">_xlfn.STDEV.P(_xlfn._xlws.FILTER(INDIRECT("'"&amp;L11&amp;"'!"&amp;N11),INDIRECT("'"&amp;L11&amp;"'!"&amp;M11)=O11))</f>
        <v>6.4804945900539899</v>
      </c>
    </row>
    <row r="12" spans="1:20" ht="21.6" customHeight="1" x14ac:dyDescent="0.3">
      <c r="A12" s="12" t="s">
        <v>19</v>
      </c>
      <c r="B12" s="115">
        <f t="shared" si="0"/>
        <v>67.099999999999994</v>
      </c>
      <c r="C12" s="115">
        <f t="shared" si="1"/>
        <v>2.6840000000000019</v>
      </c>
      <c r="D12" s="91" t="s">
        <v>232</v>
      </c>
      <c r="F12" s="106"/>
      <c r="G12" s="187">
        <v>67.099999999999994</v>
      </c>
      <c r="H12" s="119">
        <f t="shared" si="2"/>
        <v>60.389999999999993</v>
      </c>
      <c r="I12" s="120">
        <f t="shared" si="3"/>
        <v>73.81</v>
      </c>
      <c r="K12" s="106"/>
      <c r="L12" s="184" t="s">
        <v>231</v>
      </c>
      <c r="M12" s="184" t="s">
        <v>278</v>
      </c>
      <c r="N12" s="184" t="s">
        <v>279</v>
      </c>
      <c r="O12" s="184" t="s">
        <v>26</v>
      </c>
      <c r="P12" s="83">
        <f t="shared" ca="1" si="4"/>
        <v>4</v>
      </c>
      <c r="Q12" s="82">
        <f t="shared" ca="1" si="5"/>
        <v>40.6011375</v>
      </c>
      <c r="R12" s="82">
        <f t="shared" ca="1" si="6"/>
        <v>35.354549999999996</v>
      </c>
      <c r="S12" s="82">
        <f t="shared" ca="1" si="7"/>
        <v>51.7</v>
      </c>
      <c r="T12" s="83" cm="1">
        <f t="array" aca="1" ref="T12" ca="1">_xlfn.STDEV.P(_xlfn._xlws.FILTER(INDIRECT("'"&amp;L12&amp;"'!"&amp;N12),INDIRECT("'"&amp;L12&amp;"'!"&amp;M12)=O12))</f>
        <v>6.4804945900539899</v>
      </c>
    </row>
    <row r="13" spans="1:20" ht="21.6" customHeight="1" x14ac:dyDescent="0.3">
      <c r="A13" s="12" t="s">
        <v>20</v>
      </c>
      <c r="B13" s="115">
        <f t="shared" si="0"/>
        <v>67.099999999999994</v>
      </c>
      <c r="C13" s="115">
        <f t="shared" si="1"/>
        <v>2.6840000000000019</v>
      </c>
      <c r="D13" s="91" t="s">
        <v>232</v>
      </c>
      <c r="F13" s="106"/>
      <c r="G13" s="187">
        <v>67.099999999999994</v>
      </c>
      <c r="H13" s="119">
        <f t="shared" si="2"/>
        <v>60.389999999999993</v>
      </c>
      <c r="I13" s="120">
        <f t="shared" si="3"/>
        <v>73.81</v>
      </c>
      <c r="L13" s="184" t="s">
        <v>231</v>
      </c>
      <c r="M13" s="184" t="s">
        <v>278</v>
      </c>
      <c r="N13" s="184" t="s">
        <v>279</v>
      </c>
      <c r="O13" s="184" t="s">
        <v>26</v>
      </c>
      <c r="P13" s="83">
        <f t="shared" ca="1" si="4"/>
        <v>4</v>
      </c>
      <c r="Q13" s="82">
        <f t="shared" ca="1" si="5"/>
        <v>40.6011375</v>
      </c>
      <c r="R13" s="82">
        <f t="shared" ca="1" si="6"/>
        <v>35.354549999999996</v>
      </c>
      <c r="S13" s="82">
        <f t="shared" ca="1" si="7"/>
        <v>51.7</v>
      </c>
      <c r="T13" s="83" cm="1">
        <f t="array" aca="1" ref="T13" ca="1">_xlfn.STDEV.P(_xlfn._xlws.FILTER(INDIRECT("'"&amp;L13&amp;"'!"&amp;N13),INDIRECT("'"&amp;L13&amp;"'!"&amp;M13)=O13))</f>
        <v>6.4804945900539899</v>
      </c>
    </row>
    <row r="14" spans="1:20" ht="21.6" customHeight="1" thickBot="1" x14ac:dyDescent="0.35">
      <c r="A14" s="14" t="s">
        <v>464</v>
      </c>
      <c r="B14" s="115">
        <f t="shared" si="0"/>
        <v>67.099999999999994</v>
      </c>
      <c r="C14" s="115">
        <f t="shared" si="1"/>
        <v>2.6840000000000019</v>
      </c>
      <c r="D14" s="91" t="s">
        <v>232</v>
      </c>
      <c r="F14" s="106"/>
      <c r="G14" s="187">
        <v>67.099999999999994</v>
      </c>
      <c r="H14" s="121">
        <f t="shared" si="2"/>
        <v>60.389999999999993</v>
      </c>
      <c r="I14" s="122">
        <f t="shared" si="3"/>
        <v>73.81</v>
      </c>
      <c r="L14" s="184" t="s">
        <v>231</v>
      </c>
      <c r="M14" s="184" t="s">
        <v>278</v>
      </c>
      <c r="N14" s="184" t="s">
        <v>279</v>
      </c>
      <c r="O14" s="184" t="s">
        <v>26</v>
      </c>
      <c r="P14" s="83">
        <f t="shared" ca="1" si="4"/>
        <v>4</v>
      </c>
      <c r="Q14" s="82">
        <f t="shared" ca="1" si="5"/>
        <v>40.6011375</v>
      </c>
      <c r="R14" s="82">
        <f t="shared" ca="1" si="6"/>
        <v>35.354549999999996</v>
      </c>
      <c r="S14" s="82">
        <f t="shared" ca="1" si="7"/>
        <v>51.7</v>
      </c>
      <c r="T14" s="83" cm="1">
        <f t="array" aca="1" ref="T14" ca="1">_xlfn.STDEV.P(_xlfn._xlws.FILTER(INDIRECT("'"&amp;L14&amp;"'!"&amp;N14),INDIRECT("'"&amp;L14&amp;"'!"&amp;M14)=O14))</f>
        <v>6.4804945900539899</v>
      </c>
    </row>
    <row r="28" spans="9:9" x14ac:dyDescent="0.3">
      <c r="I28" s="91" t="s">
        <v>545</v>
      </c>
    </row>
  </sheetData>
  <dataValidations count="1">
    <dataValidation type="list" allowBlank="1" showInputMessage="1" showErrorMessage="1" sqref="D3:D14" xr:uid="{C1238FD6-FC61-40FB-A996-FC184A167736}">
      <formula1>"Data,Expert Estimate"</formula1>
    </dataValidation>
  </dataValidation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5EA2A-F25D-4E3E-89F5-B7C5B7B03538}">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5" thickBot="1" x14ac:dyDescent="0.35">
      <c r="A2" s="102" t="s">
        <v>317</v>
      </c>
      <c r="B2" s="5" t="s">
        <v>281</v>
      </c>
      <c r="C2" s="5" t="s">
        <v>281</v>
      </c>
      <c r="D2" s="5" t="s">
        <v>245</v>
      </c>
      <c r="F2" s="105" t="s">
        <v>317</v>
      </c>
      <c r="G2" s="5" t="s">
        <v>281</v>
      </c>
      <c r="H2" s="5" t="s">
        <v>281</v>
      </c>
      <c r="I2" s="5" t="s">
        <v>281</v>
      </c>
      <c r="K2" s="108" t="s">
        <v>317</v>
      </c>
      <c r="L2" s="5" t="s">
        <v>7</v>
      </c>
      <c r="M2" s="5"/>
      <c r="N2" s="5"/>
      <c r="O2" s="5"/>
      <c r="P2" s="5" t="s">
        <v>7</v>
      </c>
      <c r="Q2" s="5" t="s">
        <v>281</v>
      </c>
      <c r="R2" s="5" t="s">
        <v>281</v>
      </c>
      <c r="S2" s="5" t="s">
        <v>281</v>
      </c>
      <c r="T2" s="5" t="s">
        <v>281</v>
      </c>
    </row>
    <row r="3" spans="1:20" ht="21.6" customHeight="1" x14ac:dyDescent="0.3">
      <c r="A3" s="7" t="s">
        <v>454</v>
      </c>
      <c r="B3" s="115">
        <f t="shared" ref="B3:B14" si="0">IF(D3="Data",Q3,(G3*3+H3+I3)/5)</f>
        <v>262.69067708333336</v>
      </c>
      <c r="C3" s="115">
        <f t="shared" ref="C3:C14" si="1">IF(D3="Data",T3,(I3-H3)/5)</f>
        <v>10.507627083333336</v>
      </c>
      <c r="D3" s="91" t="s">
        <v>232</v>
      </c>
      <c r="F3" s="106"/>
      <c r="G3" s="187">
        <v>262.69067708333336</v>
      </c>
      <c r="H3" s="116">
        <f>0.9*G3</f>
        <v>236.42160937500003</v>
      </c>
      <c r="I3" s="117">
        <f>1.1*G3</f>
        <v>288.95974479166671</v>
      </c>
      <c r="K3" s="106"/>
      <c r="L3" s="185" t="s">
        <v>231</v>
      </c>
      <c r="M3" s="184" t="s">
        <v>278</v>
      </c>
      <c r="N3" s="184" t="s">
        <v>279</v>
      </c>
      <c r="O3" s="184" t="s">
        <v>225</v>
      </c>
      <c r="P3" s="83">
        <f ca="1">COUNTIF(INDIRECT("'"&amp;L3&amp;"'!"&amp;M3),O3)</f>
        <v>1</v>
      </c>
      <c r="Q3" s="82">
        <f ca="1">AVERAGEIF(INDIRECT("'"&amp;L3&amp;"'!"&amp;M3),O3,INDIRECT("'"&amp;L3&amp;"'!"&amp;N3))</f>
        <v>262.69067708333336</v>
      </c>
      <c r="R3" s="82">
        <f ca="1">_xlfn.MINIFS(INDIRECT("'"&amp;L3&amp;"'!"&amp;N3),INDIRECT("'"&amp;L3&amp;"'!"&amp;M3),O3)</f>
        <v>262.69067708333336</v>
      </c>
      <c r="S3" s="82">
        <f ca="1">_xlfn.MAXIFS(INDIRECT("'"&amp;L3&amp;"'!"&amp;N3),INDIRECT("'"&amp;L3&amp;"'!"&amp;M3),O3)</f>
        <v>262.69067708333336</v>
      </c>
      <c r="T3" s="83" cm="1">
        <f t="array" aca="1" ref="T3" ca="1">_xlfn.STDEV.P(_xlfn._xlws.FILTER(INDIRECT("'"&amp;L3&amp;"'!"&amp;N3),INDIRECT("'"&amp;L3&amp;"'!"&amp;M3)=O3))</f>
        <v>0</v>
      </c>
    </row>
    <row r="4" spans="1:20" ht="21.6" customHeight="1" x14ac:dyDescent="0.3">
      <c r="A4" s="10" t="s">
        <v>455</v>
      </c>
      <c r="B4" s="115">
        <f t="shared" si="0"/>
        <v>262.69067708333336</v>
      </c>
      <c r="C4" s="115">
        <f t="shared" si="1"/>
        <v>10.507627083333336</v>
      </c>
      <c r="D4" s="91" t="s">
        <v>232</v>
      </c>
      <c r="F4" s="106"/>
      <c r="G4" s="187">
        <v>262.69067708333336</v>
      </c>
      <c r="H4" s="119">
        <f t="shared" ref="H4:H14" si="2">0.9*G4</f>
        <v>236.42160937500003</v>
      </c>
      <c r="I4" s="120">
        <f t="shared" ref="I4:I14" si="3">1.1*G4</f>
        <v>288.95974479166671</v>
      </c>
      <c r="L4" s="184" t="s">
        <v>231</v>
      </c>
      <c r="M4" s="184" t="s">
        <v>278</v>
      </c>
      <c r="N4" s="184" t="s">
        <v>279</v>
      </c>
      <c r="O4" s="184" t="s">
        <v>225</v>
      </c>
      <c r="P4" s="83">
        <f t="shared" ref="P4:P14" ca="1" si="4">COUNTIF(INDIRECT("'"&amp;L4&amp;"'!"&amp;M4),O4)</f>
        <v>1</v>
      </c>
      <c r="Q4" s="82">
        <f t="shared" ref="Q4:Q14" ca="1" si="5">AVERAGEIF(INDIRECT("'"&amp;L4&amp;"'!"&amp;M4),O4,INDIRECT("'"&amp;L4&amp;"'!"&amp;N4))</f>
        <v>262.69067708333336</v>
      </c>
      <c r="R4" s="82">
        <f t="shared" ref="R4:R14" ca="1" si="6">_xlfn.MINIFS(INDIRECT("'"&amp;L4&amp;"'!"&amp;N4),INDIRECT("'"&amp;L4&amp;"'!"&amp;M4),O4)</f>
        <v>262.69067708333336</v>
      </c>
      <c r="S4" s="82">
        <f t="shared" ref="S4:S14" ca="1" si="7">_xlfn.MAXIFS(INDIRECT("'"&amp;L4&amp;"'!"&amp;N4),INDIRECT("'"&amp;L4&amp;"'!"&amp;M4),O4)</f>
        <v>262.69067708333336</v>
      </c>
      <c r="T4" s="83" cm="1">
        <f t="array" aca="1" ref="T4" ca="1">_xlfn.STDEV.P(_xlfn._xlws.FILTER(INDIRECT("'"&amp;L4&amp;"'!"&amp;N4),INDIRECT("'"&amp;L4&amp;"'!"&amp;M4)=O4))</f>
        <v>0</v>
      </c>
    </row>
    <row r="5" spans="1:20" ht="21.6" customHeight="1" x14ac:dyDescent="0.3">
      <c r="A5" s="12" t="s">
        <v>456</v>
      </c>
      <c r="B5" s="115">
        <f t="shared" si="0"/>
        <v>262.69067708333336</v>
      </c>
      <c r="C5" s="115">
        <f t="shared" si="1"/>
        <v>10.507627083333336</v>
      </c>
      <c r="D5" s="91" t="s">
        <v>232</v>
      </c>
      <c r="F5" s="106"/>
      <c r="G5" s="187">
        <v>262.69067708333336</v>
      </c>
      <c r="H5" s="119">
        <f t="shared" si="2"/>
        <v>236.42160937500003</v>
      </c>
      <c r="I5" s="120">
        <f t="shared" si="3"/>
        <v>288.95974479166671</v>
      </c>
      <c r="L5" s="184" t="s">
        <v>231</v>
      </c>
      <c r="M5" s="184" t="s">
        <v>278</v>
      </c>
      <c r="N5" s="184" t="s">
        <v>279</v>
      </c>
      <c r="O5" s="184" t="s">
        <v>225</v>
      </c>
      <c r="P5" s="83">
        <f t="shared" ca="1" si="4"/>
        <v>1</v>
      </c>
      <c r="Q5" s="82">
        <f t="shared" ca="1" si="5"/>
        <v>262.69067708333336</v>
      </c>
      <c r="R5" s="82">
        <f t="shared" ca="1" si="6"/>
        <v>262.69067708333336</v>
      </c>
      <c r="S5" s="82">
        <f t="shared" ca="1" si="7"/>
        <v>262.69067708333336</v>
      </c>
      <c r="T5" s="83" cm="1">
        <f t="array" aca="1" ref="T5" ca="1">_xlfn.STDEV.P(_xlfn._xlws.FILTER(INDIRECT("'"&amp;L5&amp;"'!"&amp;N5),INDIRECT("'"&amp;L5&amp;"'!"&amp;M5)=O5))</f>
        <v>0</v>
      </c>
    </row>
    <row r="6" spans="1:20" ht="21.6" customHeight="1" x14ac:dyDescent="0.3">
      <c r="A6" s="10" t="s">
        <v>457</v>
      </c>
      <c r="B6" s="115">
        <f t="shared" si="0"/>
        <v>262.69067708333336</v>
      </c>
      <c r="C6" s="115">
        <f t="shared" si="1"/>
        <v>10.507627083333336</v>
      </c>
      <c r="D6" s="91" t="s">
        <v>232</v>
      </c>
      <c r="F6" s="106"/>
      <c r="G6" s="187">
        <v>262.69067708333336</v>
      </c>
      <c r="H6" s="119">
        <f t="shared" si="2"/>
        <v>236.42160937500003</v>
      </c>
      <c r="I6" s="120">
        <f t="shared" si="3"/>
        <v>288.95974479166671</v>
      </c>
      <c r="L6" s="184" t="s">
        <v>231</v>
      </c>
      <c r="M6" s="184" t="s">
        <v>278</v>
      </c>
      <c r="N6" s="184" t="s">
        <v>279</v>
      </c>
      <c r="O6" s="184" t="s">
        <v>225</v>
      </c>
      <c r="P6" s="83">
        <f t="shared" ca="1" si="4"/>
        <v>1</v>
      </c>
      <c r="Q6" s="82">
        <f t="shared" ca="1" si="5"/>
        <v>262.69067708333336</v>
      </c>
      <c r="R6" s="82">
        <f t="shared" ca="1" si="6"/>
        <v>262.69067708333336</v>
      </c>
      <c r="S6" s="82">
        <f t="shared" ca="1" si="7"/>
        <v>262.69067708333336</v>
      </c>
      <c r="T6" s="83" cm="1">
        <f t="array" aca="1" ref="T6" ca="1">_xlfn.STDEV.P(_xlfn._xlws.FILTER(INDIRECT("'"&amp;L6&amp;"'!"&amp;N6),INDIRECT("'"&amp;L6&amp;"'!"&amp;M6)=O6))</f>
        <v>0</v>
      </c>
    </row>
    <row r="7" spans="1:20" ht="21.6" customHeight="1" x14ac:dyDescent="0.3">
      <c r="A7" s="12" t="s">
        <v>458</v>
      </c>
      <c r="B7" s="115">
        <f t="shared" si="0"/>
        <v>262.69067708333336</v>
      </c>
      <c r="C7" s="115">
        <f t="shared" si="1"/>
        <v>10.507627083333336</v>
      </c>
      <c r="D7" s="91" t="s">
        <v>232</v>
      </c>
      <c r="F7" s="106"/>
      <c r="G7" s="187">
        <v>262.69067708333336</v>
      </c>
      <c r="H7" s="119">
        <f t="shared" si="2"/>
        <v>236.42160937500003</v>
      </c>
      <c r="I7" s="120">
        <f t="shared" si="3"/>
        <v>288.95974479166671</v>
      </c>
      <c r="L7" s="184" t="s">
        <v>231</v>
      </c>
      <c r="M7" s="184" t="s">
        <v>278</v>
      </c>
      <c r="N7" s="184" t="s">
        <v>279</v>
      </c>
      <c r="O7" s="184" t="s">
        <v>225</v>
      </c>
      <c r="P7" s="83">
        <f t="shared" ca="1" si="4"/>
        <v>1</v>
      </c>
      <c r="Q7" s="82">
        <f t="shared" ca="1" si="5"/>
        <v>262.69067708333336</v>
      </c>
      <c r="R7" s="82">
        <f t="shared" ca="1" si="6"/>
        <v>262.69067708333336</v>
      </c>
      <c r="S7" s="82">
        <f t="shared" ca="1" si="7"/>
        <v>262.69067708333336</v>
      </c>
      <c r="T7" s="83" cm="1">
        <f t="array" aca="1" ref="T7" ca="1">_xlfn.STDEV.P(_xlfn._xlws.FILTER(INDIRECT("'"&amp;L7&amp;"'!"&amp;N7),INDIRECT("'"&amp;L7&amp;"'!"&amp;M7)=O7))</f>
        <v>0</v>
      </c>
    </row>
    <row r="8" spans="1:20" ht="21.6" customHeight="1" x14ac:dyDescent="0.3">
      <c r="A8" s="12" t="s">
        <v>459</v>
      </c>
      <c r="B8" s="115">
        <f t="shared" si="0"/>
        <v>262.69067708333336</v>
      </c>
      <c r="C8" s="115">
        <f t="shared" si="1"/>
        <v>10.507627083333336</v>
      </c>
      <c r="D8" s="91" t="s">
        <v>232</v>
      </c>
      <c r="G8" s="187">
        <v>262.69067708333336</v>
      </c>
      <c r="H8" s="119">
        <f t="shared" si="2"/>
        <v>236.42160937500003</v>
      </c>
      <c r="I8" s="120">
        <f t="shared" si="3"/>
        <v>288.95974479166671</v>
      </c>
      <c r="L8" s="184" t="s">
        <v>231</v>
      </c>
      <c r="M8" s="184" t="s">
        <v>278</v>
      </c>
      <c r="N8" s="184" t="s">
        <v>279</v>
      </c>
      <c r="O8" s="184" t="s">
        <v>225</v>
      </c>
      <c r="P8" s="83">
        <f t="shared" ca="1" si="4"/>
        <v>1</v>
      </c>
      <c r="Q8" s="82">
        <f t="shared" ca="1" si="5"/>
        <v>262.69067708333336</v>
      </c>
      <c r="R8" s="82">
        <f t="shared" ca="1" si="6"/>
        <v>262.69067708333336</v>
      </c>
      <c r="S8" s="82">
        <f t="shared" ca="1" si="7"/>
        <v>262.69067708333336</v>
      </c>
      <c r="T8" s="83" cm="1">
        <f t="array" aca="1" ref="T8" ca="1">_xlfn.STDEV.P(_xlfn._xlws.FILTER(INDIRECT("'"&amp;L8&amp;"'!"&amp;N8),INDIRECT("'"&amp;L8&amp;"'!"&amp;M8)=O8))</f>
        <v>0</v>
      </c>
    </row>
    <row r="9" spans="1:20" ht="21.6" customHeight="1" x14ac:dyDescent="0.3">
      <c r="A9" s="12" t="s">
        <v>460</v>
      </c>
      <c r="B9" s="115">
        <f t="shared" si="0"/>
        <v>262.69067708333336</v>
      </c>
      <c r="C9" s="115">
        <f t="shared" si="1"/>
        <v>10.507627083333336</v>
      </c>
      <c r="D9" s="91" t="s">
        <v>232</v>
      </c>
      <c r="F9" s="106"/>
      <c r="G9" s="187">
        <v>262.69067708333336</v>
      </c>
      <c r="H9" s="119">
        <f t="shared" si="2"/>
        <v>236.42160937500003</v>
      </c>
      <c r="I9" s="120">
        <f t="shared" si="3"/>
        <v>288.95974479166671</v>
      </c>
      <c r="L9" s="184" t="s">
        <v>231</v>
      </c>
      <c r="M9" s="184" t="s">
        <v>278</v>
      </c>
      <c r="N9" s="184" t="s">
        <v>279</v>
      </c>
      <c r="O9" s="184" t="s">
        <v>225</v>
      </c>
      <c r="P9" s="83">
        <f t="shared" ca="1" si="4"/>
        <v>1</v>
      </c>
      <c r="Q9" s="82">
        <f t="shared" ca="1" si="5"/>
        <v>262.69067708333336</v>
      </c>
      <c r="R9" s="82">
        <f t="shared" ca="1" si="6"/>
        <v>262.69067708333336</v>
      </c>
      <c r="S9" s="82">
        <f t="shared" ca="1" si="7"/>
        <v>262.69067708333336</v>
      </c>
      <c r="T9" s="83" cm="1">
        <f t="array" aca="1" ref="T9" ca="1">_xlfn.STDEV.P(_xlfn._xlws.FILTER(INDIRECT("'"&amp;L9&amp;"'!"&amp;N9),INDIRECT("'"&amp;L9&amp;"'!"&amp;M9)=O9))</f>
        <v>0</v>
      </c>
    </row>
    <row r="10" spans="1:20" ht="21.6" customHeight="1" x14ac:dyDescent="0.3">
      <c r="A10" s="12" t="s">
        <v>461</v>
      </c>
      <c r="B10" s="115">
        <f t="shared" si="0"/>
        <v>262.69067708333336</v>
      </c>
      <c r="C10" s="115">
        <f t="shared" si="1"/>
        <v>10.507627083333336</v>
      </c>
      <c r="D10" s="91" t="s">
        <v>232</v>
      </c>
      <c r="F10" s="106"/>
      <c r="G10" s="187">
        <v>262.69067708333336</v>
      </c>
      <c r="H10" s="119">
        <f t="shared" si="2"/>
        <v>236.42160937500003</v>
      </c>
      <c r="I10" s="120">
        <f t="shared" si="3"/>
        <v>288.95974479166671</v>
      </c>
      <c r="L10" s="184" t="s">
        <v>231</v>
      </c>
      <c r="M10" s="184" t="s">
        <v>278</v>
      </c>
      <c r="N10" s="184" t="s">
        <v>279</v>
      </c>
      <c r="O10" s="184" t="s">
        <v>225</v>
      </c>
      <c r="P10" s="83">
        <f t="shared" ca="1" si="4"/>
        <v>1</v>
      </c>
      <c r="Q10" s="82">
        <f t="shared" ca="1" si="5"/>
        <v>262.69067708333336</v>
      </c>
      <c r="R10" s="82">
        <f t="shared" ca="1" si="6"/>
        <v>262.69067708333336</v>
      </c>
      <c r="S10" s="82">
        <f t="shared" ca="1" si="7"/>
        <v>262.69067708333336</v>
      </c>
      <c r="T10" s="83" cm="1">
        <f t="array" aca="1" ref="T10" ca="1">_xlfn.STDEV.P(_xlfn._xlws.FILTER(INDIRECT("'"&amp;L10&amp;"'!"&amp;N10),INDIRECT("'"&amp;L10&amp;"'!"&amp;M10)=O10))</f>
        <v>0</v>
      </c>
    </row>
    <row r="11" spans="1:20" ht="21.6" customHeight="1" x14ac:dyDescent="0.3">
      <c r="A11" s="12" t="s">
        <v>462</v>
      </c>
      <c r="B11" s="115">
        <f t="shared" si="0"/>
        <v>262.69067708333336</v>
      </c>
      <c r="C11" s="115">
        <f t="shared" si="1"/>
        <v>10.507627083333336</v>
      </c>
      <c r="D11" s="91" t="s">
        <v>232</v>
      </c>
      <c r="F11" s="106"/>
      <c r="G11" s="187">
        <v>262.69067708333336</v>
      </c>
      <c r="H11" s="119">
        <f t="shared" si="2"/>
        <v>236.42160937500003</v>
      </c>
      <c r="I11" s="120">
        <f t="shared" si="3"/>
        <v>288.95974479166671</v>
      </c>
      <c r="L11" s="184" t="s">
        <v>231</v>
      </c>
      <c r="M11" s="184" t="s">
        <v>278</v>
      </c>
      <c r="N11" s="184" t="s">
        <v>279</v>
      </c>
      <c r="O11" s="184" t="s">
        <v>225</v>
      </c>
      <c r="P11" s="83">
        <f t="shared" ca="1" si="4"/>
        <v>1</v>
      </c>
      <c r="Q11" s="82">
        <f t="shared" ca="1" si="5"/>
        <v>262.69067708333336</v>
      </c>
      <c r="R11" s="82">
        <f t="shared" ca="1" si="6"/>
        <v>262.69067708333336</v>
      </c>
      <c r="S11" s="82">
        <f t="shared" ca="1" si="7"/>
        <v>262.69067708333336</v>
      </c>
      <c r="T11" s="83" cm="1">
        <f t="array" aca="1" ref="T11" ca="1">_xlfn.STDEV.P(_xlfn._xlws.FILTER(INDIRECT("'"&amp;L11&amp;"'!"&amp;N11),INDIRECT("'"&amp;L11&amp;"'!"&amp;M11)=O11))</f>
        <v>0</v>
      </c>
    </row>
    <row r="12" spans="1:20" ht="21.6" customHeight="1" x14ac:dyDescent="0.3">
      <c r="A12" s="12" t="s">
        <v>19</v>
      </c>
      <c r="B12" s="115">
        <f t="shared" si="0"/>
        <v>262.69067708333336</v>
      </c>
      <c r="C12" s="115">
        <f t="shared" si="1"/>
        <v>10.507627083333336</v>
      </c>
      <c r="D12" s="91" t="s">
        <v>232</v>
      </c>
      <c r="F12" s="106"/>
      <c r="G12" s="187">
        <v>262.69067708333336</v>
      </c>
      <c r="H12" s="119">
        <f t="shared" si="2"/>
        <v>236.42160937500003</v>
      </c>
      <c r="I12" s="120">
        <f t="shared" si="3"/>
        <v>288.95974479166671</v>
      </c>
      <c r="K12" s="106"/>
      <c r="L12" s="184" t="s">
        <v>231</v>
      </c>
      <c r="M12" s="184" t="s">
        <v>278</v>
      </c>
      <c r="N12" s="184" t="s">
        <v>279</v>
      </c>
      <c r="O12" s="184" t="s">
        <v>225</v>
      </c>
      <c r="P12" s="83">
        <f t="shared" ca="1" si="4"/>
        <v>1</v>
      </c>
      <c r="Q12" s="82">
        <f t="shared" ca="1" si="5"/>
        <v>262.69067708333336</v>
      </c>
      <c r="R12" s="82">
        <f t="shared" ca="1" si="6"/>
        <v>262.69067708333336</v>
      </c>
      <c r="S12" s="82">
        <f t="shared" ca="1" si="7"/>
        <v>262.69067708333336</v>
      </c>
      <c r="T12" s="83" cm="1">
        <f t="array" aca="1" ref="T12" ca="1">_xlfn.STDEV.P(_xlfn._xlws.FILTER(INDIRECT("'"&amp;L12&amp;"'!"&amp;N12),INDIRECT("'"&amp;L12&amp;"'!"&amp;M12)=O12))</f>
        <v>0</v>
      </c>
    </row>
    <row r="13" spans="1:20" ht="21.6" customHeight="1" x14ac:dyDescent="0.3">
      <c r="A13" s="12" t="s">
        <v>20</v>
      </c>
      <c r="B13" s="115">
        <f t="shared" si="0"/>
        <v>262.69067708333336</v>
      </c>
      <c r="C13" s="115">
        <f t="shared" si="1"/>
        <v>10.507627083333336</v>
      </c>
      <c r="D13" s="91" t="s">
        <v>232</v>
      </c>
      <c r="F13" s="106"/>
      <c r="G13" s="187">
        <v>262.69067708333336</v>
      </c>
      <c r="H13" s="119">
        <f t="shared" si="2"/>
        <v>236.42160937500003</v>
      </c>
      <c r="I13" s="120">
        <f t="shared" si="3"/>
        <v>288.95974479166671</v>
      </c>
      <c r="L13" s="184" t="s">
        <v>231</v>
      </c>
      <c r="M13" s="184" t="s">
        <v>278</v>
      </c>
      <c r="N13" s="184" t="s">
        <v>279</v>
      </c>
      <c r="O13" s="184" t="s">
        <v>225</v>
      </c>
      <c r="P13" s="83">
        <f t="shared" ca="1" si="4"/>
        <v>1</v>
      </c>
      <c r="Q13" s="82">
        <f t="shared" ca="1" si="5"/>
        <v>262.69067708333336</v>
      </c>
      <c r="R13" s="82">
        <f t="shared" ca="1" si="6"/>
        <v>262.69067708333336</v>
      </c>
      <c r="S13" s="82">
        <f t="shared" ca="1" si="7"/>
        <v>262.69067708333336</v>
      </c>
      <c r="T13" s="83" cm="1">
        <f t="array" aca="1" ref="T13" ca="1">_xlfn.STDEV.P(_xlfn._xlws.FILTER(INDIRECT("'"&amp;L13&amp;"'!"&amp;N13),INDIRECT("'"&amp;L13&amp;"'!"&amp;M13)=O13))</f>
        <v>0</v>
      </c>
    </row>
    <row r="14" spans="1:20" ht="21.6" customHeight="1" thickBot="1" x14ac:dyDescent="0.35">
      <c r="A14" s="14" t="s">
        <v>464</v>
      </c>
      <c r="B14" s="115">
        <f t="shared" si="0"/>
        <v>262.69067708333336</v>
      </c>
      <c r="C14" s="115">
        <f t="shared" si="1"/>
        <v>10.507627083333336</v>
      </c>
      <c r="D14" s="91" t="s">
        <v>232</v>
      </c>
      <c r="F14" s="106"/>
      <c r="G14" s="187">
        <v>262.69067708333336</v>
      </c>
      <c r="H14" s="121">
        <f t="shared" si="2"/>
        <v>236.42160937500003</v>
      </c>
      <c r="I14" s="122">
        <f t="shared" si="3"/>
        <v>288.95974479166671</v>
      </c>
      <c r="L14" s="184" t="s">
        <v>231</v>
      </c>
      <c r="M14" s="184" t="s">
        <v>278</v>
      </c>
      <c r="N14" s="184" t="s">
        <v>279</v>
      </c>
      <c r="O14" s="184" t="s">
        <v>225</v>
      </c>
      <c r="P14" s="83">
        <f t="shared" ca="1" si="4"/>
        <v>1</v>
      </c>
      <c r="Q14" s="82">
        <f t="shared" ca="1" si="5"/>
        <v>262.69067708333336</v>
      </c>
      <c r="R14" s="82">
        <f t="shared" ca="1" si="6"/>
        <v>262.69067708333336</v>
      </c>
      <c r="S14" s="82">
        <f t="shared" ca="1" si="7"/>
        <v>262.69067708333336</v>
      </c>
      <c r="T14" s="83" cm="1">
        <f t="array" aca="1" ref="T14" ca="1">_xlfn.STDEV.P(_xlfn._xlws.FILTER(INDIRECT("'"&amp;L14&amp;"'!"&amp;N14),INDIRECT("'"&amp;L14&amp;"'!"&amp;M14)=O14))</f>
        <v>0</v>
      </c>
    </row>
    <row r="28" spans="9:9" x14ac:dyDescent="0.3">
      <c r="I28" s="91" t="s">
        <v>545</v>
      </c>
    </row>
  </sheetData>
  <dataValidations count="1">
    <dataValidation type="list" allowBlank="1" showInputMessage="1" showErrorMessage="1" sqref="D3:D14" xr:uid="{C8E0E4D0-CF86-423F-A844-C6DE9CB2C1DD}">
      <formula1>"Data,Expert Estimate"</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5D7E3-BD4D-4543-9994-80EBA5D04ADA}">
  <sheetPr>
    <tabColor rgb="FFF4F1EF"/>
  </sheetPr>
  <dimension ref="A1:T28"/>
  <sheetViews>
    <sheetView workbookViewId="0">
      <selection activeCell="F18" sqref="F18"/>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5" thickBot="1" x14ac:dyDescent="0.35">
      <c r="A2" s="102" t="s">
        <v>317</v>
      </c>
      <c r="B2" s="5" t="s">
        <v>281</v>
      </c>
      <c r="C2" s="5" t="s">
        <v>281</v>
      </c>
      <c r="D2" s="5" t="s">
        <v>245</v>
      </c>
      <c r="F2" s="105" t="s">
        <v>317</v>
      </c>
      <c r="G2" s="5" t="s">
        <v>281</v>
      </c>
      <c r="H2" s="5" t="s">
        <v>281</v>
      </c>
      <c r="I2" s="5" t="s">
        <v>281</v>
      </c>
      <c r="K2" s="108" t="s">
        <v>317</v>
      </c>
      <c r="L2" s="5" t="s">
        <v>7</v>
      </c>
      <c r="M2" s="5"/>
      <c r="N2" s="5"/>
      <c r="O2" s="5"/>
      <c r="P2" s="5" t="s">
        <v>7</v>
      </c>
      <c r="Q2" s="5" t="s">
        <v>281</v>
      </c>
      <c r="R2" s="5" t="s">
        <v>281</v>
      </c>
      <c r="S2" s="5" t="s">
        <v>281</v>
      </c>
      <c r="T2" s="5" t="s">
        <v>281</v>
      </c>
    </row>
    <row r="3" spans="1:20" ht="21.6" customHeight="1" x14ac:dyDescent="0.3">
      <c r="A3" s="7" t="s">
        <v>454</v>
      </c>
      <c r="B3" s="115">
        <f t="shared" ref="B3:B14" si="0">IF(D3="Data",Q3,(G3*3+H3+I3)/5)</f>
        <v>948.33488238333337</v>
      </c>
      <c r="C3" s="115">
        <f t="shared" ref="C3:C14" si="1">IF(D3="Data",T3,(I3-H3)/5)</f>
        <v>37.933395295333341</v>
      </c>
      <c r="D3" s="91" t="s">
        <v>232</v>
      </c>
      <c r="F3" s="106"/>
      <c r="G3" s="187">
        <v>948.33488238333337</v>
      </c>
      <c r="H3" s="116">
        <f>0.9*G3</f>
        <v>853.50139414500006</v>
      </c>
      <c r="I3" s="117">
        <f>1.1*G3</f>
        <v>1043.1683706216668</v>
      </c>
      <c r="K3" s="106"/>
      <c r="L3" s="185" t="s">
        <v>231</v>
      </c>
      <c r="M3" s="184" t="s">
        <v>278</v>
      </c>
      <c r="N3" s="184" t="s">
        <v>279</v>
      </c>
      <c r="O3" s="184" t="s">
        <v>306</v>
      </c>
      <c r="P3" s="83">
        <f ca="1">COUNTIF(INDIRECT("'"&amp;L3&amp;"'!"&amp;M3),O3)</f>
        <v>1</v>
      </c>
      <c r="Q3" s="82">
        <f ca="1">AVERAGEIF(INDIRECT("'"&amp;L3&amp;"'!"&amp;M3),O3,INDIRECT("'"&amp;L3&amp;"'!"&amp;N3))</f>
        <v>948.33488238333337</v>
      </c>
      <c r="R3" s="82">
        <f ca="1">_xlfn.MINIFS(INDIRECT("'"&amp;L3&amp;"'!"&amp;N3),INDIRECT("'"&amp;L3&amp;"'!"&amp;M3),O3)</f>
        <v>948.33488238333337</v>
      </c>
      <c r="S3" s="82">
        <f ca="1">_xlfn.MAXIFS(INDIRECT("'"&amp;L3&amp;"'!"&amp;N3),INDIRECT("'"&amp;L3&amp;"'!"&amp;M3),O3)</f>
        <v>948.33488238333337</v>
      </c>
      <c r="T3" s="83" cm="1">
        <f t="array" aca="1" ref="T3" ca="1">_xlfn.STDEV.P(_xlfn._xlws.FILTER(INDIRECT("'"&amp;L3&amp;"'!"&amp;N3),INDIRECT("'"&amp;L3&amp;"'!"&amp;M3)=O3))</f>
        <v>0</v>
      </c>
    </row>
    <row r="4" spans="1:20" ht="21.6" customHeight="1" x14ac:dyDescent="0.3">
      <c r="A4" s="10" t="s">
        <v>455</v>
      </c>
      <c r="B4" s="115">
        <f t="shared" si="0"/>
        <v>948.33488238333337</v>
      </c>
      <c r="C4" s="115">
        <f t="shared" si="1"/>
        <v>37.933395295333341</v>
      </c>
      <c r="D4" s="91" t="s">
        <v>232</v>
      </c>
      <c r="F4" s="106"/>
      <c r="G4" s="187">
        <v>948.33488238333337</v>
      </c>
      <c r="H4" s="119">
        <f t="shared" ref="H4:H14" si="2">0.9*G4</f>
        <v>853.50139414500006</v>
      </c>
      <c r="I4" s="120">
        <f t="shared" ref="I4:I14" si="3">1.1*G4</f>
        <v>1043.1683706216668</v>
      </c>
      <c r="L4" s="184" t="s">
        <v>231</v>
      </c>
      <c r="M4" s="184" t="s">
        <v>278</v>
      </c>
      <c r="N4" s="184" t="s">
        <v>279</v>
      </c>
      <c r="O4" s="184" t="s">
        <v>306</v>
      </c>
      <c r="P4" s="83">
        <f t="shared" ref="P4:P14" ca="1" si="4">COUNTIF(INDIRECT("'"&amp;L4&amp;"'!"&amp;M4),O4)</f>
        <v>1</v>
      </c>
      <c r="Q4" s="82">
        <f t="shared" ref="Q4:Q14" ca="1" si="5">AVERAGEIF(INDIRECT("'"&amp;L4&amp;"'!"&amp;M4),O4,INDIRECT("'"&amp;L4&amp;"'!"&amp;N4))</f>
        <v>948.33488238333337</v>
      </c>
      <c r="R4" s="82">
        <f t="shared" ref="R4:R14" ca="1" si="6">_xlfn.MINIFS(INDIRECT("'"&amp;L4&amp;"'!"&amp;N4),INDIRECT("'"&amp;L4&amp;"'!"&amp;M4),O4)</f>
        <v>948.33488238333337</v>
      </c>
      <c r="S4" s="82">
        <f t="shared" ref="S4:S14" ca="1" si="7">_xlfn.MAXIFS(INDIRECT("'"&amp;L4&amp;"'!"&amp;N4),INDIRECT("'"&amp;L4&amp;"'!"&amp;M4),O4)</f>
        <v>948.33488238333337</v>
      </c>
      <c r="T4" s="83" cm="1">
        <f t="array" aca="1" ref="T4" ca="1">_xlfn.STDEV.P(_xlfn._xlws.FILTER(INDIRECT("'"&amp;L4&amp;"'!"&amp;N4),INDIRECT("'"&amp;L4&amp;"'!"&amp;M4)=O4))</f>
        <v>0</v>
      </c>
    </row>
    <row r="5" spans="1:20" ht="21.6" customHeight="1" x14ac:dyDescent="0.3">
      <c r="A5" s="12" t="s">
        <v>456</v>
      </c>
      <c r="B5" s="115">
        <f t="shared" si="0"/>
        <v>948.33488238333337</v>
      </c>
      <c r="C5" s="115">
        <f t="shared" si="1"/>
        <v>37.933395295333341</v>
      </c>
      <c r="D5" s="91" t="s">
        <v>232</v>
      </c>
      <c r="F5" s="106"/>
      <c r="G5" s="187">
        <v>948.33488238333337</v>
      </c>
      <c r="H5" s="119">
        <f t="shared" si="2"/>
        <v>853.50139414500006</v>
      </c>
      <c r="I5" s="120">
        <f t="shared" si="3"/>
        <v>1043.1683706216668</v>
      </c>
      <c r="L5" s="184" t="s">
        <v>231</v>
      </c>
      <c r="M5" s="184" t="s">
        <v>278</v>
      </c>
      <c r="N5" s="184" t="s">
        <v>279</v>
      </c>
      <c r="O5" s="184" t="s">
        <v>306</v>
      </c>
      <c r="P5" s="83">
        <f t="shared" ca="1" si="4"/>
        <v>1</v>
      </c>
      <c r="Q5" s="82">
        <f t="shared" ca="1" si="5"/>
        <v>948.33488238333337</v>
      </c>
      <c r="R5" s="82">
        <f t="shared" ca="1" si="6"/>
        <v>948.33488238333337</v>
      </c>
      <c r="S5" s="82">
        <f t="shared" ca="1" si="7"/>
        <v>948.33488238333337</v>
      </c>
      <c r="T5" s="83" cm="1">
        <f t="array" aca="1" ref="T5" ca="1">_xlfn.STDEV.P(_xlfn._xlws.FILTER(INDIRECT("'"&amp;L5&amp;"'!"&amp;N5),INDIRECT("'"&amp;L5&amp;"'!"&amp;M5)=O5))</f>
        <v>0</v>
      </c>
    </row>
    <row r="6" spans="1:20" ht="21.6" customHeight="1" x14ac:dyDescent="0.3">
      <c r="A6" s="10" t="s">
        <v>457</v>
      </c>
      <c r="B6" s="115">
        <f t="shared" si="0"/>
        <v>948.33488238333337</v>
      </c>
      <c r="C6" s="115">
        <f t="shared" si="1"/>
        <v>37.933395295333341</v>
      </c>
      <c r="D6" s="91" t="s">
        <v>232</v>
      </c>
      <c r="F6" s="106"/>
      <c r="G6" s="187">
        <v>948.33488238333337</v>
      </c>
      <c r="H6" s="119">
        <f t="shared" si="2"/>
        <v>853.50139414500006</v>
      </c>
      <c r="I6" s="120">
        <f t="shared" si="3"/>
        <v>1043.1683706216668</v>
      </c>
      <c r="L6" s="184" t="s">
        <v>231</v>
      </c>
      <c r="M6" s="184" t="s">
        <v>278</v>
      </c>
      <c r="N6" s="184" t="s">
        <v>279</v>
      </c>
      <c r="O6" s="184" t="s">
        <v>306</v>
      </c>
      <c r="P6" s="83">
        <f t="shared" ca="1" si="4"/>
        <v>1</v>
      </c>
      <c r="Q6" s="82">
        <f t="shared" ca="1" si="5"/>
        <v>948.33488238333337</v>
      </c>
      <c r="R6" s="82">
        <f t="shared" ca="1" si="6"/>
        <v>948.33488238333337</v>
      </c>
      <c r="S6" s="82">
        <f t="shared" ca="1" si="7"/>
        <v>948.33488238333337</v>
      </c>
      <c r="T6" s="83" cm="1">
        <f t="array" aca="1" ref="T6" ca="1">_xlfn.STDEV.P(_xlfn._xlws.FILTER(INDIRECT("'"&amp;L6&amp;"'!"&amp;N6),INDIRECT("'"&amp;L6&amp;"'!"&amp;M6)=O6))</f>
        <v>0</v>
      </c>
    </row>
    <row r="7" spans="1:20" ht="21.6" customHeight="1" x14ac:dyDescent="0.3">
      <c r="A7" s="12" t="s">
        <v>458</v>
      </c>
      <c r="B7" s="115">
        <f t="shared" si="0"/>
        <v>948.33488238333337</v>
      </c>
      <c r="C7" s="115">
        <f t="shared" si="1"/>
        <v>37.933395295333341</v>
      </c>
      <c r="D7" s="91" t="s">
        <v>232</v>
      </c>
      <c r="F7" s="106"/>
      <c r="G7" s="187">
        <v>948.33488238333337</v>
      </c>
      <c r="H7" s="119">
        <f t="shared" si="2"/>
        <v>853.50139414500006</v>
      </c>
      <c r="I7" s="120">
        <f t="shared" si="3"/>
        <v>1043.1683706216668</v>
      </c>
      <c r="L7" s="184" t="s">
        <v>231</v>
      </c>
      <c r="M7" s="184" t="s">
        <v>278</v>
      </c>
      <c r="N7" s="184" t="s">
        <v>279</v>
      </c>
      <c r="O7" s="184" t="s">
        <v>306</v>
      </c>
      <c r="P7" s="83">
        <f t="shared" ca="1" si="4"/>
        <v>1</v>
      </c>
      <c r="Q7" s="82">
        <f t="shared" ca="1" si="5"/>
        <v>948.33488238333337</v>
      </c>
      <c r="R7" s="82">
        <f t="shared" ca="1" si="6"/>
        <v>948.33488238333337</v>
      </c>
      <c r="S7" s="82">
        <f t="shared" ca="1" si="7"/>
        <v>948.33488238333337</v>
      </c>
      <c r="T7" s="83" cm="1">
        <f t="array" aca="1" ref="T7" ca="1">_xlfn.STDEV.P(_xlfn._xlws.FILTER(INDIRECT("'"&amp;L7&amp;"'!"&amp;N7),INDIRECT("'"&amp;L7&amp;"'!"&amp;M7)=O7))</f>
        <v>0</v>
      </c>
    </row>
    <row r="8" spans="1:20" ht="21.6" customHeight="1" x14ac:dyDescent="0.3">
      <c r="A8" s="12" t="s">
        <v>459</v>
      </c>
      <c r="B8" s="115">
        <f t="shared" si="0"/>
        <v>948.33488238333337</v>
      </c>
      <c r="C8" s="115">
        <f t="shared" si="1"/>
        <v>37.933395295333341</v>
      </c>
      <c r="D8" s="91" t="s">
        <v>232</v>
      </c>
      <c r="G8" s="187">
        <v>948.33488238333337</v>
      </c>
      <c r="H8" s="119">
        <f t="shared" si="2"/>
        <v>853.50139414500006</v>
      </c>
      <c r="I8" s="120">
        <f t="shared" si="3"/>
        <v>1043.1683706216668</v>
      </c>
      <c r="L8" s="184" t="s">
        <v>231</v>
      </c>
      <c r="M8" s="184" t="s">
        <v>278</v>
      </c>
      <c r="N8" s="184" t="s">
        <v>279</v>
      </c>
      <c r="O8" s="184" t="s">
        <v>306</v>
      </c>
      <c r="P8" s="83">
        <f t="shared" ca="1" si="4"/>
        <v>1</v>
      </c>
      <c r="Q8" s="82">
        <f t="shared" ca="1" si="5"/>
        <v>948.33488238333337</v>
      </c>
      <c r="R8" s="82">
        <f t="shared" ca="1" si="6"/>
        <v>948.33488238333337</v>
      </c>
      <c r="S8" s="82">
        <f t="shared" ca="1" si="7"/>
        <v>948.33488238333337</v>
      </c>
      <c r="T8" s="83" cm="1">
        <f t="array" aca="1" ref="T8" ca="1">_xlfn.STDEV.P(_xlfn._xlws.FILTER(INDIRECT("'"&amp;L8&amp;"'!"&amp;N8),INDIRECT("'"&amp;L8&amp;"'!"&amp;M8)=O8))</f>
        <v>0</v>
      </c>
    </row>
    <row r="9" spans="1:20" ht="21.6" customHeight="1" x14ac:dyDescent="0.3">
      <c r="A9" s="12" t="s">
        <v>460</v>
      </c>
      <c r="B9" s="115">
        <f t="shared" si="0"/>
        <v>948.33488238333337</v>
      </c>
      <c r="C9" s="115">
        <f t="shared" si="1"/>
        <v>37.933395295333341</v>
      </c>
      <c r="D9" s="91" t="s">
        <v>232</v>
      </c>
      <c r="F9" s="106"/>
      <c r="G9" s="187">
        <v>948.33488238333337</v>
      </c>
      <c r="H9" s="119">
        <f t="shared" si="2"/>
        <v>853.50139414500006</v>
      </c>
      <c r="I9" s="120">
        <f t="shared" si="3"/>
        <v>1043.1683706216668</v>
      </c>
      <c r="L9" s="184" t="s">
        <v>231</v>
      </c>
      <c r="M9" s="184" t="s">
        <v>278</v>
      </c>
      <c r="N9" s="184" t="s">
        <v>279</v>
      </c>
      <c r="O9" s="184" t="s">
        <v>306</v>
      </c>
      <c r="P9" s="83">
        <f t="shared" ca="1" si="4"/>
        <v>1</v>
      </c>
      <c r="Q9" s="82">
        <f t="shared" ca="1" si="5"/>
        <v>948.33488238333337</v>
      </c>
      <c r="R9" s="82">
        <f t="shared" ca="1" si="6"/>
        <v>948.33488238333337</v>
      </c>
      <c r="S9" s="82">
        <f t="shared" ca="1" si="7"/>
        <v>948.33488238333337</v>
      </c>
      <c r="T9" s="83" cm="1">
        <f t="array" aca="1" ref="T9" ca="1">_xlfn.STDEV.P(_xlfn._xlws.FILTER(INDIRECT("'"&amp;L9&amp;"'!"&amp;N9),INDIRECT("'"&amp;L9&amp;"'!"&amp;M9)=O9))</f>
        <v>0</v>
      </c>
    </row>
    <row r="10" spans="1:20" ht="21.6" customHeight="1" x14ac:dyDescent="0.3">
      <c r="A10" s="12" t="s">
        <v>461</v>
      </c>
      <c r="B10" s="115">
        <f t="shared" si="0"/>
        <v>948.33488238333337</v>
      </c>
      <c r="C10" s="115">
        <f t="shared" si="1"/>
        <v>37.933395295333341</v>
      </c>
      <c r="D10" s="91" t="s">
        <v>232</v>
      </c>
      <c r="F10" s="106"/>
      <c r="G10" s="187">
        <v>948.33488238333337</v>
      </c>
      <c r="H10" s="119">
        <f t="shared" si="2"/>
        <v>853.50139414500006</v>
      </c>
      <c r="I10" s="120">
        <f t="shared" si="3"/>
        <v>1043.1683706216668</v>
      </c>
      <c r="L10" s="184" t="s">
        <v>231</v>
      </c>
      <c r="M10" s="184" t="s">
        <v>278</v>
      </c>
      <c r="N10" s="184" t="s">
        <v>279</v>
      </c>
      <c r="O10" s="184" t="s">
        <v>306</v>
      </c>
      <c r="P10" s="83">
        <f t="shared" ca="1" si="4"/>
        <v>1</v>
      </c>
      <c r="Q10" s="82">
        <f t="shared" ca="1" si="5"/>
        <v>948.33488238333337</v>
      </c>
      <c r="R10" s="82">
        <f t="shared" ca="1" si="6"/>
        <v>948.33488238333337</v>
      </c>
      <c r="S10" s="82">
        <f t="shared" ca="1" si="7"/>
        <v>948.33488238333337</v>
      </c>
      <c r="T10" s="83" cm="1">
        <f t="array" aca="1" ref="T10" ca="1">_xlfn.STDEV.P(_xlfn._xlws.FILTER(INDIRECT("'"&amp;L10&amp;"'!"&amp;N10),INDIRECT("'"&amp;L10&amp;"'!"&amp;M10)=O10))</f>
        <v>0</v>
      </c>
    </row>
    <row r="11" spans="1:20" ht="21.6" customHeight="1" x14ac:dyDescent="0.3">
      <c r="A11" s="12" t="s">
        <v>462</v>
      </c>
      <c r="B11" s="115">
        <f t="shared" si="0"/>
        <v>948.33488238333337</v>
      </c>
      <c r="C11" s="115">
        <f t="shared" si="1"/>
        <v>37.933395295333341</v>
      </c>
      <c r="D11" s="91" t="s">
        <v>232</v>
      </c>
      <c r="F11" s="106"/>
      <c r="G11" s="187">
        <v>948.33488238333337</v>
      </c>
      <c r="H11" s="119">
        <f t="shared" si="2"/>
        <v>853.50139414500006</v>
      </c>
      <c r="I11" s="120">
        <f t="shared" si="3"/>
        <v>1043.1683706216668</v>
      </c>
      <c r="L11" s="184" t="s">
        <v>231</v>
      </c>
      <c r="M11" s="184" t="s">
        <v>278</v>
      </c>
      <c r="N11" s="184" t="s">
        <v>279</v>
      </c>
      <c r="O11" s="184" t="s">
        <v>306</v>
      </c>
      <c r="P11" s="83">
        <f t="shared" ca="1" si="4"/>
        <v>1</v>
      </c>
      <c r="Q11" s="82">
        <f t="shared" ca="1" si="5"/>
        <v>948.33488238333337</v>
      </c>
      <c r="R11" s="82">
        <f t="shared" ca="1" si="6"/>
        <v>948.33488238333337</v>
      </c>
      <c r="S11" s="82">
        <f t="shared" ca="1" si="7"/>
        <v>948.33488238333337</v>
      </c>
      <c r="T11" s="83" cm="1">
        <f t="array" aca="1" ref="T11" ca="1">_xlfn.STDEV.P(_xlfn._xlws.FILTER(INDIRECT("'"&amp;L11&amp;"'!"&amp;N11),INDIRECT("'"&amp;L11&amp;"'!"&amp;M11)=O11))</f>
        <v>0</v>
      </c>
    </row>
    <row r="12" spans="1:20" ht="21.6" customHeight="1" x14ac:dyDescent="0.3">
      <c r="A12" s="12" t="s">
        <v>19</v>
      </c>
      <c r="B12" s="115">
        <f t="shared" si="0"/>
        <v>948.33488238333337</v>
      </c>
      <c r="C12" s="115">
        <f t="shared" si="1"/>
        <v>37.933395295333341</v>
      </c>
      <c r="D12" s="91" t="s">
        <v>232</v>
      </c>
      <c r="F12" s="106"/>
      <c r="G12" s="187">
        <v>948.33488238333337</v>
      </c>
      <c r="H12" s="119">
        <f t="shared" si="2"/>
        <v>853.50139414500006</v>
      </c>
      <c r="I12" s="120">
        <f t="shared" si="3"/>
        <v>1043.1683706216668</v>
      </c>
      <c r="K12" s="106"/>
      <c r="L12" s="184" t="s">
        <v>231</v>
      </c>
      <c r="M12" s="184" t="s">
        <v>278</v>
      </c>
      <c r="N12" s="184" t="s">
        <v>279</v>
      </c>
      <c r="O12" s="184" t="s">
        <v>306</v>
      </c>
      <c r="P12" s="83">
        <f t="shared" ca="1" si="4"/>
        <v>1</v>
      </c>
      <c r="Q12" s="82">
        <f t="shared" ca="1" si="5"/>
        <v>948.33488238333337</v>
      </c>
      <c r="R12" s="82">
        <f t="shared" ca="1" si="6"/>
        <v>948.33488238333337</v>
      </c>
      <c r="S12" s="82">
        <f t="shared" ca="1" si="7"/>
        <v>948.33488238333337</v>
      </c>
      <c r="T12" s="83" cm="1">
        <f t="array" aca="1" ref="T12" ca="1">_xlfn.STDEV.P(_xlfn._xlws.FILTER(INDIRECT("'"&amp;L12&amp;"'!"&amp;N12),INDIRECT("'"&amp;L12&amp;"'!"&amp;M12)=O12))</f>
        <v>0</v>
      </c>
    </row>
    <row r="13" spans="1:20" ht="21.6" customHeight="1" x14ac:dyDescent="0.3">
      <c r="A13" s="12" t="s">
        <v>20</v>
      </c>
      <c r="B13" s="115">
        <f t="shared" si="0"/>
        <v>948.33488238333337</v>
      </c>
      <c r="C13" s="115">
        <f t="shared" si="1"/>
        <v>37.933395295333341</v>
      </c>
      <c r="D13" s="91" t="s">
        <v>232</v>
      </c>
      <c r="F13" s="106"/>
      <c r="G13" s="187">
        <v>948.33488238333337</v>
      </c>
      <c r="H13" s="119">
        <f t="shared" si="2"/>
        <v>853.50139414500006</v>
      </c>
      <c r="I13" s="120">
        <f t="shared" si="3"/>
        <v>1043.1683706216668</v>
      </c>
      <c r="L13" s="184" t="s">
        <v>231</v>
      </c>
      <c r="M13" s="184" t="s">
        <v>278</v>
      </c>
      <c r="N13" s="184" t="s">
        <v>279</v>
      </c>
      <c r="O13" s="184" t="s">
        <v>306</v>
      </c>
      <c r="P13" s="83">
        <f t="shared" ca="1" si="4"/>
        <v>1</v>
      </c>
      <c r="Q13" s="82">
        <f t="shared" ca="1" si="5"/>
        <v>948.33488238333337</v>
      </c>
      <c r="R13" s="82">
        <f t="shared" ca="1" si="6"/>
        <v>948.33488238333337</v>
      </c>
      <c r="S13" s="82">
        <f t="shared" ca="1" si="7"/>
        <v>948.33488238333337</v>
      </c>
      <c r="T13" s="83" cm="1">
        <f t="array" aca="1" ref="T13" ca="1">_xlfn.STDEV.P(_xlfn._xlws.FILTER(INDIRECT("'"&amp;L13&amp;"'!"&amp;N13),INDIRECT("'"&amp;L13&amp;"'!"&amp;M13)=O13))</f>
        <v>0</v>
      </c>
    </row>
    <row r="14" spans="1:20" ht="21.6" customHeight="1" thickBot="1" x14ac:dyDescent="0.35">
      <c r="A14" s="14" t="s">
        <v>464</v>
      </c>
      <c r="B14" s="115">
        <f t="shared" si="0"/>
        <v>948.33488238333337</v>
      </c>
      <c r="C14" s="115">
        <f t="shared" si="1"/>
        <v>37.933395295333341</v>
      </c>
      <c r="D14" s="91" t="s">
        <v>232</v>
      </c>
      <c r="F14" s="106"/>
      <c r="G14" s="187">
        <v>948.33488238333337</v>
      </c>
      <c r="H14" s="121">
        <f t="shared" si="2"/>
        <v>853.50139414500006</v>
      </c>
      <c r="I14" s="122">
        <f t="shared" si="3"/>
        <v>1043.1683706216668</v>
      </c>
      <c r="L14" s="184" t="s">
        <v>231</v>
      </c>
      <c r="M14" s="184" t="s">
        <v>278</v>
      </c>
      <c r="N14" s="184" t="s">
        <v>279</v>
      </c>
      <c r="O14" s="184" t="s">
        <v>306</v>
      </c>
      <c r="P14" s="83">
        <f t="shared" ca="1" si="4"/>
        <v>1</v>
      </c>
      <c r="Q14" s="82">
        <f t="shared" ca="1" si="5"/>
        <v>948.33488238333337</v>
      </c>
      <c r="R14" s="82">
        <f t="shared" ca="1" si="6"/>
        <v>948.33488238333337</v>
      </c>
      <c r="S14" s="82">
        <f t="shared" ca="1" si="7"/>
        <v>948.33488238333337</v>
      </c>
      <c r="T14" s="83" cm="1">
        <f t="array" aca="1" ref="T14" ca="1">_xlfn.STDEV.P(_xlfn._xlws.FILTER(INDIRECT("'"&amp;L14&amp;"'!"&amp;N14),INDIRECT("'"&amp;L14&amp;"'!"&amp;M14)=O14))</f>
        <v>0</v>
      </c>
    </row>
    <row r="28" spans="9:9" x14ac:dyDescent="0.3">
      <c r="I28" s="91" t="s">
        <v>545</v>
      </c>
    </row>
  </sheetData>
  <dataValidations count="1">
    <dataValidation type="list" allowBlank="1" showInputMessage="1" showErrorMessage="1" sqref="D3:D14" xr:uid="{9B88F3C8-53AD-455D-9D8E-9211CF628468}">
      <formula1>"Data,Expert Estimate"</formula1>
    </dataValidation>
  </dataValidation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7F3C0-1AF2-4F95-AFB0-88A810B527A3}">
  <sheetPr>
    <tabColor rgb="FFF4F1EF"/>
  </sheetPr>
  <dimension ref="A1:T28"/>
  <sheetViews>
    <sheetView workbookViewId="0">
      <selection activeCell="H4" sqref="H4"/>
    </sheetView>
  </sheetViews>
  <sheetFormatPr defaultRowHeight="14.4" x14ac:dyDescent="0.3"/>
  <cols>
    <col min="1" max="1" width="19.6640625" style="103" customWidth="1"/>
    <col min="2" max="2" width="12.6640625" style="91" customWidth="1"/>
    <col min="3" max="3" width="12.6640625" customWidth="1"/>
    <col min="4" max="4" width="14" style="88" bestFit="1" customWidth="1"/>
    <col min="5" max="5" width="3.5546875" customWidth="1"/>
    <col min="6" max="6" width="15.5546875" style="107" bestFit="1" customWidth="1"/>
    <col min="7" max="7" width="16.109375" style="91" bestFit="1" customWidth="1"/>
    <col min="8" max="8" width="14.44140625" style="91" bestFit="1" customWidth="1"/>
    <col min="9" max="9" width="14.6640625" style="91" bestFit="1" customWidth="1"/>
    <col min="10" max="10" width="4" customWidth="1"/>
    <col min="11" max="11" width="11.33203125" style="107" bestFit="1" customWidth="1"/>
    <col min="12" max="12" width="12.33203125" bestFit="1" customWidth="1"/>
    <col min="13" max="13" width="6.6640625" bestFit="1" customWidth="1"/>
    <col min="14" max="14" width="7.88671875" bestFit="1" customWidth="1"/>
    <col min="15" max="15" width="12.33203125" customWidth="1"/>
    <col min="16" max="16" width="8.88671875" style="88"/>
    <col min="17" max="17" width="16" style="88" bestFit="1" customWidth="1"/>
    <col min="18" max="18" width="14.44140625" style="88" bestFit="1" customWidth="1"/>
    <col min="19" max="19" width="14.6640625" style="88" bestFit="1" customWidth="1"/>
    <col min="20" max="20" width="17.6640625" style="88" bestFit="1" customWidth="1"/>
  </cols>
  <sheetData>
    <row r="1" spans="1:20" s="112" customFormat="1" ht="47.4" customHeight="1" thickBot="1" x14ac:dyDescent="0.35">
      <c r="A1" s="109" t="s">
        <v>318</v>
      </c>
      <c r="B1" s="2" t="s">
        <v>282</v>
      </c>
      <c r="C1" s="2" t="s">
        <v>283</v>
      </c>
      <c r="D1" s="111" t="s">
        <v>230</v>
      </c>
      <c r="F1" s="113" t="s">
        <v>233</v>
      </c>
      <c r="G1" s="111" t="s">
        <v>240</v>
      </c>
      <c r="H1" s="111" t="s">
        <v>241</v>
      </c>
      <c r="I1" s="111" t="s">
        <v>242</v>
      </c>
      <c r="K1" s="113" t="s">
        <v>246</v>
      </c>
      <c r="L1" s="114" t="s">
        <v>239</v>
      </c>
      <c r="M1" s="161" t="s">
        <v>276</v>
      </c>
      <c r="N1" s="161" t="s">
        <v>277</v>
      </c>
      <c r="O1" s="111" t="s">
        <v>274</v>
      </c>
      <c r="P1" s="111" t="s">
        <v>234</v>
      </c>
      <c r="Q1" s="111" t="s">
        <v>243</v>
      </c>
      <c r="R1" s="111" t="s">
        <v>241</v>
      </c>
      <c r="S1" s="111" t="s">
        <v>242</v>
      </c>
      <c r="T1" s="111" t="s">
        <v>244</v>
      </c>
    </row>
    <row r="2" spans="1:20" ht="15" thickBot="1" x14ac:dyDescent="0.35">
      <c r="A2" s="102" t="s">
        <v>317</v>
      </c>
      <c r="B2" s="5" t="s">
        <v>307</v>
      </c>
      <c r="C2" s="5" t="s">
        <v>307</v>
      </c>
      <c r="D2" s="5" t="s">
        <v>245</v>
      </c>
      <c r="F2" s="105" t="s">
        <v>317</v>
      </c>
      <c r="G2" s="5" t="s">
        <v>307</v>
      </c>
      <c r="H2" s="5" t="s">
        <v>307</v>
      </c>
      <c r="I2" s="5" t="s">
        <v>307</v>
      </c>
      <c r="K2" s="108" t="s">
        <v>317</v>
      </c>
      <c r="L2" s="5" t="s">
        <v>7</v>
      </c>
      <c r="M2" s="5"/>
      <c r="N2" s="5"/>
      <c r="O2" s="5"/>
      <c r="P2" s="5" t="s">
        <v>7</v>
      </c>
      <c r="Q2" s="5" t="s">
        <v>307</v>
      </c>
      <c r="R2" s="5" t="s">
        <v>307</v>
      </c>
      <c r="S2" s="5" t="s">
        <v>307</v>
      </c>
      <c r="T2" s="5" t="s">
        <v>307</v>
      </c>
    </row>
    <row r="3" spans="1:20" ht="21.6" customHeight="1" x14ac:dyDescent="0.3">
      <c r="A3" s="7" t="s">
        <v>454</v>
      </c>
      <c r="B3" s="115">
        <f t="shared" ref="B3:B14" si="0">IF(D3="Data",Q3,(G3*3+H3+I3)/5)</f>
        <v>11094.235901</v>
      </c>
      <c r="C3" s="115">
        <f t="shared" ref="C3:C14" si="1">IF(D3="Data",T3,(I3-H3)/5)</f>
        <v>443.76943604000007</v>
      </c>
      <c r="D3" s="91" t="s">
        <v>232</v>
      </c>
      <c r="F3" s="106"/>
      <c r="G3" s="187">
        <v>11094.235901</v>
      </c>
      <c r="H3" s="116">
        <f>0.9*G3</f>
        <v>9984.8123109000007</v>
      </c>
      <c r="I3" s="117">
        <f>1.1*G3</f>
        <v>12203.659491100001</v>
      </c>
      <c r="K3" s="106"/>
      <c r="L3" s="185" t="s">
        <v>231</v>
      </c>
      <c r="M3" s="184" t="s">
        <v>278</v>
      </c>
      <c r="N3" s="184" t="s">
        <v>279</v>
      </c>
      <c r="O3" s="184" t="s">
        <v>305</v>
      </c>
      <c r="P3" s="83">
        <f ca="1">COUNTIF(INDIRECT("'"&amp;L3&amp;"'!"&amp;M3),O3)</f>
        <v>1</v>
      </c>
      <c r="Q3" s="82">
        <f ca="1">AVERAGEIF(INDIRECT("'"&amp;L3&amp;"'!"&amp;M3),O3,INDIRECT("'"&amp;L3&amp;"'!"&amp;N3))</f>
        <v>11094.235901</v>
      </c>
      <c r="R3" s="82">
        <f ca="1">_xlfn.MINIFS(INDIRECT("'"&amp;L3&amp;"'!"&amp;N3),INDIRECT("'"&amp;L3&amp;"'!"&amp;M3),O3)</f>
        <v>11094.235901</v>
      </c>
      <c r="S3" s="82">
        <f ca="1">_xlfn.MAXIFS(INDIRECT("'"&amp;L3&amp;"'!"&amp;N3),INDIRECT("'"&amp;L3&amp;"'!"&amp;M3),O3)</f>
        <v>11094.235901</v>
      </c>
      <c r="T3" s="83" cm="1">
        <f t="array" aca="1" ref="T3" ca="1">_xlfn.STDEV.P(_xlfn._xlws.FILTER(INDIRECT("'"&amp;L3&amp;"'!"&amp;N3),INDIRECT("'"&amp;L3&amp;"'!"&amp;M3)=O3))</f>
        <v>0</v>
      </c>
    </row>
    <row r="4" spans="1:20" ht="21.6" customHeight="1" x14ac:dyDescent="0.3">
      <c r="A4" s="10" t="s">
        <v>455</v>
      </c>
      <c r="B4" s="115">
        <f t="shared" si="0"/>
        <v>11094.235901</v>
      </c>
      <c r="C4" s="115">
        <f t="shared" si="1"/>
        <v>443.76943604000007</v>
      </c>
      <c r="D4" s="91" t="s">
        <v>232</v>
      </c>
      <c r="F4" s="106"/>
      <c r="G4" s="187">
        <v>11094.235901</v>
      </c>
      <c r="H4" s="119">
        <f t="shared" ref="H4:H14" si="2">0.9*G4</f>
        <v>9984.8123109000007</v>
      </c>
      <c r="I4" s="120">
        <f t="shared" ref="I4:I14" si="3">1.1*G4</f>
        <v>12203.659491100001</v>
      </c>
      <c r="L4" s="184" t="s">
        <v>231</v>
      </c>
      <c r="M4" s="184" t="s">
        <v>278</v>
      </c>
      <c r="N4" s="184" t="s">
        <v>279</v>
      </c>
      <c r="O4" s="184" t="s">
        <v>305</v>
      </c>
      <c r="P4" s="83">
        <f t="shared" ref="P4:P14" ca="1" si="4">COUNTIF(INDIRECT("'"&amp;L4&amp;"'!"&amp;M4),O4)</f>
        <v>1</v>
      </c>
      <c r="Q4" s="82">
        <f t="shared" ref="Q4:Q14" ca="1" si="5">AVERAGEIF(INDIRECT("'"&amp;L4&amp;"'!"&amp;M4),O4,INDIRECT("'"&amp;L4&amp;"'!"&amp;N4))</f>
        <v>11094.235901</v>
      </c>
      <c r="R4" s="82">
        <f t="shared" ref="R4:R14" ca="1" si="6">_xlfn.MINIFS(INDIRECT("'"&amp;L4&amp;"'!"&amp;N4),INDIRECT("'"&amp;L4&amp;"'!"&amp;M4),O4)</f>
        <v>11094.235901</v>
      </c>
      <c r="S4" s="82">
        <f t="shared" ref="S4:S14" ca="1" si="7">_xlfn.MAXIFS(INDIRECT("'"&amp;L4&amp;"'!"&amp;N4),INDIRECT("'"&amp;L4&amp;"'!"&amp;M4),O4)</f>
        <v>11094.235901</v>
      </c>
      <c r="T4" s="83" cm="1">
        <f t="array" aca="1" ref="T4" ca="1">_xlfn.STDEV.P(_xlfn._xlws.FILTER(INDIRECT("'"&amp;L4&amp;"'!"&amp;N4),INDIRECT("'"&amp;L4&amp;"'!"&amp;M4)=O4))</f>
        <v>0</v>
      </c>
    </row>
    <row r="5" spans="1:20" ht="21.6" customHeight="1" x14ac:dyDescent="0.3">
      <c r="A5" s="12" t="s">
        <v>456</v>
      </c>
      <c r="B5" s="115">
        <f t="shared" si="0"/>
        <v>11094.235901</v>
      </c>
      <c r="C5" s="115">
        <f t="shared" si="1"/>
        <v>443.76943604000007</v>
      </c>
      <c r="D5" s="91" t="s">
        <v>232</v>
      </c>
      <c r="F5" s="106"/>
      <c r="G5" s="187">
        <v>11094.235901</v>
      </c>
      <c r="H5" s="119">
        <f t="shared" si="2"/>
        <v>9984.8123109000007</v>
      </c>
      <c r="I5" s="120">
        <f t="shared" si="3"/>
        <v>12203.659491100001</v>
      </c>
      <c r="L5" s="184" t="s">
        <v>231</v>
      </c>
      <c r="M5" s="184" t="s">
        <v>278</v>
      </c>
      <c r="N5" s="184" t="s">
        <v>279</v>
      </c>
      <c r="O5" s="184" t="s">
        <v>305</v>
      </c>
      <c r="P5" s="83">
        <f t="shared" ca="1" si="4"/>
        <v>1</v>
      </c>
      <c r="Q5" s="82">
        <f t="shared" ca="1" si="5"/>
        <v>11094.235901</v>
      </c>
      <c r="R5" s="82">
        <f t="shared" ca="1" si="6"/>
        <v>11094.235901</v>
      </c>
      <c r="S5" s="82">
        <f t="shared" ca="1" si="7"/>
        <v>11094.235901</v>
      </c>
      <c r="T5" s="83" cm="1">
        <f t="array" aca="1" ref="T5" ca="1">_xlfn.STDEV.P(_xlfn._xlws.FILTER(INDIRECT("'"&amp;L5&amp;"'!"&amp;N5),INDIRECT("'"&amp;L5&amp;"'!"&amp;M5)=O5))</f>
        <v>0</v>
      </c>
    </row>
    <row r="6" spans="1:20" ht="21.6" customHeight="1" x14ac:dyDescent="0.3">
      <c r="A6" s="10" t="s">
        <v>457</v>
      </c>
      <c r="B6" s="115">
        <f t="shared" si="0"/>
        <v>11094.235901</v>
      </c>
      <c r="C6" s="115">
        <f t="shared" si="1"/>
        <v>443.76943604000007</v>
      </c>
      <c r="D6" s="91" t="s">
        <v>232</v>
      </c>
      <c r="F6" s="106"/>
      <c r="G6" s="187">
        <v>11094.235901</v>
      </c>
      <c r="H6" s="119">
        <f t="shared" si="2"/>
        <v>9984.8123109000007</v>
      </c>
      <c r="I6" s="120">
        <f t="shared" si="3"/>
        <v>12203.659491100001</v>
      </c>
      <c r="L6" s="184" t="s">
        <v>231</v>
      </c>
      <c r="M6" s="184" t="s">
        <v>278</v>
      </c>
      <c r="N6" s="184" t="s">
        <v>279</v>
      </c>
      <c r="O6" s="184" t="s">
        <v>305</v>
      </c>
      <c r="P6" s="83">
        <f t="shared" ca="1" si="4"/>
        <v>1</v>
      </c>
      <c r="Q6" s="82">
        <f t="shared" ca="1" si="5"/>
        <v>11094.235901</v>
      </c>
      <c r="R6" s="82">
        <f t="shared" ca="1" si="6"/>
        <v>11094.235901</v>
      </c>
      <c r="S6" s="82">
        <f t="shared" ca="1" si="7"/>
        <v>11094.235901</v>
      </c>
      <c r="T6" s="83" cm="1">
        <f t="array" aca="1" ref="T6" ca="1">_xlfn.STDEV.P(_xlfn._xlws.FILTER(INDIRECT("'"&amp;L6&amp;"'!"&amp;N6),INDIRECT("'"&amp;L6&amp;"'!"&amp;M6)=O6))</f>
        <v>0</v>
      </c>
    </row>
    <row r="7" spans="1:20" ht="21.6" customHeight="1" x14ac:dyDescent="0.3">
      <c r="A7" s="12" t="s">
        <v>458</v>
      </c>
      <c r="B7" s="115">
        <f t="shared" si="0"/>
        <v>11094.235901</v>
      </c>
      <c r="C7" s="115">
        <f t="shared" si="1"/>
        <v>443.76943604000007</v>
      </c>
      <c r="D7" s="91" t="s">
        <v>232</v>
      </c>
      <c r="F7" s="106"/>
      <c r="G7" s="187">
        <v>11094.235901</v>
      </c>
      <c r="H7" s="119">
        <f t="shared" si="2"/>
        <v>9984.8123109000007</v>
      </c>
      <c r="I7" s="120">
        <f t="shared" si="3"/>
        <v>12203.659491100001</v>
      </c>
      <c r="L7" s="184" t="s">
        <v>231</v>
      </c>
      <c r="M7" s="184" t="s">
        <v>278</v>
      </c>
      <c r="N7" s="184" t="s">
        <v>279</v>
      </c>
      <c r="O7" s="184" t="s">
        <v>305</v>
      </c>
      <c r="P7" s="83">
        <f t="shared" ca="1" si="4"/>
        <v>1</v>
      </c>
      <c r="Q7" s="82">
        <f t="shared" ca="1" si="5"/>
        <v>11094.235901</v>
      </c>
      <c r="R7" s="82">
        <f t="shared" ca="1" si="6"/>
        <v>11094.235901</v>
      </c>
      <c r="S7" s="82">
        <f t="shared" ca="1" si="7"/>
        <v>11094.235901</v>
      </c>
      <c r="T7" s="83" cm="1">
        <f t="array" aca="1" ref="T7" ca="1">_xlfn.STDEV.P(_xlfn._xlws.FILTER(INDIRECT("'"&amp;L7&amp;"'!"&amp;N7),INDIRECT("'"&amp;L7&amp;"'!"&amp;M7)=O7))</f>
        <v>0</v>
      </c>
    </row>
    <row r="8" spans="1:20" ht="21.6" customHeight="1" x14ac:dyDescent="0.3">
      <c r="A8" s="12" t="s">
        <v>459</v>
      </c>
      <c r="B8" s="115">
        <f t="shared" si="0"/>
        <v>11094.235901</v>
      </c>
      <c r="C8" s="115">
        <f t="shared" si="1"/>
        <v>443.76943604000007</v>
      </c>
      <c r="D8" s="91" t="s">
        <v>232</v>
      </c>
      <c r="G8" s="187">
        <v>11094.235901</v>
      </c>
      <c r="H8" s="119">
        <f t="shared" si="2"/>
        <v>9984.8123109000007</v>
      </c>
      <c r="I8" s="120">
        <f t="shared" si="3"/>
        <v>12203.659491100001</v>
      </c>
      <c r="L8" s="184" t="s">
        <v>231</v>
      </c>
      <c r="M8" s="184" t="s">
        <v>278</v>
      </c>
      <c r="N8" s="184" t="s">
        <v>279</v>
      </c>
      <c r="O8" s="184" t="s">
        <v>305</v>
      </c>
      <c r="P8" s="83">
        <f t="shared" ca="1" si="4"/>
        <v>1</v>
      </c>
      <c r="Q8" s="82">
        <f t="shared" ca="1" si="5"/>
        <v>11094.235901</v>
      </c>
      <c r="R8" s="82">
        <f t="shared" ca="1" si="6"/>
        <v>11094.235901</v>
      </c>
      <c r="S8" s="82">
        <f t="shared" ca="1" si="7"/>
        <v>11094.235901</v>
      </c>
      <c r="T8" s="83" cm="1">
        <f t="array" aca="1" ref="T8" ca="1">_xlfn.STDEV.P(_xlfn._xlws.FILTER(INDIRECT("'"&amp;L8&amp;"'!"&amp;N8),INDIRECT("'"&amp;L8&amp;"'!"&amp;M8)=O8))</f>
        <v>0</v>
      </c>
    </row>
    <row r="9" spans="1:20" ht="21.6" customHeight="1" x14ac:dyDescent="0.3">
      <c r="A9" s="12" t="s">
        <v>460</v>
      </c>
      <c r="B9" s="115">
        <f t="shared" si="0"/>
        <v>11094.235901</v>
      </c>
      <c r="C9" s="115">
        <f t="shared" si="1"/>
        <v>443.76943604000007</v>
      </c>
      <c r="D9" s="91" t="s">
        <v>232</v>
      </c>
      <c r="F9" s="106"/>
      <c r="G9" s="187">
        <v>11094.235901</v>
      </c>
      <c r="H9" s="119">
        <f t="shared" si="2"/>
        <v>9984.8123109000007</v>
      </c>
      <c r="I9" s="120">
        <f t="shared" si="3"/>
        <v>12203.659491100001</v>
      </c>
      <c r="L9" s="184" t="s">
        <v>231</v>
      </c>
      <c r="M9" s="184" t="s">
        <v>278</v>
      </c>
      <c r="N9" s="184" t="s">
        <v>279</v>
      </c>
      <c r="O9" s="184" t="s">
        <v>305</v>
      </c>
      <c r="P9" s="83">
        <f t="shared" ca="1" si="4"/>
        <v>1</v>
      </c>
      <c r="Q9" s="82">
        <f t="shared" ca="1" si="5"/>
        <v>11094.235901</v>
      </c>
      <c r="R9" s="82">
        <f t="shared" ca="1" si="6"/>
        <v>11094.235901</v>
      </c>
      <c r="S9" s="82">
        <f t="shared" ca="1" si="7"/>
        <v>11094.235901</v>
      </c>
      <c r="T9" s="83" cm="1">
        <f t="array" aca="1" ref="T9" ca="1">_xlfn.STDEV.P(_xlfn._xlws.FILTER(INDIRECT("'"&amp;L9&amp;"'!"&amp;N9),INDIRECT("'"&amp;L9&amp;"'!"&amp;M9)=O9))</f>
        <v>0</v>
      </c>
    </row>
    <row r="10" spans="1:20" ht="21.6" customHeight="1" x14ac:dyDescent="0.3">
      <c r="A10" s="12" t="s">
        <v>461</v>
      </c>
      <c r="B10" s="115">
        <f t="shared" si="0"/>
        <v>11094.235901</v>
      </c>
      <c r="C10" s="115">
        <f t="shared" si="1"/>
        <v>443.76943604000007</v>
      </c>
      <c r="D10" s="91" t="s">
        <v>232</v>
      </c>
      <c r="F10" s="106"/>
      <c r="G10" s="187">
        <v>11094.235901</v>
      </c>
      <c r="H10" s="119">
        <f t="shared" si="2"/>
        <v>9984.8123109000007</v>
      </c>
      <c r="I10" s="120">
        <f t="shared" si="3"/>
        <v>12203.659491100001</v>
      </c>
      <c r="L10" s="184" t="s">
        <v>231</v>
      </c>
      <c r="M10" s="184" t="s">
        <v>278</v>
      </c>
      <c r="N10" s="184" t="s">
        <v>279</v>
      </c>
      <c r="O10" s="184" t="s">
        <v>305</v>
      </c>
      <c r="P10" s="83">
        <f t="shared" ca="1" si="4"/>
        <v>1</v>
      </c>
      <c r="Q10" s="82">
        <f t="shared" ca="1" si="5"/>
        <v>11094.235901</v>
      </c>
      <c r="R10" s="82">
        <f t="shared" ca="1" si="6"/>
        <v>11094.235901</v>
      </c>
      <c r="S10" s="82">
        <f t="shared" ca="1" si="7"/>
        <v>11094.235901</v>
      </c>
      <c r="T10" s="83" cm="1">
        <f t="array" aca="1" ref="T10" ca="1">_xlfn.STDEV.P(_xlfn._xlws.FILTER(INDIRECT("'"&amp;L10&amp;"'!"&amp;N10),INDIRECT("'"&amp;L10&amp;"'!"&amp;M10)=O10))</f>
        <v>0</v>
      </c>
    </row>
    <row r="11" spans="1:20" ht="21.6" customHeight="1" x14ac:dyDescent="0.3">
      <c r="A11" s="12" t="s">
        <v>462</v>
      </c>
      <c r="B11" s="115">
        <f t="shared" si="0"/>
        <v>11094.235901</v>
      </c>
      <c r="C11" s="115">
        <f t="shared" si="1"/>
        <v>443.76943604000007</v>
      </c>
      <c r="D11" s="91" t="s">
        <v>232</v>
      </c>
      <c r="F11" s="106"/>
      <c r="G11" s="187">
        <v>11094.235901</v>
      </c>
      <c r="H11" s="119">
        <f t="shared" si="2"/>
        <v>9984.8123109000007</v>
      </c>
      <c r="I11" s="120">
        <f t="shared" si="3"/>
        <v>12203.659491100001</v>
      </c>
      <c r="L11" s="184" t="s">
        <v>231</v>
      </c>
      <c r="M11" s="184" t="s">
        <v>278</v>
      </c>
      <c r="N11" s="184" t="s">
        <v>279</v>
      </c>
      <c r="O11" s="184" t="s">
        <v>305</v>
      </c>
      <c r="P11" s="83">
        <f t="shared" ca="1" si="4"/>
        <v>1</v>
      </c>
      <c r="Q11" s="82">
        <f t="shared" ca="1" si="5"/>
        <v>11094.235901</v>
      </c>
      <c r="R11" s="82">
        <f t="shared" ca="1" si="6"/>
        <v>11094.235901</v>
      </c>
      <c r="S11" s="82">
        <f t="shared" ca="1" si="7"/>
        <v>11094.235901</v>
      </c>
      <c r="T11" s="83" cm="1">
        <f t="array" aca="1" ref="T11" ca="1">_xlfn.STDEV.P(_xlfn._xlws.FILTER(INDIRECT("'"&amp;L11&amp;"'!"&amp;N11),INDIRECT("'"&amp;L11&amp;"'!"&amp;M11)=O11))</f>
        <v>0</v>
      </c>
    </row>
    <row r="12" spans="1:20" ht="21.6" customHeight="1" x14ac:dyDescent="0.3">
      <c r="A12" s="12" t="s">
        <v>19</v>
      </c>
      <c r="B12" s="115">
        <f t="shared" si="0"/>
        <v>11094.235901</v>
      </c>
      <c r="C12" s="115">
        <f t="shared" si="1"/>
        <v>443.76943604000007</v>
      </c>
      <c r="D12" s="91" t="s">
        <v>232</v>
      </c>
      <c r="F12" s="106"/>
      <c r="G12" s="187">
        <v>11094.235901</v>
      </c>
      <c r="H12" s="119">
        <f t="shared" si="2"/>
        <v>9984.8123109000007</v>
      </c>
      <c r="I12" s="120">
        <f t="shared" si="3"/>
        <v>12203.659491100001</v>
      </c>
      <c r="K12" s="106"/>
      <c r="L12" s="184" t="s">
        <v>231</v>
      </c>
      <c r="M12" s="184" t="s">
        <v>278</v>
      </c>
      <c r="N12" s="184" t="s">
        <v>279</v>
      </c>
      <c r="O12" s="184" t="s">
        <v>305</v>
      </c>
      <c r="P12" s="83">
        <f t="shared" ca="1" si="4"/>
        <v>1</v>
      </c>
      <c r="Q12" s="82">
        <f t="shared" ca="1" si="5"/>
        <v>11094.235901</v>
      </c>
      <c r="R12" s="82">
        <f t="shared" ca="1" si="6"/>
        <v>11094.235901</v>
      </c>
      <c r="S12" s="82">
        <f t="shared" ca="1" si="7"/>
        <v>11094.235901</v>
      </c>
      <c r="T12" s="83" cm="1">
        <f t="array" aca="1" ref="T12" ca="1">_xlfn.STDEV.P(_xlfn._xlws.FILTER(INDIRECT("'"&amp;L12&amp;"'!"&amp;N12),INDIRECT("'"&amp;L12&amp;"'!"&amp;M12)=O12))</f>
        <v>0</v>
      </c>
    </row>
    <row r="13" spans="1:20" ht="21.6" customHeight="1" x14ac:dyDescent="0.3">
      <c r="A13" s="12" t="s">
        <v>20</v>
      </c>
      <c r="B13" s="115">
        <f t="shared" si="0"/>
        <v>11094.235901</v>
      </c>
      <c r="C13" s="115">
        <f t="shared" si="1"/>
        <v>443.76943604000007</v>
      </c>
      <c r="D13" s="91" t="s">
        <v>232</v>
      </c>
      <c r="F13" s="106"/>
      <c r="G13" s="187">
        <v>11094.235901</v>
      </c>
      <c r="H13" s="119">
        <f t="shared" si="2"/>
        <v>9984.8123109000007</v>
      </c>
      <c r="I13" s="120">
        <f t="shared" si="3"/>
        <v>12203.659491100001</v>
      </c>
      <c r="L13" s="184" t="s">
        <v>231</v>
      </c>
      <c r="M13" s="184" t="s">
        <v>278</v>
      </c>
      <c r="N13" s="184" t="s">
        <v>279</v>
      </c>
      <c r="O13" s="184" t="s">
        <v>305</v>
      </c>
      <c r="P13" s="83">
        <f t="shared" ca="1" si="4"/>
        <v>1</v>
      </c>
      <c r="Q13" s="82">
        <f t="shared" ca="1" si="5"/>
        <v>11094.235901</v>
      </c>
      <c r="R13" s="82">
        <f t="shared" ca="1" si="6"/>
        <v>11094.235901</v>
      </c>
      <c r="S13" s="82">
        <f t="shared" ca="1" si="7"/>
        <v>11094.235901</v>
      </c>
      <c r="T13" s="83" cm="1">
        <f t="array" aca="1" ref="T13" ca="1">_xlfn.STDEV.P(_xlfn._xlws.FILTER(INDIRECT("'"&amp;L13&amp;"'!"&amp;N13),INDIRECT("'"&amp;L13&amp;"'!"&amp;M13)=O13))</f>
        <v>0</v>
      </c>
    </row>
    <row r="14" spans="1:20" ht="21.6" customHeight="1" thickBot="1" x14ac:dyDescent="0.35">
      <c r="A14" s="14" t="s">
        <v>464</v>
      </c>
      <c r="B14" s="115">
        <f t="shared" si="0"/>
        <v>11094.235901</v>
      </c>
      <c r="C14" s="115">
        <f t="shared" si="1"/>
        <v>443.76943604000007</v>
      </c>
      <c r="D14" s="91" t="s">
        <v>232</v>
      </c>
      <c r="F14" s="106"/>
      <c r="G14" s="187">
        <v>11094.235901</v>
      </c>
      <c r="H14" s="121">
        <f t="shared" si="2"/>
        <v>9984.8123109000007</v>
      </c>
      <c r="I14" s="122">
        <f t="shared" si="3"/>
        <v>12203.659491100001</v>
      </c>
      <c r="L14" s="184" t="s">
        <v>231</v>
      </c>
      <c r="M14" s="184" t="s">
        <v>278</v>
      </c>
      <c r="N14" s="184" t="s">
        <v>279</v>
      </c>
      <c r="O14" s="184" t="s">
        <v>305</v>
      </c>
      <c r="P14" s="83">
        <f t="shared" ca="1" si="4"/>
        <v>1</v>
      </c>
      <c r="Q14" s="82">
        <f t="shared" ca="1" si="5"/>
        <v>11094.235901</v>
      </c>
      <c r="R14" s="82">
        <f t="shared" ca="1" si="6"/>
        <v>11094.235901</v>
      </c>
      <c r="S14" s="82">
        <f t="shared" ca="1" si="7"/>
        <v>11094.235901</v>
      </c>
      <c r="T14" s="83" cm="1">
        <f t="array" aca="1" ref="T14" ca="1">_xlfn.STDEV.P(_xlfn._xlws.FILTER(INDIRECT("'"&amp;L14&amp;"'!"&amp;N14),INDIRECT("'"&amp;L14&amp;"'!"&amp;M14)=O14))</f>
        <v>0</v>
      </c>
    </row>
    <row r="28" spans="9:9" x14ac:dyDescent="0.3">
      <c r="I28" s="91" t="s">
        <v>545</v>
      </c>
    </row>
  </sheetData>
  <dataValidations count="1">
    <dataValidation type="list" allowBlank="1" showInputMessage="1" showErrorMessage="1" sqref="D3:D14" xr:uid="{A8AB50FD-A1FC-43FB-B14E-9E82B9567E44}">
      <formula1>"Data,Expert Estimate"</formula1>
    </dataValidation>
  </dataValidation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2BE4A-7C30-494C-8A08-702B524ABD28}">
  <sheetPr>
    <tabColor theme="1"/>
  </sheetPr>
  <dimension ref="A1:AX99"/>
  <sheetViews>
    <sheetView workbookViewId="0">
      <selection activeCell="H4" sqref="H4"/>
    </sheetView>
  </sheetViews>
  <sheetFormatPr defaultColWidth="9.109375" defaultRowHeight="14.4" outlineLevelCol="1" x14ac:dyDescent="0.3"/>
  <cols>
    <col min="1" max="1" width="40.6640625" style="32" customWidth="1"/>
    <col min="2" max="2" width="20.6640625" style="32" customWidth="1"/>
    <col min="3" max="3" width="50.6640625" style="32" customWidth="1"/>
    <col min="4" max="6" width="20.6640625" style="32" customWidth="1"/>
    <col min="7" max="13" width="20.6640625" style="33" hidden="1" customWidth="1" outlineLevel="1"/>
    <col min="14" max="14" width="5.6640625" style="33" customWidth="1" collapsed="1"/>
    <col min="15" max="21" width="20.6640625" style="33" hidden="1" customWidth="1" outlineLevel="1"/>
    <col min="22" max="22" width="5.6640625" style="33" customWidth="1" collapsed="1"/>
    <col min="23" max="30" width="20.6640625" style="33" hidden="1" customWidth="1" outlineLevel="1"/>
    <col min="31" max="31" width="5.6640625" style="33" customWidth="1" collapsed="1"/>
    <col min="32" max="38" width="20.6640625" style="33" hidden="1" customWidth="1" outlineLevel="1"/>
    <col min="39" max="39" width="5.6640625" style="33" customWidth="1" collapsed="1"/>
    <col min="40" max="41" width="9.109375" style="33"/>
    <col min="42" max="42" width="11.5546875" style="33" bestFit="1" customWidth="1"/>
    <col min="43" max="44" width="9.109375" style="33"/>
    <col min="45" max="45" width="11.5546875" style="33" bestFit="1" customWidth="1"/>
    <col min="46" max="16384" width="9.109375" style="33"/>
  </cols>
  <sheetData>
    <row r="1" spans="1:50" ht="30" customHeight="1" thickBot="1" x14ac:dyDescent="0.35">
      <c r="A1" s="279" t="s">
        <v>273</v>
      </c>
      <c r="B1" s="280"/>
      <c r="C1" s="280"/>
      <c r="D1" s="280"/>
      <c r="E1" s="280"/>
      <c r="F1" s="280"/>
      <c r="G1" s="280"/>
      <c r="H1" s="280"/>
      <c r="I1" s="280"/>
      <c r="J1" s="280"/>
      <c r="K1" s="280"/>
      <c r="L1" s="280"/>
      <c r="M1" s="280"/>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1"/>
    </row>
    <row r="2" spans="1:50" ht="30" customHeight="1" thickBot="1" x14ac:dyDescent="0.35">
      <c r="A2" s="34" t="s">
        <v>35</v>
      </c>
      <c r="B2" s="35" t="s">
        <v>36</v>
      </c>
      <c r="C2" s="36" t="s">
        <v>37</v>
      </c>
      <c r="D2" s="37" t="s">
        <v>317</v>
      </c>
      <c r="E2" s="36" t="s">
        <v>38</v>
      </c>
      <c r="F2" s="38" t="s">
        <v>453</v>
      </c>
      <c r="G2" s="39" t="s">
        <v>39</v>
      </c>
      <c r="H2" s="36" t="s">
        <v>1</v>
      </c>
      <c r="I2" s="36" t="s">
        <v>2</v>
      </c>
      <c r="J2" s="36" t="s">
        <v>3</v>
      </c>
      <c r="K2" s="36" t="s">
        <v>40</v>
      </c>
      <c r="L2" s="36" t="s">
        <v>41</v>
      </c>
      <c r="M2" s="36" t="s">
        <v>42</v>
      </c>
      <c r="N2" s="40"/>
      <c r="O2" s="36" t="s">
        <v>39</v>
      </c>
      <c r="P2" s="36" t="s">
        <v>1</v>
      </c>
      <c r="Q2" s="36" t="s">
        <v>2</v>
      </c>
      <c r="R2" s="36" t="s">
        <v>3</v>
      </c>
      <c r="S2" s="36" t="s">
        <v>40</v>
      </c>
      <c r="T2" s="36" t="s">
        <v>41</v>
      </c>
      <c r="U2" s="36" t="s">
        <v>42</v>
      </c>
      <c r="V2" s="40"/>
      <c r="W2" s="36" t="s">
        <v>229</v>
      </c>
      <c r="X2" s="36" t="s">
        <v>39</v>
      </c>
      <c r="Y2" s="36" t="s">
        <v>1</v>
      </c>
      <c r="Z2" s="36" t="s">
        <v>2</v>
      </c>
      <c r="AA2" s="36" t="s">
        <v>3</v>
      </c>
      <c r="AB2" s="36" t="s">
        <v>40</v>
      </c>
      <c r="AC2" s="36" t="s">
        <v>41</v>
      </c>
      <c r="AD2" s="36" t="s">
        <v>42</v>
      </c>
      <c r="AE2" s="40"/>
      <c r="AF2" s="36" t="s">
        <v>39</v>
      </c>
      <c r="AG2" s="36" t="s">
        <v>1</v>
      </c>
      <c r="AH2" s="36" t="s">
        <v>2</v>
      </c>
      <c r="AI2" s="36" t="s">
        <v>3</v>
      </c>
      <c r="AJ2" s="36" t="s">
        <v>40</v>
      </c>
      <c r="AK2" s="36" t="s">
        <v>41</v>
      </c>
      <c r="AL2" s="36" t="s">
        <v>42</v>
      </c>
      <c r="AM2" s="41"/>
    </row>
    <row r="3" spans="1:50" ht="15" customHeight="1" thickBot="1" x14ac:dyDescent="0.35">
      <c r="A3" s="195" t="s">
        <v>290</v>
      </c>
      <c r="B3" s="196" t="s">
        <v>291</v>
      </c>
      <c r="C3" s="197" t="s">
        <v>269</v>
      </c>
      <c r="D3" s="198" t="s">
        <v>0</v>
      </c>
      <c r="E3" s="199">
        <v>0</v>
      </c>
      <c r="F3" s="200">
        <v>0</v>
      </c>
      <c r="G3" s="201">
        <v>0</v>
      </c>
      <c r="H3" s="199">
        <v>5.8804411116012353E-3</v>
      </c>
      <c r="I3" s="199">
        <v>9.7563724217026911E-3</v>
      </c>
      <c r="J3" s="199">
        <v>0</v>
      </c>
      <c r="K3" s="199">
        <v>3.1186590207322455E-3</v>
      </c>
      <c r="L3" s="199">
        <v>2.3310831936479929E-3</v>
      </c>
      <c r="M3" s="199">
        <v>-1.6003528892809881E-2</v>
      </c>
      <c r="N3" s="282" t="s">
        <v>46</v>
      </c>
      <c r="O3" s="201">
        <v>0</v>
      </c>
      <c r="P3" s="199">
        <v>5.8804411116012353E-3</v>
      </c>
      <c r="Q3" s="199">
        <v>9.7563724217026911E-3</v>
      </c>
      <c r="R3" s="199">
        <v>0</v>
      </c>
      <c r="S3" s="199">
        <v>3.1186590207322455E-3</v>
      </c>
      <c r="T3" s="199">
        <v>2.3310831936479929E-3</v>
      </c>
      <c r="U3" s="199">
        <v>-1.6003528892809881E-2</v>
      </c>
      <c r="V3" s="282" t="s">
        <v>47</v>
      </c>
      <c r="W3" s="199">
        <v>0</v>
      </c>
      <c r="X3" s="201">
        <v>0</v>
      </c>
      <c r="Y3" s="199">
        <v>0</v>
      </c>
      <c r="Z3" s="199">
        <v>0</v>
      </c>
      <c r="AA3" s="199">
        <v>0</v>
      </c>
      <c r="AB3" s="199">
        <v>0</v>
      </c>
      <c r="AC3" s="199">
        <v>0</v>
      </c>
      <c r="AD3" s="199">
        <v>0</v>
      </c>
      <c r="AE3" s="282" t="s">
        <v>48</v>
      </c>
      <c r="AF3" s="201">
        <v>0</v>
      </c>
      <c r="AG3" s="199">
        <v>5.8804411116012353E-3</v>
      </c>
      <c r="AH3" s="199">
        <v>0</v>
      </c>
      <c r="AI3" s="199">
        <v>0</v>
      </c>
      <c r="AJ3" s="199">
        <v>0</v>
      </c>
      <c r="AK3" s="199">
        <v>0</v>
      </c>
      <c r="AL3" s="199">
        <v>0</v>
      </c>
      <c r="AM3" s="285" t="s">
        <v>49</v>
      </c>
      <c r="AO3" s="49"/>
      <c r="AP3" s="49"/>
      <c r="AQ3" s="49"/>
      <c r="AS3" s="50"/>
      <c r="AT3" s="50"/>
      <c r="AU3" s="50"/>
      <c r="AV3" s="50"/>
      <c r="AW3" s="50"/>
      <c r="AX3" s="50"/>
    </row>
    <row r="4" spans="1:50" ht="15" customHeight="1" x14ac:dyDescent="0.3">
      <c r="A4" s="42" t="s">
        <v>43</v>
      </c>
      <c r="B4" s="43" t="s">
        <v>44</v>
      </c>
      <c r="C4" s="44" t="s">
        <v>44</v>
      </c>
      <c r="D4" s="45" t="s">
        <v>45</v>
      </c>
      <c r="E4" s="46">
        <v>0</v>
      </c>
      <c r="F4" s="47">
        <v>1.0352889280988089</v>
      </c>
      <c r="G4" s="48">
        <v>0.18379726510807234</v>
      </c>
      <c r="H4" s="46">
        <v>5.8804411116012353E-3</v>
      </c>
      <c r="I4" s="46">
        <v>9.7563724217026911E-3</v>
      </c>
      <c r="J4" s="46">
        <v>0</v>
      </c>
      <c r="K4" s="46">
        <v>3.1186590207322455E-3</v>
      </c>
      <c r="L4" s="46">
        <v>2.3310831936479929E-3</v>
      </c>
      <c r="M4" s="46">
        <v>-1.6003528892809881E-2</v>
      </c>
      <c r="N4" s="283"/>
      <c r="O4" s="48">
        <v>0.18379726510807234</v>
      </c>
      <c r="P4" s="46">
        <v>5.8804411116012353E-3</v>
      </c>
      <c r="Q4" s="46">
        <v>9.7563724217026911E-3</v>
      </c>
      <c r="R4" s="46">
        <v>0</v>
      </c>
      <c r="S4" s="46">
        <v>3.1186590207322455E-3</v>
      </c>
      <c r="T4" s="46">
        <v>2.3310831936479929E-3</v>
      </c>
      <c r="U4" s="46">
        <v>-1.6003528892809881E-2</v>
      </c>
      <c r="V4" s="283"/>
      <c r="W4" s="46">
        <f>SUM(X4:AC4)</f>
        <v>0.20488382085575652</v>
      </c>
      <c r="X4" s="48">
        <v>0.18379726510807234</v>
      </c>
      <c r="Y4" s="46">
        <v>5.8804411116012353E-3</v>
      </c>
      <c r="Z4" s="46">
        <v>9.7563724217026911E-3</v>
      </c>
      <c r="AA4" s="46">
        <v>0</v>
      </c>
      <c r="AB4" s="46">
        <v>3.1186590207322455E-3</v>
      </c>
      <c r="AC4" s="46">
        <v>2.3310831936479929E-3</v>
      </c>
      <c r="AD4" s="46">
        <v>-1.6003528892809881E-2</v>
      </c>
      <c r="AE4" s="283"/>
      <c r="AF4" s="48">
        <v>0.18379726510807234</v>
      </c>
      <c r="AG4" s="46">
        <v>5.8804411116012353E-3</v>
      </c>
      <c r="AH4" s="46">
        <v>9.7563724217026911E-3</v>
      </c>
      <c r="AI4" s="46">
        <v>0</v>
      </c>
      <c r="AJ4" s="46">
        <v>3.1186590207322455E-3</v>
      </c>
      <c r="AK4" s="46">
        <v>2.3310831936479929E-3</v>
      </c>
      <c r="AL4" s="46">
        <v>-1.6003528892809881E-2</v>
      </c>
      <c r="AM4" s="286"/>
      <c r="AO4" s="49"/>
      <c r="AP4" s="49"/>
      <c r="AQ4" s="49"/>
      <c r="AS4" s="50"/>
      <c r="AT4" s="50"/>
      <c r="AU4" s="50"/>
      <c r="AV4" s="50"/>
      <c r="AW4" s="50"/>
      <c r="AX4" s="50"/>
    </row>
    <row r="5" spans="1:50" ht="15" customHeight="1" x14ac:dyDescent="0.3">
      <c r="A5" s="51" t="s">
        <v>50</v>
      </c>
      <c r="B5" s="52" t="s">
        <v>51</v>
      </c>
      <c r="C5" s="53" t="s">
        <v>52</v>
      </c>
      <c r="D5" s="54" t="s">
        <v>53</v>
      </c>
      <c r="E5" s="55">
        <v>0.60099999999999998</v>
      </c>
      <c r="F5" s="56">
        <v>1031.5800000000002</v>
      </c>
      <c r="G5" s="57">
        <v>189.30645800000002</v>
      </c>
      <c r="H5" s="58">
        <v>6.252998400000001</v>
      </c>
      <c r="I5" s="58">
        <v>11.982936674622225</v>
      </c>
      <c r="J5" s="58">
        <v>0</v>
      </c>
      <c r="K5" s="58">
        <v>3.1108000000000007</v>
      </c>
      <c r="L5" s="58">
        <v>15.442218870222224</v>
      </c>
      <c r="M5" s="58">
        <v>-19.390800000000002</v>
      </c>
      <c r="N5" s="283"/>
      <c r="O5" s="59">
        <v>189.30645800000002</v>
      </c>
      <c r="P5" s="60">
        <v>6.252998400000001</v>
      </c>
      <c r="Q5" s="60">
        <v>11.982936674622225</v>
      </c>
      <c r="R5" s="60">
        <v>0</v>
      </c>
      <c r="S5" s="60">
        <v>3.1108000000000007</v>
      </c>
      <c r="T5" s="60">
        <v>15.442218870222224</v>
      </c>
      <c r="U5" s="60">
        <v>-19.390800000000002</v>
      </c>
      <c r="V5" s="283"/>
      <c r="W5" s="60">
        <f>SUM(X5:AC5)</f>
        <v>226.0954119448445</v>
      </c>
      <c r="X5" s="59">
        <v>189.30645800000002</v>
      </c>
      <c r="Y5" s="60">
        <v>6.252998400000001</v>
      </c>
      <c r="Z5" s="60">
        <v>11.982936674622225</v>
      </c>
      <c r="AA5" s="60">
        <v>0</v>
      </c>
      <c r="AB5" s="60">
        <v>3.1108000000000007</v>
      </c>
      <c r="AC5" s="60">
        <v>15.442218870222224</v>
      </c>
      <c r="AD5" s="60">
        <v>-19.390800000000002</v>
      </c>
      <c r="AE5" s="283"/>
      <c r="AF5" s="59">
        <v>189.30645800000002</v>
      </c>
      <c r="AG5" s="60">
        <v>6.252998400000001</v>
      </c>
      <c r="AH5" s="60">
        <v>11.982936674622225</v>
      </c>
      <c r="AI5" s="60">
        <v>0.46889822222222233</v>
      </c>
      <c r="AJ5" s="60">
        <v>3.1108000000000007</v>
      </c>
      <c r="AK5" s="60">
        <v>15.442218870222224</v>
      </c>
      <c r="AL5" s="60">
        <v>-19.390800000000002</v>
      </c>
      <c r="AM5" s="286"/>
      <c r="AO5" s="49"/>
      <c r="AP5" s="49"/>
      <c r="AQ5" s="49"/>
      <c r="AS5" s="50"/>
      <c r="AT5" s="50"/>
      <c r="AU5" s="50"/>
      <c r="AV5" s="50"/>
      <c r="AW5" s="50"/>
      <c r="AX5" s="50"/>
    </row>
    <row r="6" spans="1:50" ht="15" customHeight="1" x14ac:dyDescent="0.3">
      <c r="A6" s="51" t="s">
        <v>54</v>
      </c>
      <c r="B6" s="52" t="s">
        <v>51</v>
      </c>
      <c r="C6" s="53" t="s">
        <v>55</v>
      </c>
      <c r="D6" s="54" t="s">
        <v>53</v>
      </c>
      <c r="E6" s="55">
        <v>0.501</v>
      </c>
      <c r="F6" s="56">
        <v>775.61000000000013</v>
      </c>
      <c r="G6" s="57">
        <v>144.976315</v>
      </c>
      <c r="H6" s="58">
        <v>4.7990888000000007</v>
      </c>
      <c r="I6" s="58">
        <v>9.6258589615222245</v>
      </c>
      <c r="J6" s="58">
        <v>0</v>
      </c>
      <c r="K6" s="58">
        <v>2.3331000000000004</v>
      </c>
      <c r="L6" s="58">
        <v>14.862417208222224</v>
      </c>
      <c r="M6" s="58">
        <v>-16.264600000000002</v>
      </c>
      <c r="N6" s="283"/>
      <c r="O6" s="59">
        <v>144.976315</v>
      </c>
      <c r="P6" s="60">
        <v>4.7990888000000007</v>
      </c>
      <c r="Q6" s="60">
        <v>9.6258589615222245</v>
      </c>
      <c r="R6" s="60">
        <v>0</v>
      </c>
      <c r="S6" s="60">
        <v>2.3331000000000004</v>
      </c>
      <c r="T6" s="60">
        <v>14.862417208222224</v>
      </c>
      <c r="U6" s="60">
        <v>-16.264600000000002</v>
      </c>
      <c r="V6" s="283"/>
      <c r="W6" s="60">
        <f t="shared" ref="W6:W69" si="0">SUM(X6:AC6)</f>
        <v>176.59677996974443</v>
      </c>
      <c r="X6" s="59">
        <v>144.976315</v>
      </c>
      <c r="Y6" s="60">
        <v>4.7990888000000007</v>
      </c>
      <c r="Z6" s="60">
        <v>9.6258589615222245</v>
      </c>
      <c r="AA6" s="60">
        <v>0</v>
      </c>
      <c r="AB6" s="60">
        <v>2.3331000000000004</v>
      </c>
      <c r="AC6" s="60">
        <v>14.862417208222224</v>
      </c>
      <c r="AD6" s="60">
        <v>-16.264600000000002</v>
      </c>
      <c r="AE6" s="283"/>
      <c r="AF6" s="59">
        <v>144.976315</v>
      </c>
      <c r="AG6" s="60">
        <v>4.7990888000000007</v>
      </c>
      <c r="AH6" s="60">
        <v>9.6258589615222245</v>
      </c>
      <c r="AI6" s="60">
        <v>0.46889822222222233</v>
      </c>
      <c r="AJ6" s="60">
        <v>2.3331000000000004</v>
      </c>
      <c r="AK6" s="60">
        <v>14.862417208222224</v>
      </c>
      <c r="AL6" s="60">
        <v>-16.264600000000002</v>
      </c>
      <c r="AM6" s="286"/>
      <c r="AO6" s="49"/>
      <c r="AP6" s="49"/>
      <c r="AQ6" s="49"/>
      <c r="AS6" s="50"/>
      <c r="AT6" s="50"/>
      <c r="AU6" s="50"/>
      <c r="AV6" s="50"/>
      <c r="AW6" s="50"/>
      <c r="AX6" s="50"/>
    </row>
    <row r="7" spans="1:50" ht="15" customHeight="1" x14ac:dyDescent="0.3">
      <c r="A7" s="61" t="s">
        <v>56</v>
      </c>
      <c r="B7" s="62" t="s">
        <v>51</v>
      </c>
      <c r="C7" s="53" t="s">
        <v>57</v>
      </c>
      <c r="D7" s="54" t="s">
        <v>53</v>
      </c>
      <c r="E7" s="55">
        <v>0.79100000000000004</v>
      </c>
      <c r="F7" s="56">
        <v>553.62</v>
      </c>
      <c r="G7" s="57">
        <v>112.81566099999999</v>
      </c>
      <c r="H7" s="58">
        <v>4.2702239999999998</v>
      </c>
      <c r="I7" s="58">
        <v>6.7912046551666663</v>
      </c>
      <c r="J7" s="58">
        <v>0</v>
      </c>
      <c r="K7" s="58">
        <v>1.6444000000000001</v>
      </c>
      <c r="L7" s="58">
        <v>6.5978694366666666</v>
      </c>
      <c r="M7" s="58">
        <v>-8.2664000000000009</v>
      </c>
      <c r="N7" s="283"/>
      <c r="O7" s="59">
        <v>112.81566099999999</v>
      </c>
      <c r="P7" s="60">
        <v>4.2702239999999998</v>
      </c>
      <c r="Q7" s="60">
        <v>6.7912046551666663</v>
      </c>
      <c r="R7" s="60">
        <v>0</v>
      </c>
      <c r="S7" s="60">
        <v>1.6444000000000001</v>
      </c>
      <c r="T7" s="60">
        <v>6.5978694366666666</v>
      </c>
      <c r="U7" s="60">
        <v>-8.2664000000000009</v>
      </c>
      <c r="V7" s="283"/>
      <c r="W7" s="60">
        <f t="shared" si="0"/>
        <v>132.11935909183333</v>
      </c>
      <c r="X7" s="59">
        <v>112.81566099999999</v>
      </c>
      <c r="Y7" s="60">
        <v>4.2702239999999998</v>
      </c>
      <c r="Z7" s="60">
        <v>6.7912046551666663</v>
      </c>
      <c r="AA7" s="60">
        <v>0</v>
      </c>
      <c r="AB7" s="60">
        <v>1.6444000000000001</v>
      </c>
      <c r="AC7" s="60">
        <v>6.5978694366666666</v>
      </c>
      <c r="AD7" s="60">
        <v>-8.2664000000000009</v>
      </c>
      <c r="AE7" s="283"/>
      <c r="AF7" s="59">
        <v>112.81566099999999</v>
      </c>
      <c r="AG7" s="60">
        <v>4.2702239999999998</v>
      </c>
      <c r="AH7" s="60">
        <v>6.7912046551666663</v>
      </c>
      <c r="AI7" s="60">
        <v>0.25576266666666664</v>
      </c>
      <c r="AJ7" s="60">
        <v>1.6444000000000001</v>
      </c>
      <c r="AK7" s="60">
        <v>6.5978694366666666</v>
      </c>
      <c r="AL7" s="60">
        <v>-8.2664000000000009</v>
      </c>
      <c r="AM7" s="286"/>
      <c r="AO7" s="49"/>
      <c r="AP7" s="49"/>
      <c r="AQ7" s="49"/>
      <c r="AS7" s="50"/>
      <c r="AT7" s="50"/>
      <c r="AU7" s="50"/>
      <c r="AV7" s="50"/>
      <c r="AW7" s="50"/>
      <c r="AX7" s="50"/>
    </row>
    <row r="8" spans="1:50" ht="15" customHeight="1" x14ac:dyDescent="0.3">
      <c r="A8" s="61" t="s">
        <v>58</v>
      </c>
      <c r="B8" s="62" t="s">
        <v>59</v>
      </c>
      <c r="C8" s="53" t="s">
        <v>60</v>
      </c>
      <c r="D8" s="54" t="s">
        <v>0</v>
      </c>
      <c r="E8" s="55">
        <v>0.70020000000000004</v>
      </c>
      <c r="F8" s="56">
        <v>726.34500000000003</v>
      </c>
      <c r="G8" s="57">
        <v>94.612512000000009</v>
      </c>
      <c r="H8" s="58">
        <v>8.8872119999999999</v>
      </c>
      <c r="I8" s="58">
        <v>9.7943169280000006</v>
      </c>
      <c r="J8" s="58">
        <v>0</v>
      </c>
      <c r="K8" s="58">
        <v>3.4149034400000002</v>
      </c>
      <c r="L8" s="58">
        <v>31.069913120000002</v>
      </c>
      <c r="M8" s="58">
        <v>-23.63304956</v>
      </c>
      <c r="N8" s="283"/>
      <c r="O8" s="59">
        <v>94.612512000000009</v>
      </c>
      <c r="P8" s="60">
        <v>8.8872119999999999</v>
      </c>
      <c r="Q8" s="60">
        <v>9.7943169280000006</v>
      </c>
      <c r="R8" s="60">
        <v>0</v>
      </c>
      <c r="S8" s="60">
        <v>3.4149034400000002</v>
      </c>
      <c r="T8" s="60">
        <v>31.069913120000002</v>
      </c>
      <c r="U8" s="60">
        <v>-23.63304956</v>
      </c>
      <c r="V8" s="283"/>
      <c r="W8" s="60">
        <f t="shared" si="0"/>
        <v>147.77885748800003</v>
      </c>
      <c r="X8" s="59">
        <v>94.612512000000009</v>
      </c>
      <c r="Y8" s="60">
        <v>8.8872119999999999</v>
      </c>
      <c r="Z8" s="60">
        <v>9.7943169280000006</v>
      </c>
      <c r="AA8" s="60">
        <v>0</v>
      </c>
      <c r="AB8" s="60">
        <v>3.4149034400000002</v>
      </c>
      <c r="AC8" s="60">
        <v>31.069913120000002</v>
      </c>
      <c r="AD8" s="60">
        <v>-23.63304956</v>
      </c>
      <c r="AE8" s="283"/>
      <c r="AF8" s="59">
        <v>94.612512000000009</v>
      </c>
      <c r="AG8" s="60">
        <v>8.8872119999999999</v>
      </c>
      <c r="AH8" s="60">
        <v>9.7943169280000006</v>
      </c>
      <c r="AI8" s="60">
        <v>0</v>
      </c>
      <c r="AJ8" s="60">
        <v>3.4149034400000002</v>
      </c>
      <c r="AK8" s="60">
        <v>31.069913120000002</v>
      </c>
      <c r="AL8" s="60">
        <v>-23.63304956</v>
      </c>
      <c r="AM8" s="286"/>
      <c r="AO8" s="49"/>
      <c r="AP8" s="49"/>
      <c r="AQ8" s="49"/>
      <c r="AS8" s="50"/>
      <c r="AT8" s="50"/>
      <c r="AU8" s="50"/>
      <c r="AV8" s="50"/>
      <c r="AW8" s="50"/>
      <c r="AX8" s="50"/>
    </row>
    <row r="9" spans="1:50" ht="15" customHeight="1" x14ac:dyDescent="0.3">
      <c r="A9" s="61" t="s">
        <v>61</v>
      </c>
      <c r="B9" s="62" t="s">
        <v>59</v>
      </c>
      <c r="C9" s="53" t="s">
        <v>62</v>
      </c>
      <c r="D9" s="54" t="s">
        <v>0</v>
      </c>
      <c r="E9" s="55">
        <v>0.62519999999999998</v>
      </c>
      <c r="F9" s="56">
        <v>378.67999999999995</v>
      </c>
      <c r="G9" s="57">
        <v>73.257698000000005</v>
      </c>
      <c r="H9" s="58">
        <v>3.6732559999999999</v>
      </c>
      <c r="I9" s="58">
        <v>7.872638192000001</v>
      </c>
      <c r="J9" s="58">
        <v>0</v>
      </c>
      <c r="K9" s="58">
        <v>1.2893415000000001</v>
      </c>
      <c r="L9" s="58">
        <v>24.553684839999999</v>
      </c>
      <c r="M9" s="58">
        <v>-18.013446600000002</v>
      </c>
      <c r="N9" s="283"/>
      <c r="O9" s="59">
        <v>73.257698000000005</v>
      </c>
      <c r="P9" s="60">
        <v>3.6732559999999999</v>
      </c>
      <c r="Q9" s="60">
        <v>7.872638192000001</v>
      </c>
      <c r="R9" s="60">
        <v>0</v>
      </c>
      <c r="S9" s="60">
        <v>1.2893415000000001</v>
      </c>
      <c r="T9" s="60">
        <v>24.553684839999999</v>
      </c>
      <c r="U9" s="60">
        <v>-18.013446600000002</v>
      </c>
      <c r="V9" s="283"/>
      <c r="W9" s="60">
        <f t="shared" si="0"/>
        <v>110.64661853200001</v>
      </c>
      <c r="X9" s="59">
        <v>73.257698000000005</v>
      </c>
      <c r="Y9" s="60">
        <v>3.6732559999999999</v>
      </c>
      <c r="Z9" s="60">
        <v>7.872638192000001</v>
      </c>
      <c r="AA9" s="60">
        <v>0</v>
      </c>
      <c r="AB9" s="60">
        <v>1.2893415000000001</v>
      </c>
      <c r="AC9" s="60">
        <v>24.553684839999999</v>
      </c>
      <c r="AD9" s="60">
        <v>-18.013446600000002</v>
      </c>
      <c r="AE9" s="283"/>
      <c r="AF9" s="59">
        <v>73.257698000000005</v>
      </c>
      <c r="AG9" s="60">
        <v>3.6732559999999999</v>
      </c>
      <c r="AH9" s="60">
        <v>7.872638192000001</v>
      </c>
      <c r="AI9" s="60">
        <v>0</v>
      </c>
      <c r="AJ9" s="60">
        <v>1.2893415000000001</v>
      </c>
      <c r="AK9" s="60">
        <v>24.553684839999999</v>
      </c>
      <c r="AL9" s="60">
        <v>-18.013446600000002</v>
      </c>
      <c r="AM9" s="286"/>
      <c r="AO9" s="49"/>
      <c r="AP9" s="49"/>
      <c r="AQ9" s="49"/>
      <c r="AS9" s="50"/>
      <c r="AT9" s="50"/>
      <c r="AU9" s="50"/>
      <c r="AV9" s="50"/>
      <c r="AW9" s="50"/>
      <c r="AX9" s="50"/>
    </row>
    <row r="10" spans="1:50" ht="15" customHeight="1" x14ac:dyDescent="0.3">
      <c r="A10" s="61" t="s">
        <v>63</v>
      </c>
      <c r="B10" s="62" t="s">
        <v>59</v>
      </c>
      <c r="C10" s="53" t="s">
        <v>64</v>
      </c>
      <c r="D10" s="54" t="s">
        <v>0</v>
      </c>
      <c r="E10" s="55">
        <v>0.85019999999999996</v>
      </c>
      <c r="F10" s="56">
        <v>1075.2449999999999</v>
      </c>
      <c r="G10" s="57">
        <v>138.96277199999997</v>
      </c>
      <c r="H10" s="58">
        <v>10.868963999999998</v>
      </c>
      <c r="I10" s="58">
        <v>12.199076770000001</v>
      </c>
      <c r="J10" s="58">
        <v>0</v>
      </c>
      <c r="K10" s="58">
        <v>4.4244034399999999</v>
      </c>
      <c r="L10" s="58">
        <v>31.823597960000001</v>
      </c>
      <c r="M10" s="58">
        <v>-29.039049560000002</v>
      </c>
      <c r="N10" s="283"/>
      <c r="O10" s="59">
        <v>138.96277199999997</v>
      </c>
      <c r="P10" s="60">
        <v>10.868963999999998</v>
      </c>
      <c r="Q10" s="60">
        <v>12.199076770000001</v>
      </c>
      <c r="R10" s="60">
        <v>0</v>
      </c>
      <c r="S10" s="60">
        <v>4.4244034399999999</v>
      </c>
      <c r="T10" s="60">
        <v>31.823597960000001</v>
      </c>
      <c r="U10" s="60">
        <v>-29.039049560000002</v>
      </c>
      <c r="V10" s="283"/>
      <c r="W10" s="60">
        <f>SUM(X10:AC10)</f>
        <v>198.27881416999998</v>
      </c>
      <c r="X10" s="59">
        <v>138.96277199999997</v>
      </c>
      <c r="Y10" s="60">
        <v>10.868963999999998</v>
      </c>
      <c r="Z10" s="60">
        <v>12.199076770000001</v>
      </c>
      <c r="AA10" s="60">
        <v>0</v>
      </c>
      <c r="AB10" s="60">
        <v>4.4244034399999999</v>
      </c>
      <c r="AC10" s="60">
        <v>31.823597960000001</v>
      </c>
      <c r="AD10" s="60">
        <v>-29.039049560000002</v>
      </c>
      <c r="AE10" s="283"/>
      <c r="AF10" s="59">
        <v>138.96277199999997</v>
      </c>
      <c r="AG10" s="60">
        <v>10.868963999999998</v>
      </c>
      <c r="AH10" s="60">
        <v>12.199076770000001</v>
      </c>
      <c r="AI10" s="60">
        <v>0</v>
      </c>
      <c r="AJ10" s="60">
        <v>4.4244034399999999</v>
      </c>
      <c r="AK10" s="60">
        <v>31.823597960000001</v>
      </c>
      <c r="AL10" s="60">
        <v>-29.039049560000002</v>
      </c>
      <c r="AM10" s="286"/>
      <c r="AO10" s="49"/>
      <c r="AP10" s="49"/>
      <c r="AQ10" s="49"/>
      <c r="AS10" s="50"/>
      <c r="AT10" s="50"/>
      <c r="AU10" s="50"/>
      <c r="AV10" s="50"/>
      <c r="AW10" s="50"/>
      <c r="AX10" s="50"/>
    </row>
    <row r="11" spans="1:50" ht="15" customHeight="1" x14ac:dyDescent="0.3">
      <c r="A11" s="61" t="s">
        <v>65</v>
      </c>
      <c r="B11" s="62" t="s">
        <v>66</v>
      </c>
      <c r="C11" s="53" t="s">
        <v>67</v>
      </c>
      <c r="D11" s="54" t="s">
        <v>45</v>
      </c>
      <c r="E11" s="55">
        <v>0.32</v>
      </c>
      <c r="F11" s="56">
        <v>1</v>
      </c>
      <c r="G11" s="57">
        <v>0.144473455178416</v>
      </c>
      <c r="H11" s="58">
        <v>1.704E-2</v>
      </c>
      <c r="I11" s="58">
        <v>8.3400330722367272E-3</v>
      </c>
      <c r="J11" s="58">
        <v>0</v>
      </c>
      <c r="K11" s="58">
        <v>3.0461270670147952E-3</v>
      </c>
      <c r="L11" s="58">
        <v>2.2410791993037423E-3</v>
      </c>
      <c r="M11" s="58">
        <v>-2.0735422106179283E-3</v>
      </c>
      <c r="N11" s="283"/>
      <c r="O11" s="59">
        <v>0.144473455178416</v>
      </c>
      <c r="P11" s="60">
        <v>1.704E-2</v>
      </c>
      <c r="Q11" s="60">
        <v>8.3400330722367272E-3</v>
      </c>
      <c r="R11" s="60">
        <v>0</v>
      </c>
      <c r="S11" s="60">
        <v>3.0461270670147952E-3</v>
      </c>
      <c r="T11" s="60">
        <v>2.2410791993037423E-3</v>
      </c>
      <c r="U11" s="60">
        <v>-2.0735422106179283E-3</v>
      </c>
      <c r="V11" s="283"/>
      <c r="W11" s="60">
        <f t="shared" si="0"/>
        <v>0.17514069451697126</v>
      </c>
      <c r="X11" s="59">
        <v>0.144473455178416</v>
      </c>
      <c r="Y11" s="60">
        <v>1.704E-2</v>
      </c>
      <c r="Z11" s="60">
        <v>8.3400330722367272E-3</v>
      </c>
      <c r="AA11" s="60">
        <v>0</v>
      </c>
      <c r="AB11" s="60">
        <v>3.0461270670147952E-3</v>
      </c>
      <c r="AC11" s="60">
        <v>2.2410791993037423E-3</v>
      </c>
      <c r="AD11" s="60">
        <v>-2.0735422106179283E-3</v>
      </c>
      <c r="AE11" s="283"/>
      <c r="AF11" s="59">
        <v>0.144473455178416</v>
      </c>
      <c r="AG11" s="60">
        <v>1.704E-2</v>
      </c>
      <c r="AH11" s="60">
        <v>8.3400330722367272E-3</v>
      </c>
      <c r="AI11" s="60">
        <v>0</v>
      </c>
      <c r="AJ11" s="60">
        <v>3.0461270670147952E-3</v>
      </c>
      <c r="AK11" s="60">
        <v>2.2410791993037423E-3</v>
      </c>
      <c r="AL11" s="60">
        <v>-2.0735422106179283E-3</v>
      </c>
      <c r="AM11" s="286"/>
      <c r="AO11" s="49"/>
      <c r="AP11" s="49"/>
      <c r="AQ11" s="49"/>
      <c r="AS11" s="50"/>
      <c r="AT11" s="50"/>
      <c r="AU11" s="50"/>
      <c r="AV11" s="50"/>
      <c r="AW11" s="50"/>
      <c r="AX11" s="50"/>
    </row>
    <row r="12" spans="1:50" ht="15" customHeight="1" x14ac:dyDescent="0.3">
      <c r="A12" s="61" t="s">
        <v>68</v>
      </c>
      <c r="B12" s="62" t="s">
        <v>66</v>
      </c>
      <c r="C12" s="53" t="s">
        <v>69</v>
      </c>
      <c r="D12" s="54" t="s">
        <v>45</v>
      </c>
      <c r="E12" s="55">
        <v>0.28000000000000003</v>
      </c>
      <c r="F12" s="56">
        <v>4.2710888610763451</v>
      </c>
      <c r="G12" s="57">
        <v>-0.95867363579474363</v>
      </c>
      <c r="H12" s="58">
        <v>0.17761978473091361</v>
      </c>
      <c r="I12" s="58">
        <v>4.090772897434293E-2</v>
      </c>
      <c r="J12" s="58">
        <v>0</v>
      </c>
      <c r="K12" s="58">
        <v>1.5922440550688362</v>
      </c>
      <c r="L12" s="58">
        <v>6.9643754818523133E-3</v>
      </c>
      <c r="M12" s="58">
        <v>-0.90007384230287857</v>
      </c>
      <c r="N12" s="283"/>
      <c r="O12" s="59">
        <v>-0.95867363579474363</v>
      </c>
      <c r="P12" s="60">
        <v>0.17761978473091361</v>
      </c>
      <c r="Q12" s="60">
        <v>4.090772897434293E-2</v>
      </c>
      <c r="R12" s="60">
        <v>0</v>
      </c>
      <c r="S12" s="60">
        <v>1.5922440550688362</v>
      </c>
      <c r="T12" s="60">
        <v>6.9643754818523133E-3</v>
      </c>
      <c r="U12" s="60">
        <v>-0.90007384230287857</v>
      </c>
      <c r="V12" s="283"/>
      <c r="W12" s="60">
        <f t="shared" si="0"/>
        <v>0.85906230846120135</v>
      </c>
      <c r="X12" s="59">
        <v>-0.95867363579474363</v>
      </c>
      <c r="Y12" s="60">
        <v>0.17761978473091361</v>
      </c>
      <c r="Z12" s="60">
        <v>4.090772897434293E-2</v>
      </c>
      <c r="AA12" s="60">
        <v>0</v>
      </c>
      <c r="AB12" s="60">
        <v>1.5922440550688362</v>
      </c>
      <c r="AC12" s="60">
        <v>6.9643754818523133E-3</v>
      </c>
      <c r="AD12" s="60">
        <v>-0.90007384230287857</v>
      </c>
      <c r="AE12" s="283"/>
      <c r="AF12" s="59">
        <v>-0.95867363579474363</v>
      </c>
      <c r="AG12" s="60">
        <v>0.17761978473091361</v>
      </c>
      <c r="AH12" s="60">
        <v>4.090772897434293E-2</v>
      </c>
      <c r="AI12" s="60">
        <v>0</v>
      </c>
      <c r="AJ12" s="60">
        <v>1.5922440550688362</v>
      </c>
      <c r="AK12" s="60">
        <v>6.9643754818523133E-3</v>
      </c>
      <c r="AL12" s="60">
        <v>-0.90007384230287857</v>
      </c>
      <c r="AM12" s="286"/>
      <c r="AO12" s="49"/>
      <c r="AP12" s="49"/>
      <c r="AQ12" s="49"/>
      <c r="AS12" s="50"/>
      <c r="AT12" s="50"/>
      <c r="AU12" s="50"/>
      <c r="AV12" s="50"/>
      <c r="AW12" s="50"/>
      <c r="AX12" s="50"/>
    </row>
    <row r="13" spans="1:50" ht="15" customHeight="1" x14ac:dyDescent="0.3">
      <c r="A13" s="61" t="s">
        <v>70</v>
      </c>
      <c r="B13" s="62" t="s">
        <v>66</v>
      </c>
      <c r="C13" s="53" t="s">
        <v>71</v>
      </c>
      <c r="D13" s="54" t="s">
        <v>45</v>
      </c>
      <c r="E13" s="55">
        <v>0.2</v>
      </c>
      <c r="F13" s="56">
        <v>1</v>
      </c>
      <c r="G13" s="57">
        <v>-1.4127659574468086</v>
      </c>
      <c r="H13" s="58">
        <v>0.15903999999999999</v>
      </c>
      <c r="I13" s="58">
        <v>1.6462638297872347E-2</v>
      </c>
      <c r="J13" s="58">
        <v>0</v>
      </c>
      <c r="K13" s="58">
        <v>1.5829787234042554</v>
      </c>
      <c r="L13" s="58">
        <v>0</v>
      </c>
      <c r="M13" s="58">
        <v>-0.82340425531914896</v>
      </c>
      <c r="N13" s="283"/>
      <c r="O13" s="59">
        <v>-1.4127659574468086</v>
      </c>
      <c r="P13" s="60">
        <v>0.15903999999999999</v>
      </c>
      <c r="Q13" s="60">
        <v>1.6462638297872347E-2</v>
      </c>
      <c r="R13" s="60">
        <v>0</v>
      </c>
      <c r="S13" s="60">
        <v>1.5829787234042554</v>
      </c>
      <c r="T13" s="60">
        <v>0</v>
      </c>
      <c r="U13" s="60">
        <v>-0.82340425531914896</v>
      </c>
      <c r="V13" s="283"/>
      <c r="W13" s="60">
        <f t="shared" si="0"/>
        <v>0.34571540425531921</v>
      </c>
      <c r="X13" s="59">
        <v>-1.4127659574468086</v>
      </c>
      <c r="Y13" s="60">
        <v>0.15903999999999999</v>
      </c>
      <c r="Z13" s="60">
        <v>1.6462638297872347E-2</v>
      </c>
      <c r="AA13" s="60">
        <v>0</v>
      </c>
      <c r="AB13" s="60">
        <v>1.5829787234042554</v>
      </c>
      <c r="AC13" s="60">
        <v>0</v>
      </c>
      <c r="AD13" s="60">
        <v>-0.82340425531914896</v>
      </c>
      <c r="AE13" s="283"/>
      <c r="AF13" s="59">
        <v>-1.4127659574468086</v>
      </c>
      <c r="AG13" s="60">
        <v>0.15903999999999999</v>
      </c>
      <c r="AH13" s="60">
        <v>1.6462638297872347E-2</v>
      </c>
      <c r="AI13" s="60">
        <v>0</v>
      </c>
      <c r="AJ13" s="60">
        <v>1.5829787234042554</v>
      </c>
      <c r="AK13" s="60">
        <v>0</v>
      </c>
      <c r="AL13" s="60">
        <v>-0.82340425531914896</v>
      </c>
      <c r="AM13" s="286"/>
      <c r="AO13" s="49"/>
      <c r="AP13" s="49"/>
      <c r="AQ13" s="49"/>
      <c r="AS13" s="50"/>
      <c r="AT13" s="50"/>
      <c r="AU13" s="50"/>
      <c r="AV13" s="50"/>
      <c r="AW13" s="50"/>
      <c r="AX13" s="50"/>
    </row>
    <row r="14" spans="1:50" ht="15" customHeight="1" x14ac:dyDescent="0.3">
      <c r="A14" s="61" t="s">
        <v>72</v>
      </c>
      <c r="B14" s="62" t="s">
        <v>66</v>
      </c>
      <c r="C14" s="53" t="s">
        <v>73</v>
      </c>
      <c r="D14" s="54" t="s">
        <v>45</v>
      </c>
      <c r="E14" s="55">
        <v>0.45300000000000001</v>
      </c>
      <c r="F14" s="56">
        <v>1.2553957339978081</v>
      </c>
      <c r="G14" s="57">
        <v>-0.82540320465382067</v>
      </c>
      <c r="H14" s="58">
        <v>5.3564754521175449E-2</v>
      </c>
      <c r="I14" s="58">
        <v>5.7559094940511091E-2</v>
      </c>
      <c r="J14" s="58">
        <v>0</v>
      </c>
      <c r="K14" s="58">
        <v>1.4913961801528792</v>
      </c>
      <c r="L14" s="58">
        <v>3.8802424099071671E-3</v>
      </c>
      <c r="M14" s="58">
        <v>-0.7975651281955205</v>
      </c>
      <c r="N14" s="283"/>
      <c r="O14" s="59">
        <v>-0.82540320465382067</v>
      </c>
      <c r="P14" s="60">
        <v>5.3564754521175449E-2</v>
      </c>
      <c r="Q14" s="60">
        <v>5.7559094940511091E-2</v>
      </c>
      <c r="R14" s="60">
        <v>0</v>
      </c>
      <c r="S14" s="60">
        <v>1.4913961801528792</v>
      </c>
      <c r="T14" s="60">
        <v>3.8802424099071671E-3</v>
      </c>
      <c r="U14" s="60">
        <v>-0.7975651281955205</v>
      </c>
      <c r="V14" s="283"/>
      <c r="W14" s="60">
        <f t="shared" si="0"/>
        <v>0.78099706737065233</v>
      </c>
      <c r="X14" s="59">
        <v>-0.82540320465382067</v>
      </c>
      <c r="Y14" s="60">
        <v>5.3564754521175449E-2</v>
      </c>
      <c r="Z14" s="60">
        <v>5.7559094940511091E-2</v>
      </c>
      <c r="AA14" s="60">
        <v>0</v>
      </c>
      <c r="AB14" s="60">
        <v>1.4913961801528792</v>
      </c>
      <c r="AC14" s="60">
        <v>3.8802424099071671E-3</v>
      </c>
      <c r="AD14" s="60">
        <v>-0.7975651281955205</v>
      </c>
      <c r="AE14" s="283"/>
      <c r="AF14" s="59">
        <v>-0.82540320465382067</v>
      </c>
      <c r="AG14" s="60">
        <v>5.3564754521175449E-2</v>
      </c>
      <c r="AH14" s="60">
        <v>5.7559094940511091E-2</v>
      </c>
      <c r="AI14" s="60">
        <v>0</v>
      </c>
      <c r="AJ14" s="60">
        <v>1.4913961801528792</v>
      </c>
      <c r="AK14" s="60">
        <v>3.8802424099071671E-3</v>
      </c>
      <c r="AL14" s="60">
        <v>-0.7975651281955205</v>
      </c>
      <c r="AM14" s="286"/>
      <c r="AO14" s="49"/>
      <c r="AP14" s="49"/>
      <c r="AQ14" s="49"/>
      <c r="AS14" s="50"/>
      <c r="AT14" s="50"/>
      <c r="AU14" s="50"/>
      <c r="AV14" s="50"/>
      <c r="AW14" s="50"/>
      <c r="AX14" s="50"/>
    </row>
    <row r="15" spans="1:50" ht="15" customHeight="1" x14ac:dyDescent="0.3">
      <c r="A15" s="61" t="s">
        <v>74</v>
      </c>
      <c r="B15" s="62" t="s">
        <v>75</v>
      </c>
      <c r="C15" s="53" t="s">
        <v>76</v>
      </c>
      <c r="D15" s="54" t="s">
        <v>0</v>
      </c>
      <c r="E15" s="55">
        <v>0.22</v>
      </c>
      <c r="F15" s="56">
        <v>344.6</v>
      </c>
      <c r="G15" s="57">
        <v>49.8</v>
      </c>
      <c r="H15" s="58">
        <v>5.8719840000000003</v>
      </c>
      <c r="I15" s="58">
        <v>2.8735991999999997</v>
      </c>
      <c r="J15" s="58">
        <v>0</v>
      </c>
      <c r="K15" s="58">
        <v>1.04</v>
      </c>
      <c r="L15" s="58">
        <v>0.76</v>
      </c>
      <c r="M15" s="58">
        <v>-0.70499999999999996</v>
      </c>
      <c r="N15" s="283"/>
      <c r="O15" s="59">
        <v>49.8</v>
      </c>
      <c r="P15" s="60">
        <v>5.8719840000000003</v>
      </c>
      <c r="Q15" s="60">
        <v>2.8735991999999997</v>
      </c>
      <c r="R15" s="60">
        <v>0</v>
      </c>
      <c r="S15" s="60">
        <v>1.04</v>
      </c>
      <c r="T15" s="60">
        <v>0.76</v>
      </c>
      <c r="U15" s="60">
        <v>-0.70499999999999996</v>
      </c>
      <c r="V15" s="283"/>
      <c r="W15" s="60">
        <f t="shared" si="0"/>
        <v>60.345583199999993</v>
      </c>
      <c r="X15" s="59">
        <v>49.8</v>
      </c>
      <c r="Y15" s="60">
        <v>5.8719840000000003</v>
      </c>
      <c r="Z15" s="60">
        <v>2.8735991999999997</v>
      </c>
      <c r="AA15" s="60">
        <v>0</v>
      </c>
      <c r="AB15" s="60">
        <v>1.04</v>
      </c>
      <c r="AC15" s="60">
        <v>0.76</v>
      </c>
      <c r="AD15" s="60">
        <v>-0.70499999999999996</v>
      </c>
      <c r="AE15" s="283"/>
      <c r="AF15" s="59">
        <v>49.8</v>
      </c>
      <c r="AG15" s="60">
        <v>5.8719840000000003</v>
      </c>
      <c r="AH15" s="60">
        <v>2.8735991999999997</v>
      </c>
      <c r="AI15" s="60">
        <v>0</v>
      </c>
      <c r="AJ15" s="60">
        <v>1.04</v>
      </c>
      <c r="AK15" s="60">
        <v>0.76</v>
      </c>
      <c r="AL15" s="60">
        <v>-0.70499999999999996</v>
      </c>
      <c r="AM15" s="286"/>
      <c r="AO15" s="49"/>
      <c r="AP15" s="49"/>
      <c r="AQ15" s="49"/>
      <c r="AS15" s="50"/>
      <c r="AT15" s="50"/>
      <c r="AU15" s="50"/>
      <c r="AV15" s="50"/>
      <c r="AW15" s="50"/>
      <c r="AX15" s="50"/>
    </row>
    <row r="16" spans="1:50" ht="15" customHeight="1" x14ac:dyDescent="0.3">
      <c r="A16" s="61" t="s">
        <v>77</v>
      </c>
      <c r="B16" s="62" t="s">
        <v>75</v>
      </c>
      <c r="C16" s="53" t="s">
        <v>78</v>
      </c>
      <c r="D16" s="54" t="s">
        <v>0</v>
      </c>
      <c r="E16" s="55">
        <v>0.45300000000000001</v>
      </c>
      <c r="F16" s="56">
        <v>35.651649999999997</v>
      </c>
      <c r="G16" s="57">
        <v>-22.730601500000002</v>
      </c>
      <c r="H16" s="58">
        <v>1.5661984611239999</v>
      </c>
      <c r="I16" s="58">
        <v>1.6752574403562004</v>
      </c>
      <c r="J16" s="58">
        <v>0</v>
      </c>
      <c r="K16" s="58">
        <v>41.977916199500001</v>
      </c>
      <c r="L16" s="58">
        <v>0.11409607349999999</v>
      </c>
      <c r="M16" s="58">
        <v>-22.454875000000001</v>
      </c>
      <c r="N16" s="283"/>
      <c r="O16" s="59">
        <v>-22.730601500000002</v>
      </c>
      <c r="P16" s="60">
        <v>1.5661984611239999</v>
      </c>
      <c r="Q16" s="60">
        <v>1.6752574403562004</v>
      </c>
      <c r="R16" s="60">
        <v>0</v>
      </c>
      <c r="S16" s="60">
        <v>41.977916199500001</v>
      </c>
      <c r="T16" s="60">
        <v>0.11409607349999999</v>
      </c>
      <c r="U16" s="60">
        <v>-22.454875000000001</v>
      </c>
      <c r="V16" s="283"/>
      <c r="W16" s="60">
        <f t="shared" si="0"/>
        <v>22.6028666744802</v>
      </c>
      <c r="X16" s="59">
        <v>-22.730601500000002</v>
      </c>
      <c r="Y16" s="60">
        <v>1.5661984611239999</v>
      </c>
      <c r="Z16" s="60">
        <v>1.6752574403562004</v>
      </c>
      <c r="AA16" s="60">
        <v>0</v>
      </c>
      <c r="AB16" s="60">
        <v>41.977916199500001</v>
      </c>
      <c r="AC16" s="60">
        <v>0.11409607349999999</v>
      </c>
      <c r="AD16" s="60">
        <v>-22.454875000000001</v>
      </c>
      <c r="AE16" s="283"/>
      <c r="AF16" s="59">
        <v>-22.730601500000002</v>
      </c>
      <c r="AG16" s="60">
        <v>1.5661984611239999</v>
      </c>
      <c r="AH16" s="60">
        <v>1.6752574403562004</v>
      </c>
      <c r="AI16" s="60">
        <v>0</v>
      </c>
      <c r="AJ16" s="60">
        <v>41.977916199500001</v>
      </c>
      <c r="AK16" s="60">
        <v>0.11409607349999999</v>
      </c>
      <c r="AL16" s="60">
        <v>-22.454875000000001</v>
      </c>
      <c r="AM16" s="286"/>
      <c r="AO16" s="49"/>
      <c r="AP16" s="49"/>
      <c r="AQ16" s="49"/>
      <c r="AS16" s="50"/>
      <c r="AT16" s="50"/>
      <c r="AU16" s="50"/>
      <c r="AV16" s="50"/>
      <c r="AW16" s="50"/>
      <c r="AX16" s="50"/>
    </row>
    <row r="17" spans="1:50" ht="15" customHeight="1" x14ac:dyDescent="0.3">
      <c r="A17" s="61" t="s">
        <v>79</v>
      </c>
      <c r="B17" s="62" t="s">
        <v>80</v>
      </c>
      <c r="C17" s="53" t="s">
        <v>81</v>
      </c>
      <c r="D17" s="54" t="s">
        <v>45</v>
      </c>
      <c r="E17" s="55">
        <v>0.2</v>
      </c>
      <c r="F17" s="56">
        <v>1</v>
      </c>
      <c r="G17" s="57">
        <v>0.16870246600599217</v>
      </c>
      <c r="H17" s="58">
        <v>1.704E-2</v>
      </c>
      <c r="I17" s="58">
        <v>9.5431730813551538E-3</v>
      </c>
      <c r="J17" s="58">
        <v>0</v>
      </c>
      <c r="K17" s="58">
        <v>2.9730352615810096E-3</v>
      </c>
      <c r="L17" s="58">
        <v>2.147960359529846E-3</v>
      </c>
      <c r="M17" s="58">
        <v>-2.4890527771375898E-3</v>
      </c>
      <c r="N17" s="283"/>
      <c r="O17" s="59">
        <v>0.16870246600599217</v>
      </c>
      <c r="P17" s="60">
        <v>1.704E-2</v>
      </c>
      <c r="Q17" s="60">
        <v>9.5431730813551538E-3</v>
      </c>
      <c r="R17" s="60">
        <v>0</v>
      </c>
      <c r="S17" s="60">
        <v>2.9730352615810096E-3</v>
      </c>
      <c r="T17" s="60">
        <v>2.147960359529846E-3</v>
      </c>
      <c r="U17" s="60">
        <v>-2.4890527771375898E-3</v>
      </c>
      <c r="V17" s="283"/>
      <c r="W17" s="60">
        <f t="shared" si="0"/>
        <v>0.20040663470845821</v>
      </c>
      <c r="X17" s="59">
        <v>0.16870246600599217</v>
      </c>
      <c r="Y17" s="60">
        <v>1.704E-2</v>
      </c>
      <c r="Z17" s="60">
        <v>9.5431730813551538E-3</v>
      </c>
      <c r="AA17" s="60">
        <v>0</v>
      </c>
      <c r="AB17" s="60">
        <v>2.9730352615810096E-3</v>
      </c>
      <c r="AC17" s="60">
        <v>2.147960359529846E-3</v>
      </c>
      <c r="AD17" s="60">
        <v>-2.4890527771375898E-3</v>
      </c>
      <c r="AE17" s="283"/>
      <c r="AF17" s="59">
        <v>0.16870246600599217</v>
      </c>
      <c r="AG17" s="60">
        <v>1.704E-2</v>
      </c>
      <c r="AH17" s="60">
        <v>9.5431730813551538E-3</v>
      </c>
      <c r="AI17" s="60">
        <v>0</v>
      </c>
      <c r="AJ17" s="60">
        <v>2.9730352615810096E-3</v>
      </c>
      <c r="AK17" s="60">
        <v>2.147960359529846E-3</v>
      </c>
      <c r="AL17" s="60">
        <v>-2.4890527771375898E-3</v>
      </c>
      <c r="AM17" s="286"/>
      <c r="AO17" s="49"/>
      <c r="AP17" s="49"/>
      <c r="AQ17" s="49"/>
      <c r="AS17" s="50"/>
      <c r="AT17" s="50"/>
      <c r="AU17" s="50"/>
      <c r="AV17" s="50"/>
      <c r="AW17" s="50"/>
      <c r="AX17" s="50"/>
    </row>
    <row r="18" spans="1:50" ht="15" customHeight="1" x14ac:dyDescent="0.3">
      <c r="A18" s="61" t="s">
        <v>82</v>
      </c>
      <c r="B18" s="62" t="s">
        <v>80</v>
      </c>
      <c r="C18" s="53" t="s">
        <v>83</v>
      </c>
      <c r="D18" s="54" t="s">
        <v>45</v>
      </c>
      <c r="E18" s="55">
        <v>0</v>
      </c>
      <c r="F18" s="56">
        <v>1.0350262697022767</v>
      </c>
      <c r="G18" s="57">
        <v>0.22752556917688266</v>
      </c>
      <c r="H18" s="58">
        <v>5.6998949211908928E-2</v>
      </c>
      <c r="I18" s="58">
        <v>2.7776264570928199E-2</v>
      </c>
      <c r="J18" s="58">
        <v>0</v>
      </c>
      <c r="K18" s="58">
        <v>3.0429071803852892E-3</v>
      </c>
      <c r="L18" s="58">
        <v>2.2743281961471102E-3</v>
      </c>
      <c r="M18" s="58">
        <v>-1.5849387040280209E-2</v>
      </c>
      <c r="N18" s="283"/>
      <c r="O18" s="59">
        <v>0.22752556917688266</v>
      </c>
      <c r="P18" s="60">
        <v>5.6998949211908928E-2</v>
      </c>
      <c r="Q18" s="60">
        <v>2.7776264570928199E-2</v>
      </c>
      <c r="R18" s="60">
        <v>0</v>
      </c>
      <c r="S18" s="60">
        <v>3.0429071803852892E-3</v>
      </c>
      <c r="T18" s="60">
        <v>2.2743281961471102E-3</v>
      </c>
      <c r="U18" s="60">
        <v>-1.5849387040280209E-2</v>
      </c>
      <c r="V18" s="283"/>
      <c r="W18" s="60">
        <f t="shared" si="0"/>
        <v>0.31761801833625214</v>
      </c>
      <c r="X18" s="59">
        <v>0.22752556917688266</v>
      </c>
      <c r="Y18" s="60">
        <v>5.6998949211908928E-2</v>
      </c>
      <c r="Z18" s="60">
        <v>2.7776264570928199E-2</v>
      </c>
      <c r="AA18" s="60">
        <v>0</v>
      </c>
      <c r="AB18" s="60">
        <v>3.0429071803852892E-3</v>
      </c>
      <c r="AC18" s="60">
        <v>2.2743281961471102E-3</v>
      </c>
      <c r="AD18" s="60">
        <v>-1.5849387040280209E-2</v>
      </c>
      <c r="AE18" s="283"/>
      <c r="AF18" s="59">
        <v>0.22752556917688266</v>
      </c>
      <c r="AG18" s="60">
        <v>5.6998949211908928E-2</v>
      </c>
      <c r="AH18" s="60">
        <v>2.7776264570928199E-2</v>
      </c>
      <c r="AI18" s="60">
        <v>0</v>
      </c>
      <c r="AJ18" s="60">
        <v>3.0429071803852892E-3</v>
      </c>
      <c r="AK18" s="60">
        <v>2.2743281961471102E-3</v>
      </c>
      <c r="AL18" s="60">
        <v>-1.5849387040280209E-2</v>
      </c>
      <c r="AM18" s="286"/>
      <c r="AO18" s="49"/>
      <c r="AP18" s="49"/>
      <c r="AQ18" s="49"/>
      <c r="AS18" s="50"/>
      <c r="AT18" s="50"/>
      <c r="AU18" s="50"/>
      <c r="AV18" s="50"/>
      <c r="AW18" s="50"/>
      <c r="AX18" s="50"/>
    </row>
    <row r="19" spans="1:50" ht="15" customHeight="1" x14ac:dyDescent="0.3">
      <c r="A19" s="61" t="s">
        <v>84</v>
      </c>
      <c r="B19" s="62" t="s">
        <v>80</v>
      </c>
      <c r="C19" s="53" t="s">
        <v>85</v>
      </c>
      <c r="D19" s="54" t="s">
        <v>45</v>
      </c>
      <c r="E19" s="55">
        <v>0</v>
      </c>
      <c r="F19" s="56">
        <v>1</v>
      </c>
      <c r="G19" s="57">
        <v>-1.22</v>
      </c>
      <c r="H19" s="58">
        <v>7.951999999999999E-3</v>
      </c>
      <c r="I19" s="58">
        <v>1.3697599999999999E-2</v>
      </c>
      <c r="J19" s="58">
        <v>0</v>
      </c>
      <c r="K19" s="58">
        <v>1.486</v>
      </c>
      <c r="L19" s="58">
        <v>0</v>
      </c>
      <c r="M19" s="58">
        <v>-0.79</v>
      </c>
      <c r="N19" s="283"/>
      <c r="O19" s="59">
        <v>-1.22</v>
      </c>
      <c r="P19" s="60">
        <v>7.951999999999999E-3</v>
      </c>
      <c r="Q19" s="60">
        <v>1.3697599999999999E-2</v>
      </c>
      <c r="R19" s="60">
        <v>0</v>
      </c>
      <c r="S19" s="60">
        <v>1.486</v>
      </c>
      <c r="T19" s="60">
        <v>0</v>
      </c>
      <c r="U19" s="60">
        <v>-0.79</v>
      </c>
      <c r="V19" s="283"/>
      <c r="W19" s="60">
        <f t="shared" si="0"/>
        <v>0.28764959999999995</v>
      </c>
      <c r="X19" s="59">
        <v>-1.22</v>
      </c>
      <c r="Y19" s="60">
        <v>7.951999999999999E-3</v>
      </c>
      <c r="Z19" s="60">
        <v>1.3697599999999999E-2</v>
      </c>
      <c r="AA19" s="60">
        <v>0</v>
      </c>
      <c r="AB19" s="60">
        <v>1.486</v>
      </c>
      <c r="AC19" s="60">
        <v>0</v>
      </c>
      <c r="AD19" s="60">
        <v>-0.79</v>
      </c>
      <c r="AE19" s="283"/>
      <c r="AF19" s="59">
        <v>-1.22</v>
      </c>
      <c r="AG19" s="60">
        <v>7.951999999999999E-3</v>
      </c>
      <c r="AH19" s="60">
        <v>1.3697599999999999E-2</v>
      </c>
      <c r="AI19" s="60">
        <v>0</v>
      </c>
      <c r="AJ19" s="60">
        <v>1.486</v>
      </c>
      <c r="AK19" s="60">
        <v>0</v>
      </c>
      <c r="AL19" s="60">
        <v>-0.79</v>
      </c>
      <c r="AM19" s="286"/>
      <c r="AO19" s="49"/>
      <c r="AP19" s="49"/>
      <c r="AQ19" s="49"/>
      <c r="AS19" s="50"/>
      <c r="AT19" s="50"/>
      <c r="AU19" s="50"/>
      <c r="AV19" s="50"/>
      <c r="AW19" s="50"/>
      <c r="AX19" s="50"/>
    </row>
    <row r="20" spans="1:50" ht="15" customHeight="1" x14ac:dyDescent="0.3">
      <c r="A20" s="61" t="s">
        <v>86</v>
      </c>
      <c r="B20" s="62" t="s">
        <v>80</v>
      </c>
      <c r="C20" s="53" t="s">
        <v>87</v>
      </c>
      <c r="D20" s="54" t="s">
        <v>45</v>
      </c>
      <c r="E20" s="55">
        <v>0</v>
      </c>
      <c r="F20" s="56">
        <v>1</v>
      </c>
      <c r="G20" s="57">
        <v>-1.4127659574468086</v>
      </c>
      <c r="H20" s="58">
        <v>0.15903999999999999</v>
      </c>
      <c r="I20" s="58">
        <v>1.6462638297872347E-2</v>
      </c>
      <c r="J20" s="58">
        <v>0</v>
      </c>
      <c r="K20" s="58">
        <v>1.5829787234042554</v>
      </c>
      <c r="L20" s="58">
        <v>0</v>
      </c>
      <c r="M20" s="58">
        <v>-0.82340425531914896</v>
      </c>
      <c r="N20" s="283"/>
      <c r="O20" s="59">
        <v>-1.4127659574468086</v>
      </c>
      <c r="P20" s="60">
        <v>0.15903999999999999</v>
      </c>
      <c r="Q20" s="60">
        <v>1.6462638297872347E-2</v>
      </c>
      <c r="R20" s="60">
        <v>0</v>
      </c>
      <c r="S20" s="60">
        <v>1.5829787234042554</v>
      </c>
      <c r="T20" s="60">
        <v>0</v>
      </c>
      <c r="U20" s="60">
        <v>-0.82340425531914896</v>
      </c>
      <c r="V20" s="283"/>
      <c r="W20" s="60">
        <f t="shared" si="0"/>
        <v>0.34571540425531921</v>
      </c>
      <c r="X20" s="59">
        <v>-1.4127659574468086</v>
      </c>
      <c r="Y20" s="60">
        <v>0.15903999999999999</v>
      </c>
      <c r="Z20" s="60">
        <v>1.6462638297872347E-2</v>
      </c>
      <c r="AA20" s="60">
        <v>0</v>
      </c>
      <c r="AB20" s="60">
        <v>1.5829787234042554</v>
      </c>
      <c r="AC20" s="60">
        <v>0</v>
      </c>
      <c r="AD20" s="60">
        <v>-0.82340425531914896</v>
      </c>
      <c r="AE20" s="283"/>
      <c r="AF20" s="59">
        <v>-1.4127659574468086</v>
      </c>
      <c r="AG20" s="60">
        <v>0.15903999999999999</v>
      </c>
      <c r="AH20" s="60">
        <v>1.6462638297872347E-2</v>
      </c>
      <c r="AI20" s="60">
        <v>0</v>
      </c>
      <c r="AJ20" s="60">
        <v>1.5829787234042554</v>
      </c>
      <c r="AK20" s="60">
        <v>0</v>
      </c>
      <c r="AL20" s="60">
        <v>-0.82340425531914896</v>
      </c>
      <c r="AM20" s="286"/>
      <c r="AO20" s="49"/>
      <c r="AP20" s="49"/>
      <c r="AQ20" s="49"/>
      <c r="AS20" s="50"/>
      <c r="AT20" s="50"/>
      <c r="AU20" s="50"/>
      <c r="AV20" s="50"/>
      <c r="AW20" s="50"/>
      <c r="AX20" s="50"/>
    </row>
    <row r="21" spans="1:50" ht="15" customHeight="1" x14ac:dyDescent="0.3">
      <c r="A21" s="61" t="s">
        <v>88</v>
      </c>
      <c r="B21" s="62" t="s">
        <v>89</v>
      </c>
      <c r="C21" s="53" t="s">
        <v>90</v>
      </c>
      <c r="D21" s="54" t="s">
        <v>45</v>
      </c>
      <c r="E21" s="55">
        <v>0</v>
      </c>
      <c r="F21" s="56">
        <v>0</v>
      </c>
      <c r="G21" s="57">
        <v>0</v>
      </c>
      <c r="H21" s="58">
        <v>0</v>
      </c>
      <c r="I21" s="58">
        <v>0</v>
      </c>
      <c r="J21" s="58">
        <v>0</v>
      </c>
      <c r="K21" s="58">
        <v>0</v>
      </c>
      <c r="L21" s="58">
        <v>0</v>
      </c>
      <c r="M21" s="58">
        <v>0</v>
      </c>
      <c r="N21" s="283"/>
      <c r="O21" s="59">
        <v>0</v>
      </c>
      <c r="P21" s="60">
        <v>0</v>
      </c>
      <c r="Q21" s="60">
        <v>0</v>
      </c>
      <c r="R21" s="60">
        <v>0</v>
      </c>
      <c r="S21" s="60">
        <v>0</v>
      </c>
      <c r="T21" s="60">
        <v>0</v>
      </c>
      <c r="U21" s="60">
        <v>0</v>
      </c>
      <c r="V21" s="283"/>
      <c r="W21" s="60">
        <f t="shared" si="0"/>
        <v>0</v>
      </c>
      <c r="X21" s="59">
        <v>0</v>
      </c>
      <c r="Y21" s="60">
        <v>0</v>
      </c>
      <c r="Z21" s="60">
        <v>0</v>
      </c>
      <c r="AA21" s="60">
        <v>0</v>
      </c>
      <c r="AB21" s="60">
        <v>0</v>
      </c>
      <c r="AC21" s="60">
        <v>0</v>
      </c>
      <c r="AD21" s="60">
        <v>0</v>
      </c>
      <c r="AE21" s="283"/>
      <c r="AF21" s="59">
        <v>0</v>
      </c>
      <c r="AG21" s="60">
        <v>0</v>
      </c>
      <c r="AH21" s="60">
        <v>0</v>
      </c>
      <c r="AI21" s="60">
        <v>0</v>
      </c>
      <c r="AJ21" s="60">
        <v>0</v>
      </c>
      <c r="AK21" s="60">
        <v>0</v>
      </c>
      <c r="AL21" s="60">
        <v>0</v>
      </c>
      <c r="AM21" s="286"/>
      <c r="AO21" s="49"/>
      <c r="AP21" s="49"/>
      <c r="AQ21" s="49"/>
      <c r="AS21" s="50"/>
      <c r="AT21" s="50"/>
      <c r="AU21" s="50"/>
      <c r="AV21" s="50"/>
      <c r="AW21" s="50"/>
      <c r="AX21" s="50"/>
    </row>
    <row r="22" spans="1:50" ht="15" customHeight="1" x14ac:dyDescent="0.3">
      <c r="A22" s="61" t="s">
        <v>91</v>
      </c>
      <c r="B22" s="62" t="s">
        <v>89</v>
      </c>
      <c r="C22" s="53" t="s">
        <v>92</v>
      </c>
      <c r="D22" s="54" t="s">
        <v>45</v>
      </c>
      <c r="E22" s="55">
        <v>0</v>
      </c>
      <c r="F22" s="56">
        <v>1.0350262697022767</v>
      </c>
      <c r="G22" s="57">
        <v>0.22752556917688266</v>
      </c>
      <c r="H22" s="58">
        <v>5.6998949211908928E-2</v>
      </c>
      <c r="I22" s="58">
        <v>2.7776264570928199E-2</v>
      </c>
      <c r="J22" s="58">
        <v>0</v>
      </c>
      <c r="K22" s="58">
        <v>3.0429071803852892E-3</v>
      </c>
      <c r="L22" s="58">
        <v>2.2743281961471102E-3</v>
      </c>
      <c r="M22" s="58">
        <v>-1.5849387040280209E-2</v>
      </c>
      <c r="N22" s="283"/>
      <c r="O22" s="59">
        <v>0.22752556917688266</v>
      </c>
      <c r="P22" s="60">
        <v>5.6998949211908928E-2</v>
      </c>
      <c r="Q22" s="60">
        <v>2.7776264570928199E-2</v>
      </c>
      <c r="R22" s="60">
        <v>0</v>
      </c>
      <c r="S22" s="60">
        <v>3.0429071803852892E-3</v>
      </c>
      <c r="T22" s="60">
        <v>2.2743281961471102E-3</v>
      </c>
      <c r="U22" s="60">
        <v>-1.5849387040280209E-2</v>
      </c>
      <c r="V22" s="283"/>
      <c r="W22" s="60">
        <f t="shared" si="0"/>
        <v>0.31761801833625214</v>
      </c>
      <c r="X22" s="59">
        <v>0.22752556917688266</v>
      </c>
      <c r="Y22" s="60">
        <v>5.6998949211908928E-2</v>
      </c>
      <c r="Z22" s="60">
        <v>2.7776264570928199E-2</v>
      </c>
      <c r="AA22" s="60">
        <v>0</v>
      </c>
      <c r="AB22" s="60">
        <v>3.0429071803852892E-3</v>
      </c>
      <c r="AC22" s="60">
        <v>2.2743281961471102E-3</v>
      </c>
      <c r="AD22" s="60">
        <v>-1.5849387040280209E-2</v>
      </c>
      <c r="AE22" s="283"/>
      <c r="AF22" s="59">
        <v>0.22752556917688266</v>
      </c>
      <c r="AG22" s="60">
        <v>5.6998949211908928E-2</v>
      </c>
      <c r="AH22" s="60">
        <v>2.7776264570928199E-2</v>
      </c>
      <c r="AI22" s="60">
        <v>0</v>
      </c>
      <c r="AJ22" s="60">
        <v>3.0429071803852892E-3</v>
      </c>
      <c r="AK22" s="60">
        <v>2.2743281961471102E-3</v>
      </c>
      <c r="AL22" s="60">
        <v>-1.5849387040280209E-2</v>
      </c>
      <c r="AM22" s="286"/>
      <c r="AO22" s="49"/>
      <c r="AP22" s="49"/>
      <c r="AQ22" s="49"/>
      <c r="AS22" s="50"/>
      <c r="AT22" s="50"/>
      <c r="AU22" s="50"/>
      <c r="AV22" s="50"/>
      <c r="AW22" s="50"/>
      <c r="AX22" s="50"/>
    </row>
    <row r="23" spans="1:50" ht="15" customHeight="1" x14ac:dyDescent="0.3">
      <c r="A23" s="61" t="s">
        <v>93</v>
      </c>
      <c r="B23" s="62" t="s">
        <v>89</v>
      </c>
      <c r="C23" s="53" t="s">
        <v>94</v>
      </c>
      <c r="D23" s="54" t="s">
        <v>45</v>
      </c>
      <c r="E23" s="55">
        <v>0</v>
      </c>
      <c r="F23" s="56">
        <v>1</v>
      </c>
      <c r="G23" s="57">
        <v>-1.22</v>
      </c>
      <c r="H23" s="58">
        <v>7.951999999999999E-3</v>
      </c>
      <c r="I23" s="58">
        <v>1.3697599999999999E-2</v>
      </c>
      <c r="J23" s="58">
        <v>0</v>
      </c>
      <c r="K23" s="58">
        <v>1.486</v>
      </c>
      <c r="L23" s="58">
        <v>0</v>
      </c>
      <c r="M23" s="58">
        <v>-0.79</v>
      </c>
      <c r="N23" s="283"/>
      <c r="O23" s="59">
        <v>-1.22</v>
      </c>
      <c r="P23" s="60">
        <v>7.951999999999999E-3</v>
      </c>
      <c r="Q23" s="60">
        <v>1.3697599999999999E-2</v>
      </c>
      <c r="R23" s="60">
        <v>0</v>
      </c>
      <c r="S23" s="60">
        <v>1.486</v>
      </c>
      <c r="T23" s="60">
        <v>0</v>
      </c>
      <c r="U23" s="60">
        <v>-0.79</v>
      </c>
      <c r="V23" s="283"/>
      <c r="W23" s="60">
        <f t="shared" si="0"/>
        <v>0.28764959999999995</v>
      </c>
      <c r="X23" s="59">
        <v>-1.22</v>
      </c>
      <c r="Y23" s="60">
        <v>7.951999999999999E-3</v>
      </c>
      <c r="Z23" s="60">
        <v>1.3697599999999999E-2</v>
      </c>
      <c r="AA23" s="60">
        <v>0</v>
      </c>
      <c r="AB23" s="60">
        <v>1.486</v>
      </c>
      <c r="AC23" s="60">
        <v>0</v>
      </c>
      <c r="AD23" s="60">
        <v>-0.79</v>
      </c>
      <c r="AE23" s="283"/>
      <c r="AF23" s="59">
        <v>-1.22</v>
      </c>
      <c r="AG23" s="60">
        <v>7.951999999999999E-3</v>
      </c>
      <c r="AH23" s="60">
        <v>1.3697599999999999E-2</v>
      </c>
      <c r="AI23" s="60">
        <v>0</v>
      </c>
      <c r="AJ23" s="60">
        <v>1.486</v>
      </c>
      <c r="AK23" s="60">
        <v>0</v>
      </c>
      <c r="AL23" s="60">
        <v>-0.79</v>
      </c>
      <c r="AM23" s="286"/>
      <c r="AO23" s="49"/>
      <c r="AP23" s="49"/>
      <c r="AQ23" s="49"/>
      <c r="AS23" s="50"/>
      <c r="AT23" s="50"/>
      <c r="AU23" s="50"/>
      <c r="AV23" s="50"/>
      <c r="AW23" s="50"/>
      <c r="AX23" s="50"/>
    </row>
    <row r="24" spans="1:50" ht="15" customHeight="1" x14ac:dyDescent="0.3">
      <c r="A24" s="61" t="s">
        <v>95</v>
      </c>
      <c r="B24" s="62" t="s">
        <v>96</v>
      </c>
      <c r="C24" s="53" t="s">
        <v>97</v>
      </c>
      <c r="D24" s="54" t="s">
        <v>0</v>
      </c>
      <c r="E24" s="55">
        <v>0.55000000000000004</v>
      </c>
      <c r="F24" s="56">
        <v>725.57500000000005</v>
      </c>
      <c r="G24" s="57">
        <v>154.10084499999999</v>
      </c>
      <c r="H24" s="58">
        <v>4.4522680000000001</v>
      </c>
      <c r="I24" s="58">
        <v>11.2218746865</v>
      </c>
      <c r="J24" s="58">
        <v>0</v>
      </c>
      <c r="K24" s="58">
        <v>2.121</v>
      </c>
      <c r="L24" s="58">
        <v>23.070600730000002</v>
      </c>
      <c r="M24" s="58">
        <v>-28.079000000000001</v>
      </c>
      <c r="N24" s="283"/>
      <c r="O24" s="59">
        <v>154.10084499999999</v>
      </c>
      <c r="P24" s="60">
        <v>4.4522680000000001</v>
      </c>
      <c r="Q24" s="60">
        <v>11.2218746865</v>
      </c>
      <c r="R24" s="60">
        <v>0</v>
      </c>
      <c r="S24" s="60">
        <v>2.121</v>
      </c>
      <c r="T24" s="60">
        <v>23.070600730000002</v>
      </c>
      <c r="U24" s="60">
        <v>-28.079000000000001</v>
      </c>
      <c r="V24" s="283"/>
      <c r="W24" s="60">
        <f t="shared" si="0"/>
        <v>194.9665884165</v>
      </c>
      <c r="X24" s="59">
        <v>154.10084499999999</v>
      </c>
      <c r="Y24" s="60">
        <v>4.4522680000000001</v>
      </c>
      <c r="Z24" s="60">
        <v>11.2218746865</v>
      </c>
      <c r="AA24" s="60">
        <v>0</v>
      </c>
      <c r="AB24" s="60">
        <v>2.121</v>
      </c>
      <c r="AC24" s="60">
        <v>23.070600730000002</v>
      </c>
      <c r="AD24" s="60">
        <v>-28.079000000000001</v>
      </c>
      <c r="AE24" s="283"/>
      <c r="AF24" s="59">
        <v>154.10084499999999</v>
      </c>
      <c r="AG24" s="60">
        <v>4.4522680000000001</v>
      </c>
      <c r="AH24" s="60">
        <v>11.2218746865</v>
      </c>
      <c r="AI24" s="60">
        <v>0</v>
      </c>
      <c r="AJ24" s="60">
        <v>2.121</v>
      </c>
      <c r="AK24" s="60">
        <v>23.070600730000002</v>
      </c>
      <c r="AL24" s="60">
        <v>-28.079000000000001</v>
      </c>
      <c r="AM24" s="286"/>
      <c r="AO24" s="49"/>
      <c r="AP24" s="49"/>
      <c r="AQ24" s="49"/>
      <c r="AS24" s="50"/>
      <c r="AT24" s="50"/>
      <c r="AU24" s="50"/>
      <c r="AV24" s="50"/>
      <c r="AW24" s="50"/>
      <c r="AX24" s="50"/>
    </row>
    <row r="25" spans="1:50" ht="15" customHeight="1" x14ac:dyDescent="0.3">
      <c r="A25" s="61" t="s">
        <v>98</v>
      </c>
      <c r="B25" s="62" t="s">
        <v>96</v>
      </c>
      <c r="C25" s="53" t="s">
        <v>99</v>
      </c>
      <c r="D25" s="54" t="s">
        <v>0</v>
      </c>
      <c r="E25" s="55">
        <v>0.9</v>
      </c>
      <c r="F25" s="56">
        <v>971.75000000000011</v>
      </c>
      <c r="G25" s="57">
        <v>218.03446000000002</v>
      </c>
      <c r="H25" s="58">
        <v>6.1815439999999997</v>
      </c>
      <c r="I25" s="58">
        <v>17.675351582000001</v>
      </c>
      <c r="J25" s="58">
        <v>0</v>
      </c>
      <c r="K25" s="58">
        <v>2.8280000000000003</v>
      </c>
      <c r="L25" s="58">
        <v>45.077467640000002</v>
      </c>
      <c r="M25" s="58">
        <v>-44.972000000000001</v>
      </c>
      <c r="N25" s="283"/>
      <c r="O25" s="59">
        <v>218.03446000000002</v>
      </c>
      <c r="P25" s="60">
        <v>6.1815439999999997</v>
      </c>
      <c r="Q25" s="60">
        <v>17.675351582000001</v>
      </c>
      <c r="R25" s="60">
        <v>0</v>
      </c>
      <c r="S25" s="60">
        <v>2.8280000000000003</v>
      </c>
      <c r="T25" s="60">
        <v>45.077467640000002</v>
      </c>
      <c r="U25" s="60">
        <v>-44.972000000000001</v>
      </c>
      <c r="V25" s="283"/>
      <c r="W25" s="60">
        <f t="shared" si="0"/>
        <v>289.796823222</v>
      </c>
      <c r="X25" s="59">
        <v>218.03446000000002</v>
      </c>
      <c r="Y25" s="60">
        <v>6.1815439999999997</v>
      </c>
      <c r="Z25" s="60">
        <v>17.675351582000001</v>
      </c>
      <c r="AA25" s="60">
        <v>0</v>
      </c>
      <c r="AB25" s="60">
        <v>2.8280000000000003</v>
      </c>
      <c r="AC25" s="60">
        <v>45.077467640000002</v>
      </c>
      <c r="AD25" s="60">
        <v>-44.972000000000001</v>
      </c>
      <c r="AE25" s="283"/>
      <c r="AF25" s="59">
        <v>218.03446000000002</v>
      </c>
      <c r="AG25" s="60">
        <v>6.1815439999999997</v>
      </c>
      <c r="AH25" s="60">
        <v>17.675351582000001</v>
      </c>
      <c r="AI25" s="60">
        <v>0</v>
      </c>
      <c r="AJ25" s="60">
        <v>2.8280000000000003</v>
      </c>
      <c r="AK25" s="60">
        <v>45.077467640000002</v>
      </c>
      <c r="AL25" s="60">
        <v>-44.972000000000001</v>
      </c>
      <c r="AM25" s="286"/>
      <c r="AO25" s="49"/>
      <c r="AP25" s="49"/>
      <c r="AQ25" s="49"/>
      <c r="AS25" s="50"/>
      <c r="AT25" s="50"/>
      <c r="AU25" s="50"/>
      <c r="AV25" s="50"/>
      <c r="AW25" s="50"/>
      <c r="AX25" s="50"/>
    </row>
    <row r="26" spans="1:50" ht="15" customHeight="1" x14ac:dyDescent="0.3">
      <c r="A26" s="61" t="s">
        <v>100</v>
      </c>
      <c r="B26" s="62" t="s">
        <v>96</v>
      </c>
      <c r="C26" s="53" t="s">
        <v>101</v>
      </c>
      <c r="D26" s="54" t="s">
        <v>0</v>
      </c>
      <c r="E26" s="55">
        <v>1.4</v>
      </c>
      <c r="F26" s="56">
        <v>2170.25</v>
      </c>
      <c r="G26" s="57">
        <v>443.45253500000001</v>
      </c>
      <c r="H26" s="58">
        <v>12.989023999999999</v>
      </c>
      <c r="I26" s="58">
        <v>29.5963460595</v>
      </c>
      <c r="J26" s="58">
        <v>0</v>
      </c>
      <c r="K26" s="58">
        <v>6.3630000000000004</v>
      </c>
      <c r="L26" s="58">
        <v>47.736802190000006</v>
      </c>
      <c r="M26" s="58">
        <v>-72.937000000000012</v>
      </c>
      <c r="N26" s="283"/>
      <c r="O26" s="59">
        <v>443.45253500000001</v>
      </c>
      <c r="P26" s="60">
        <v>12.989023999999999</v>
      </c>
      <c r="Q26" s="60">
        <v>29.5963460595</v>
      </c>
      <c r="R26" s="60">
        <v>0</v>
      </c>
      <c r="S26" s="60">
        <v>6.3630000000000004</v>
      </c>
      <c r="T26" s="60">
        <v>47.736802190000006</v>
      </c>
      <c r="U26" s="60">
        <v>-72.937000000000012</v>
      </c>
      <c r="V26" s="283"/>
      <c r="W26" s="60">
        <f t="shared" si="0"/>
        <v>540.13770724949995</v>
      </c>
      <c r="X26" s="59">
        <v>443.45253500000001</v>
      </c>
      <c r="Y26" s="60">
        <v>12.989023999999999</v>
      </c>
      <c r="Z26" s="60">
        <v>29.5963460595</v>
      </c>
      <c r="AA26" s="60">
        <v>0</v>
      </c>
      <c r="AB26" s="60">
        <v>6.3630000000000004</v>
      </c>
      <c r="AC26" s="60">
        <v>47.736802190000006</v>
      </c>
      <c r="AD26" s="60">
        <v>-72.937000000000012</v>
      </c>
      <c r="AE26" s="283"/>
      <c r="AF26" s="59">
        <v>443.45253500000001</v>
      </c>
      <c r="AG26" s="60">
        <v>12.989023999999999</v>
      </c>
      <c r="AH26" s="60">
        <v>29.5963460595</v>
      </c>
      <c r="AI26" s="60">
        <v>0</v>
      </c>
      <c r="AJ26" s="60">
        <v>6.3630000000000004</v>
      </c>
      <c r="AK26" s="60">
        <v>47.736802190000006</v>
      </c>
      <c r="AL26" s="60">
        <v>-72.937000000000012</v>
      </c>
      <c r="AM26" s="286"/>
      <c r="AO26" s="49"/>
      <c r="AP26" s="49"/>
      <c r="AQ26" s="49"/>
      <c r="AS26" s="50"/>
      <c r="AT26" s="50"/>
      <c r="AU26" s="50"/>
      <c r="AV26" s="50"/>
      <c r="AW26" s="50"/>
      <c r="AX26" s="50"/>
    </row>
    <row r="27" spans="1:50" ht="15" customHeight="1" x14ac:dyDescent="0.3">
      <c r="A27" s="61" t="s">
        <v>102</v>
      </c>
      <c r="B27" s="62" t="s">
        <v>103</v>
      </c>
      <c r="C27" s="53" t="s">
        <v>104</v>
      </c>
      <c r="D27" s="54" t="s">
        <v>0</v>
      </c>
      <c r="E27" s="55">
        <v>0.60799999999999998</v>
      </c>
      <c r="F27" s="56">
        <v>678.7</v>
      </c>
      <c r="G27" s="57">
        <v>162.33979060000001</v>
      </c>
      <c r="H27" s="58">
        <v>21.288071999999996</v>
      </c>
      <c r="I27" s="58">
        <v>14.693639225000002</v>
      </c>
      <c r="J27" s="58">
        <v>0</v>
      </c>
      <c r="K27" s="58">
        <v>3.090309</v>
      </c>
      <c r="L27" s="58">
        <v>1.7181205000000004</v>
      </c>
      <c r="M27" s="58">
        <v>-1.58355731</v>
      </c>
      <c r="N27" s="283"/>
      <c r="O27" s="59">
        <v>162.33979060000001</v>
      </c>
      <c r="P27" s="60">
        <v>21.288071999999996</v>
      </c>
      <c r="Q27" s="60">
        <v>14.693639225000002</v>
      </c>
      <c r="R27" s="60">
        <v>0</v>
      </c>
      <c r="S27" s="60">
        <v>3.090309</v>
      </c>
      <c r="T27" s="60">
        <v>1.7181205000000004</v>
      </c>
      <c r="U27" s="60">
        <v>-1.58355731</v>
      </c>
      <c r="V27" s="283"/>
      <c r="W27" s="60">
        <f t="shared" si="0"/>
        <v>205.26069572500001</v>
      </c>
      <c r="X27" s="59">
        <v>162.33979060000001</v>
      </c>
      <c r="Y27" s="60">
        <v>21.288071999999996</v>
      </c>
      <c r="Z27" s="60">
        <v>14.693639225000002</v>
      </c>
      <c r="AA27" s="60">
        <v>2.1307644000000003</v>
      </c>
      <c r="AB27" s="60">
        <v>3.090309</v>
      </c>
      <c r="AC27" s="60">
        <v>1.7181205000000004</v>
      </c>
      <c r="AD27" s="60">
        <v>-1.58355731</v>
      </c>
      <c r="AE27" s="283"/>
      <c r="AF27" s="59">
        <v>162.33979060000001</v>
      </c>
      <c r="AG27" s="60">
        <v>21.288071999999996</v>
      </c>
      <c r="AH27" s="60">
        <v>14.693639225000002</v>
      </c>
      <c r="AI27" s="60">
        <v>3.5512740000000007</v>
      </c>
      <c r="AJ27" s="60">
        <v>3.090309</v>
      </c>
      <c r="AK27" s="60">
        <v>1.7181205000000004</v>
      </c>
      <c r="AL27" s="60">
        <v>-1.58355731</v>
      </c>
      <c r="AM27" s="286"/>
      <c r="AO27" s="49"/>
      <c r="AP27" s="49"/>
      <c r="AQ27" s="49"/>
      <c r="AS27" s="50"/>
      <c r="AT27" s="50"/>
      <c r="AU27" s="50"/>
      <c r="AV27" s="50"/>
      <c r="AW27" s="50"/>
      <c r="AX27" s="50"/>
    </row>
    <row r="28" spans="1:50" ht="15" customHeight="1" x14ac:dyDescent="0.3">
      <c r="A28" s="61" t="s">
        <v>105</v>
      </c>
      <c r="B28" s="62" t="s">
        <v>103</v>
      </c>
      <c r="C28" s="53" t="s">
        <v>106</v>
      </c>
      <c r="D28" s="54" t="s">
        <v>0</v>
      </c>
      <c r="E28" s="55">
        <v>0.32950000000000002</v>
      </c>
      <c r="F28" s="56">
        <v>55.831250000000004</v>
      </c>
      <c r="G28" s="57">
        <v>129.51383660000005</v>
      </c>
      <c r="H28" s="58">
        <v>3.1609909999999997</v>
      </c>
      <c r="I28" s="58">
        <v>13.357452241000001</v>
      </c>
      <c r="J28" s="58">
        <v>0</v>
      </c>
      <c r="K28" s="58">
        <v>0.33785029999999999</v>
      </c>
      <c r="L28" s="58">
        <v>0.65391635999999997</v>
      </c>
      <c r="M28" s="58">
        <v>-77.789071199999995</v>
      </c>
      <c r="N28" s="283"/>
      <c r="O28" s="59">
        <v>129.51383660000005</v>
      </c>
      <c r="P28" s="60">
        <v>3.1609909999999997</v>
      </c>
      <c r="Q28" s="60">
        <v>13.357452241000001</v>
      </c>
      <c r="R28" s="60">
        <v>0</v>
      </c>
      <c r="S28" s="60">
        <v>0.33785029999999999</v>
      </c>
      <c r="T28" s="60">
        <v>0.65391635999999997</v>
      </c>
      <c r="U28" s="60">
        <v>-77.789071199999995</v>
      </c>
      <c r="V28" s="283"/>
      <c r="W28" s="60">
        <f t="shared" si="0"/>
        <v>149.15481090100008</v>
      </c>
      <c r="X28" s="59">
        <v>129.51383660000005</v>
      </c>
      <c r="Y28" s="60">
        <v>3.1609909999999997</v>
      </c>
      <c r="Z28" s="60">
        <v>13.357452241000001</v>
      </c>
      <c r="AA28" s="60">
        <v>2.1307644000000003</v>
      </c>
      <c r="AB28" s="60">
        <v>0.33785029999999999</v>
      </c>
      <c r="AC28" s="60">
        <v>0.65391635999999997</v>
      </c>
      <c r="AD28" s="60">
        <v>-77.789071199999995</v>
      </c>
      <c r="AE28" s="283"/>
      <c r="AF28" s="59">
        <v>129.51383660000005</v>
      </c>
      <c r="AG28" s="60">
        <v>3.1609909999999997</v>
      </c>
      <c r="AH28" s="60">
        <v>13.357452241000001</v>
      </c>
      <c r="AI28" s="60">
        <v>41.301705589000001</v>
      </c>
      <c r="AJ28" s="60">
        <v>0.33785029999999999</v>
      </c>
      <c r="AK28" s="60">
        <v>0.65391635999999997</v>
      </c>
      <c r="AL28" s="60">
        <v>-77.789071199999995</v>
      </c>
      <c r="AM28" s="286"/>
      <c r="AO28" s="49"/>
      <c r="AP28" s="49"/>
      <c r="AQ28" s="49"/>
      <c r="AS28" s="50"/>
      <c r="AT28" s="50"/>
      <c r="AU28" s="50"/>
      <c r="AV28" s="50"/>
      <c r="AW28" s="50"/>
      <c r="AX28" s="50"/>
    </row>
    <row r="29" spans="1:50" ht="15" customHeight="1" x14ac:dyDescent="0.3">
      <c r="A29" s="61" t="s">
        <v>107</v>
      </c>
      <c r="B29" s="62" t="s">
        <v>103</v>
      </c>
      <c r="C29" s="53" t="s">
        <v>108</v>
      </c>
      <c r="D29" s="54" t="s">
        <v>0</v>
      </c>
      <c r="E29" s="55">
        <v>0.32929999999999998</v>
      </c>
      <c r="F29" s="56">
        <v>57.891250000000007</v>
      </c>
      <c r="G29" s="57">
        <v>107.18633660000002</v>
      </c>
      <c r="H29" s="58">
        <v>3.2779989999999999</v>
      </c>
      <c r="I29" s="58">
        <v>11.136611754420001</v>
      </c>
      <c r="J29" s="58">
        <v>0</v>
      </c>
      <c r="K29" s="58">
        <v>0.33785029999999999</v>
      </c>
      <c r="L29" s="58">
        <v>0.65600349419999993</v>
      </c>
      <c r="M29" s="58">
        <v>-65.895236400000002</v>
      </c>
      <c r="N29" s="283"/>
      <c r="O29" s="59">
        <v>107.18633660000002</v>
      </c>
      <c r="P29" s="60">
        <v>3.2779989999999999</v>
      </c>
      <c r="Q29" s="60">
        <v>11.136611754420001</v>
      </c>
      <c r="R29" s="60">
        <v>0</v>
      </c>
      <c r="S29" s="60">
        <v>0.33785029999999999</v>
      </c>
      <c r="T29" s="60">
        <v>0.65600349419999993</v>
      </c>
      <c r="U29" s="60">
        <v>-65.895236400000002</v>
      </c>
      <c r="V29" s="283"/>
      <c r="W29" s="60">
        <f t="shared" si="0"/>
        <v>124.72556554862001</v>
      </c>
      <c r="X29" s="59">
        <v>107.18633660000002</v>
      </c>
      <c r="Y29" s="60">
        <v>3.2779989999999999</v>
      </c>
      <c r="Z29" s="60">
        <v>11.136611754420001</v>
      </c>
      <c r="AA29" s="60">
        <v>2.1307644000000003</v>
      </c>
      <c r="AB29" s="60">
        <v>0.33785029999999999</v>
      </c>
      <c r="AC29" s="60">
        <v>0.65600349419999993</v>
      </c>
      <c r="AD29" s="60">
        <v>-65.895236400000002</v>
      </c>
      <c r="AE29" s="283"/>
      <c r="AF29" s="59">
        <v>107.18633660000002</v>
      </c>
      <c r="AG29" s="60">
        <v>3.2779989999999999</v>
      </c>
      <c r="AH29" s="60">
        <v>11.136611754420001</v>
      </c>
      <c r="AI29" s="60">
        <v>6.9339640000000005</v>
      </c>
      <c r="AJ29" s="60">
        <v>0.33785029999999999</v>
      </c>
      <c r="AK29" s="60">
        <v>0.65600349419999993</v>
      </c>
      <c r="AL29" s="60">
        <v>-65.895236400000002</v>
      </c>
      <c r="AM29" s="286"/>
      <c r="AO29" s="49"/>
      <c r="AP29" s="49"/>
      <c r="AQ29" s="49"/>
      <c r="AS29" s="50"/>
      <c r="AT29" s="50"/>
      <c r="AU29" s="50"/>
      <c r="AV29" s="50"/>
      <c r="AW29" s="50"/>
      <c r="AX29" s="50"/>
    </row>
    <row r="30" spans="1:50" ht="15" customHeight="1" x14ac:dyDescent="0.3">
      <c r="A30" s="61" t="s">
        <v>109</v>
      </c>
      <c r="B30" s="62" t="s">
        <v>103</v>
      </c>
      <c r="C30" s="53" t="s">
        <v>110</v>
      </c>
      <c r="D30" s="54" t="s">
        <v>0</v>
      </c>
      <c r="E30" s="55">
        <v>0.45850000000000002</v>
      </c>
      <c r="F30" s="56">
        <v>101.98205</v>
      </c>
      <c r="G30" s="57">
        <v>53.50500326666667</v>
      </c>
      <c r="H30" s="58">
        <v>5.8507736269479995</v>
      </c>
      <c r="I30" s="58">
        <v>6.6573062340029567</v>
      </c>
      <c r="J30" s="58">
        <v>0</v>
      </c>
      <c r="K30" s="58">
        <v>7.0905891888888899</v>
      </c>
      <c r="L30" s="58">
        <v>0.64866442099999999</v>
      </c>
      <c r="M30" s="58">
        <v>-18.076114311111112</v>
      </c>
      <c r="N30" s="283"/>
      <c r="O30" s="59">
        <v>53.50500326666667</v>
      </c>
      <c r="P30" s="60">
        <v>5.8507736269479995</v>
      </c>
      <c r="Q30" s="60">
        <v>6.6573062340029567</v>
      </c>
      <c r="R30" s="60">
        <v>0</v>
      </c>
      <c r="S30" s="60">
        <v>7.0905891888888899</v>
      </c>
      <c r="T30" s="60">
        <v>0.64866442099999999</v>
      </c>
      <c r="U30" s="60">
        <v>-18.076114311111112</v>
      </c>
      <c r="V30" s="283"/>
      <c r="W30" s="60">
        <f t="shared" si="0"/>
        <v>75.883101137506515</v>
      </c>
      <c r="X30" s="59">
        <v>53.50500326666667</v>
      </c>
      <c r="Y30" s="60">
        <v>5.8507736269479995</v>
      </c>
      <c r="Z30" s="60">
        <v>6.6573062340029567</v>
      </c>
      <c r="AA30" s="60">
        <v>2.1307644000000003</v>
      </c>
      <c r="AB30" s="60">
        <v>7.0905891888888899</v>
      </c>
      <c r="AC30" s="60">
        <v>0.64866442099999999</v>
      </c>
      <c r="AD30" s="60">
        <v>-18.076114311111112</v>
      </c>
      <c r="AE30" s="283"/>
      <c r="AF30" s="59">
        <v>53.50500326666667</v>
      </c>
      <c r="AG30" s="60">
        <v>5.8507736269479995</v>
      </c>
      <c r="AH30" s="60">
        <v>6.6573062340029567</v>
      </c>
      <c r="AI30" s="60">
        <v>7.4498140000000017</v>
      </c>
      <c r="AJ30" s="60">
        <v>7.0905891888888899</v>
      </c>
      <c r="AK30" s="60">
        <v>0.64866442099999999</v>
      </c>
      <c r="AL30" s="60">
        <v>-18.076114311111112</v>
      </c>
      <c r="AM30" s="286"/>
      <c r="AO30" s="49"/>
      <c r="AP30" s="49"/>
      <c r="AQ30" s="49"/>
      <c r="AS30" s="50"/>
      <c r="AT30" s="50"/>
      <c r="AU30" s="50"/>
      <c r="AV30" s="50"/>
      <c r="AW30" s="50"/>
      <c r="AX30" s="50"/>
    </row>
    <row r="31" spans="1:50" ht="15" customHeight="1" x14ac:dyDescent="0.3">
      <c r="A31" s="61" t="s">
        <v>111</v>
      </c>
      <c r="B31" s="62" t="s">
        <v>103</v>
      </c>
      <c r="C31" s="53" t="s">
        <v>112</v>
      </c>
      <c r="D31" s="54" t="s">
        <v>0</v>
      </c>
      <c r="E31" s="55">
        <v>0.38150000000000001</v>
      </c>
      <c r="F31" s="56">
        <v>61.015650000000001</v>
      </c>
      <c r="G31" s="57">
        <v>47.680136600000004</v>
      </c>
      <c r="H31" s="58">
        <v>3.467938771764</v>
      </c>
      <c r="I31" s="58">
        <v>5.3329061356882006</v>
      </c>
      <c r="J31" s="58">
        <v>0</v>
      </c>
      <c r="K31" s="58">
        <v>1.5077003</v>
      </c>
      <c r="L31" s="58">
        <v>0.84373642100000001</v>
      </c>
      <c r="M31" s="58">
        <v>-14.8284152</v>
      </c>
      <c r="N31" s="283"/>
      <c r="O31" s="59">
        <v>47.680136600000004</v>
      </c>
      <c r="P31" s="60">
        <v>3.467938771764</v>
      </c>
      <c r="Q31" s="60">
        <v>5.3329061356882006</v>
      </c>
      <c r="R31" s="60">
        <v>0</v>
      </c>
      <c r="S31" s="60">
        <v>1.5077003</v>
      </c>
      <c r="T31" s="60">
        <v>0.84373642100000001</v>
      </c>
      <c r="U31" s="60">
        <v>-14.8284152</v>
      </c>
      <c r="V31" s="283"/>
      <c r="W31" s="60">
        <f t="shared" si="0"/>
        <v>60.963182628452209</v>
      </c>
      <c r="X31" s="59">
        <v>47.680136600000004</v>
      </c>
      <c r="Y31" s="60">
        <v>3.467938771764</v>
      </c>
      <c r="Z31" s="60">
        <v>5.3329061356882006</v>
      </c>
      <c r="AA31" s="60">
        <v>2.1307644000000003</v>
      </c>
      <c r="AB31" s="60">
        <v>1.5077003</v>
      </c>
      <c r="AC31" s="60">
        <v>0.84373642100000001</v>
      </c>
      <c r="AD31" s="60">
        <v>-14.8284152</v>
      </c>
      <c r="AE31" s="283"/>
      <c r="AF31" s="59">
        <v>47.680136600000004</v>
      </c>
      <c r="AG31" s="60">
        <v>3.467938771764</v>
      </c>
      <c r="AH31" s="60">
        <v>5.3329061356882006</v>
      </c>
      <c r="AI31" s="60">
        <v>14.216086000000001</v>
      </c>
      <c r="AJ31" s="60">
        <v>1.5077003</v>
      </c>
      <c r="AK31" s="60">
        <v>0.84373642100000001</v>
      </c>
      <c r="AL31" s="60">
        <v>-14.8284152</v>
      </c>
      <c r="AM31" s="286"/>
      <c r="AO31" s="49"/>
      <c r="AP31" s="49"/>
      <c r="AQ31" s="49"/>
      <c r="AS31" s="50"/>
      <c r="AT31" s="50"/>
      <c r="AU31" s="50"/>
      <c r="AV31" s="50"/>
      <c r="AW31" s="50"/>
      <c r="AX31" s="50"/>
    </row>
    <row r="32" spans="1:50" ht="15" customHeight="1" x14ac:dyDescent="0.3">
      <c r="A32" s="61" t="s">
        <v>113</v>
      </c>
      <c r="B32" s="62" t="s">
        <v>103</v>
      </c>
      <c r="C32" s="53" t="s">
        <v>114</v>
      </c>
      <c r="D32" s="54" t="s">
        <v>0</v>
      </c>
      <c r="E32" s="55">
        <v>0.44769999999999999</v>
      </c>
      <c r="F32" s="56">
        <v>69.308806250000004</v>
      </c>
      <c r="G32" s="57">
        <v>-11.548201975000005</v>
      </c>
      <c r="H32" s="58">
        <v>4.3252788890439993</v>
      </c>
      <c r="I32" s="58">
        <v>3.3679195031397002</v>
      </c>
      <c r="J32" s="58">
        <v>0</v>
      </c>
      <c r="K32" s="58">
        <v>44.633036414999999</v>
      </c>
      <c r="L32" s="58">
        <v>0.66124605937500003</v>
      </c>
      <c r="M32" s="58">
        <v>-18.191109999999998</v>
      </c>
      <c r="N32" s="283"/>
      <c r="O32" s="59">
        <v>-11.548201975000005</v>
      </c>
      <c r="P32" s="60">
        <v>4.3252788890439993</v>
      </c>
      <c r="Q32" s="60">
        <v>3.3679195031397002</v>
      </c>
      <c r="R32" s="60">
        <v>0.71556280000000005</v>
      </c>
      <c r="S32" s="60">
        <v>44.633036414999999</v>
      </c>
      <c r="T32" s="60">
        <v>0.66124605937500003</v>
      </c>
      <c r="U32" s="60">
        <v>-18.191109999999998</v>
      </c>
      <c r="V32" s="283"/>
      <c r="W32" s="60">
        <f t="shared" si="0"/>
        <v>46.4322944915587</v>
      </c>
      <c r="X32" s="59">
        <v>-11.548201975000005</v>
      </c>
      <c r="Y32" s="60">
        <v>4.3252788890439993</v>
      </c>
      <c r="Z32" s="60">
        <v>3.3679195031397002</v>
      </c>
      <c r="AA32" s="60">
        <v>4.9930156000000006</v>
      </c>
      <c r="AB32" s="60">
        <v>44.633036414999999</v>
      </c>
      <c r="AC32" s="60">
        <v>0.66124605937500003</v>
      </c>
      <c r="AD32" s="60">
        <v>-18.191109999999998</v>
      </c>
      <c r="AE32" s="283"/>
      <c r="AF32" s="59">
        <v>-11.548201975000005</v>
      </c>
      <c r="AG32" s="60">
        <v>4.3252788890439993</v>
      </c>
      <c r="AH32" s="60">
        <v>3.3679195031397002</v>
      </c>
      <c r="AI32" s="60">
        <v>17.084953599999999</v>
      </c>
      <c r="AJ32" s="60">
        <v>44.633036414999999</v>
      </c>
      <c r="AK32" s="60">
        <v>0.66124605937500003</v>
      </c>
      <c r="AL32" s="60">
        <v>-18.191109999999998</v>
      </c>
      <c r="AM32" s="286"/>
      <c r="AO32" s="49"/>
      <c r="AP32" s="49"/>
      <c r="AQ32" s="49"/>
      <c r="AS32" s="50"/>
      <c r="AT32" s="50"/>
      <c r="AU32" s="50"/>
      <c r="AV32" s="50"/>
      <c r="AW32" s="50"/>
      <c r="AX32" s="50"/>
    </row>
    <row r="33" spans="1:50" ht="15" customHeight="1" x14ac:dyDescent="0.3">
      <c r="A33" s="61" t="s">
        <v>115</v>
      </c>
      <c r="B33" s="62" t="s">
        <v>284</v>
      </c>
      <c r="C33" s="53" t="s">
        <v>116</v>
      </c>
      <c r="D33" s="54" t="s">
        <v>0</v>
      </c>
      <c r="E33" s="55">
        <v>0.50849999999999995</v>
      </c>
      <c r="F33" s="56">
        <v>283.69999999999993</v>
      </c>
      <c r="G33" s="57">
        <v>107.55730760000002</v>
      </c>
      <c r="H33" s="58">
        <v>14.593055999999999</v>
      </c>
      <c r="I33" s="58">
        <v>11.534265625000002</v>
      </c>
      <c r="J33" s="58">
        <v>0</v>
      </c>
      <c r="K33" s="58">
        <v>2.0558890000000001</v>
      </c>
      <c r="L33" s="58">
        <v>0.79962549999999999</v>
      </c>
      <c r="M33" s="58">
        <v>-0.58160860999999986</v>
      </c>
      <c r="N33" s="283"/>
      <c r="O33" s="59">
        <v>107.55730760000002</v>
      </c>
      <c r="P33" s="60">
        <v>14.593055999999999</v>
      </c>
      <c r="Q33" s="60">
        <v>11.534265625000002</v>
      </c>
      <c r="R33" s="60">
        <v>0</v>
      </c>
      <c r="S33" s="60">
        <v>2.0558890000000001</v>
      </c>
      <c r="T33" s="60">
        <v>0.79962549999999999</v>
      </c>
      <c r="U33" s="60">
        <v>-0.58160860999999986</v>
      </c>
      <c r="V33" s="283"/>
      <c r="W33" s="60">
        <f t="shared" si="0"/>
        <v>138.67090812500001</v>
      </c>
      <c r="X33" s="59">
        <v>107.55730760000002</v>
      </c>
      <c r="Y33" s="60">
        <v>14.593055999999999</v>
      </c>
      <c r="Z33" s="60">
        <v>11.534265625000002</v>
      </c>
      <c r="AA33" s="60">
        <v>2.1307644000000003</v>
      </c>
      <c r="AB33" s="60">
        <v>2.0558890000000001</v>
      </c>
      <c r="AC33" s="60">
        <v>0.79962549999999999</v>
      </c>
      <c r="AD33" s="60">
        <v>-0.58160860999999986</v>
      </c>
      <c r="AE33" s="283"/>
      <c r="AF33" s="59">
        <v>107.55730760000002</v>
      </c>
      <c r="AG33" s="60">
        <v>14.593055999999999</v>
      </c>
      <c r="AH33" s="60">
        <v>11.534265625000002</v>
      </c>
      <c r="AI33" s="60">
        <v>3.7430960000000004</v>
      </c>
      <c r="AJ33" s="60">
        <v>2.0558890000000001</v>
      </c>
      <c r="AK33" s="60">
        <v>0.79962549999999999</v>
      </c>
      <c r="AL33" s="60">
        <v>-0.58160860999999986</v>
      </c>
      <c r="AM33" s="286"/>
      <c r="AO33" s="49"/>
      <c r="AP33" s="49"/>
      <c r="AQ33" s="49"/>
      <c r="AS33" s="50"/>
      <c r="AT33" s="50"/>
      <c r="AU33" s="50"/>
      <c r="AV33" s="50"/>
      <c r="AW33" s="50"/>
      <c r="AX33" s="50"/>
    </row>
    <row r="34" spans="1:50" ht="15" customHeight="1" x14ac:dyDescent="0.3">
      <c r="A34" s="61" t="s">
        <v>117</v>
      </c>
      <c r="B34" s="62" t="s">
        <v>284</v>
      </c>
      <c r="C34" s="53" t="s">
        <v>118</v>
      </c>
      <c r="D34" s="54" t="s">
        <v>0</v>
      </c>
      <c r="E34" s="55">
        <v>0.41399999999999998</v>
      </c>
      <c r="F34" s="56">
        <v>71.500000000000014</v>
      </c>
      <c r="G34" s="57">
        <v>127.62094960000002</v>
      </c>
      <c r="H34" s="58">
        <v>2.5400959999999997</v>
      </c>
      <c r="I34" s="58">
        <v>12.150934968900001</v>
      </c>
      <c r="J34" s="58">
        <v>0</v>
      </c>
      <c r="K34" s="58">
        <v>0.62953300000000001</v>
      </c>
      <c r="L34" s="58">
        <v>0.38199293899999998</v>
      </c>
      <c r="M34" s="58">
        <v>-63.744286500000001</v>
      </c>
      <c r="N34" s="283"/>
      <c r="O34" s="59">
        <v>127.62094960000002</v>
      </c>
      <c r="P34" s="60">
        <v>2.5400959999999997</v>
      </c>
      <c r="Q34" s="60">
        <v>12.150934968900001</v>
      </c>
      <c r="R34" s="60">
        <v>0</v>
      </c>
      <c r="S34" s="60">
        <v>0.62953300000000001</v>
      </c>
      <c r="T34" s="60">
        <v>0.38199293899999998</v>
      </c>
      <c r="U34" s="60">
        <v>-63.744286500000001</v>
      </c>
      <c r="V34" s="283"/>
      <c r="W34" s="60">
        <f t="shared" si="0"/>
        <v>145.45427090790005</v>
      </c>
      <c r="X34" s="59">
        <v>127.62094960000002</v>
      </c>
      <c r="Y34" s="60">
        <v>2.5400959999999997</v>
      </c>
      <c r="Z34" s="60">
        <v>12.150934968900001</v>
      </c>
      <c r="AA34" s="60">
        <v>2.1307644000000003</v>
      </c>
      <c r="AB34" s="60">
        <v>0.62953300000000001</v>
      </c>
      <c r="AC34" s="60">
        <v>0.38199293899999998</v>
      </c>
      <c r="AD34" s="60">
        <v>-63.744286500000001</v>
      </c>
      <c r="AE34" s="283"/>
      <c r="AF34" s="59">
        <v>127.62094960000002</v>
      </c>
      <c r="AG34" s="60">
        <v>2.5400959999999997</v>
      </c>
      <c r="AH34" s="60">
        <v>12.150934968900001</v>
      </c>
      <c r="AI34" s="60">
        <v>38.110837589000006</v>
      </c>
      <c r="AJ34" s="60">
        <v>0.62953300000000001</v>
      </c>
      <c r="AK34" s="60">
        <v>0.38199293899999998</v>
      </c>
      <c r="AL34" s="60">
        <v>-63.744286500000001</v>
      </c>
      <c r="AM34" s="286"/>
      <c r="AO34" s="49"/>
      <c r="AP34" s="49"/>
      <c r="AQ34" s="49"/>
      <c r="AS34" s="50"/>
      <c r="AT34" s="50"/>
      <c r="AU34" s="50"/>
      <c r="AV34" s="50"/>
      <c r="AW34" s="50"/>
      <c r="AX34" s="50"/>
    </row>
    <row r="35" spans="1:50" ht="15" customHeight="1" x14ac:dyDescent="0.3">
      <c r="A35" s="61" t="s">
        <v>119</v>
      </c>
      <c r="B35" s="62" t="s">
        <v>284</v>
      </c>
      <c r="C35" s="53" t="s">
        <v>120</v>
      </c>
      <c r="D35" s="54" t="s">
        <v>0</v>
      </c>
      <c r="E35" s="55">
        <v>0.4138</v>
      </c>
      <c r="F35" s="56">
        <v>73.560000000000016</v>
      </c>
      <c r="G35" s="57">
        <v>105.29344960000002</v>
      </c>
      <c r="H35" s="58">
        <v>2.6571039999999995</v>
      </c>
      <c r="I35" s="58">
        <v>9.9300944823200012</v>
      </c>
      <c r="J35" s="58">
        <v>0</v>
      </c>
      <c r="K35" s="58">
        <v>0.62953300000000001</v>
      </c>
      <c r="L35" s="58">
        <v>0.38408007319999993</v>
      </c>
      <c r="M35" s="58">
        <v>-51.850451700000001</v>
      </c>
      <c r="N35" s="283"/>
      <c r="O35" s="59">
        <v>105.29344960000002</v>
      </c>
      <c r="P35" s="60">
        <v>2.6571039999999995</v>
      </c>
      <c r="Q35" s="60">
        <v>9.9300944823200012</v>
      </c>
      <c r="R35" s="60">
        <v>0</v>
      </c>
      <c r="S35" s="60">
        <v>0.62953300000000001</v>
      </c>
      <c r="T35" s="60">
        <v>0.38408007319999993</v>
      </c>
      <c r="U35" s="60">
        <v>-51.850451700000001</v>
      </c>
      <c r="V35" s="283"/>
      <c r="W35" s="60">
        <f t="shared" si="0"/>
        <v>121.02502555552002</v>
      </c>
      <c r="X35" s="59">
        <v>105.29344960000002</v>
      </c>
      <c r="Y35" s="60">
        <v>2.6571039999999995</v>
      </c>
      <c r="Z35" s="60">
        <v>9.9300944823200012</v>
      </c>
      <c r="AA35" s="60">
        <v>2.1307644000000003</v>
      </c>
      <c r="AB35" s="60">
        <v>0.62953300000000001</v>
      </c>
      <c r="AC35" s="60">
        <v>0.38408007319999993</v>
      </c>
      <c r="AD35" s="60">
        <v>-51.850451700000001</v>
      </c>
      <c r="AE35" s="283"/>
      <c r="AF35" s="59">
        <v>105.29344960000002</v>
      </c>
      <c r="AG35" s="60">
        <v>2.6571039999999995</v>
      </c>
      <c r="AH35" s="60">
        <v>9.9300944823200012</v>
      </c>
      <c r="AI35" s="60">
        <v>3.7430960000000004</v>
      </c>
      <c r="AJ35" s="60">
        <v>0.62953300000000001</v>
      </c>
      <c r="AK35" s="60">
        <v>0.38408007319999993</v>
      </c>
      <c r="AL35" s="60">
        <v>-51.850451700000001</v>
      </c>
      <c r="AM35" s="286"/>
      <c r="AO35" s="49"/>
      <c r="AP35" s="49"/>
      <c r="AQ35" s="49"/>
      <c r="AS35" s="50"/>
      <c r="AT35" s="50"/>
      <c r="AU35" s="50"/>
      <c r="AV35" s="50"/>
      <c r="AW35" s="50"/>
      <c r="AX35" s="50"/>
    </row>
    <row r="36" spans="1:50" ht="15" customHeight="1" x14ac:dyDescent="0.3">
      <c r="A36" s="61" t="s">
        <v>121</v>
      </c>
      <c r="B36" s="62" t="s">
        <v>284</v>
      </c>
      <c r="C36" s="53" t="s">
        <v>122</v>
      </c>
      <c r="D36" s="54" t="s">
        <v>0</v>
      </c>
      <c r="E36" s="55">
        <v>0.54299999999999993</v>
      </c>
      <c r="F36" s="56">
        <v>117.6508</v>
      </c>
      <c r="G36" s="57">
        <v>51.612116266666661</v>
      </c>
      <c r="H36" s="58">
        <v>5.2298786269479995</v>
      </c>
      <c r="I36" s="58">
        <v>5.4507889619029557</v>
      </c>
      <c r="J36" s="58">
        <v>0</v>
      </c>
      <c r="K36" s="58">
        <v>7.3822718888888899</v>
      </c>
      <c r="L36" s="58">
        <v>0.37674099999999994</v>
      </c>
      <c r="M36" s="58">
        <v>-4.0313296111111123</v>
      </c>
      <c r="N36" s="283"/>
      <c r="O36" s="59">
        <v>51.612116266666661</v>
      </c>
      <c r="P36" s="60">
        <v>5.2298786269479995</v>
      </c>
      <c r="Q36" s="60">
        <v>5.4507889619029557</v>
      </c>
      <c r="R36" s="60">
        <v>0</v>
      </c>
      <c r="S36" s="60">
        <v>7.3822718888888899</v>
      </c>
      <c r="T36" s="60">
        <v>0.37674099999999994</v>
      </c>
      <c r="U36" s="60">
        <v>-4.0313296111111123</v>
      </c>
      <c r="V36" s="283"/>
      <c r="W36" s="60">
        <f t="shared" si="0"/>
        <v>72.182561144406506</v>
      </c>
      <c r="X36" s="59">
        <v>51.612116266666661</v>
      </c>
      <c r="Y36" s="60">
        <v>5.2298786269479995</v>
      </c>
      <c r="Z36" s="60">
        <v>5.4507889619029557</v>
      </c>
      <c r="AA36" s="60">
        <v>2.1307644000000003</v>
      </c>
      <c r="AB36" s="60">
        <v>7.3822718888888899</v>
      </c>
      <c r="AC36" s="60">
        <v>0.37674099999999994</v>
      </c>
      <c r="AD36" s="60">
        <v>-4.0313296111111123</v>
      </c>
      <c r="AE36" s="283"/>
      <c r="AF36" s="59">
        <v>51.612116266666661</v>
      </c>
      <c r="AG36" s="60">
        <v>5.2298786269479995</v>
      </c>
      <c r="AH36" s="60">
        <v>5.4507889619029557</v>
      </c>
      <c r="AI36" s="60">
        <v>4.2589460000000017</v>
      </c>
      <c r="AJ36" s="60">
        <v>7.3822718888888899</v>
      </c>
      <c r="AK36" s="60">
        <v>0.37674099999999994</v>
      </c>
      <c r="AL36" s="60">
        <v>-4.0313296111111123</v>
      </c>
      <c r="AM36" s="286"/>
      <c r="AO36" s="49"/>
      <c r="AP36" s="49"/>
      <c r="AQ36" s="49"/>
      <c r="AS36" s="50"/>
      <c r="AT36" s="50"/>
      <c r="AU36" s="50"/>
      <c r="AV36" s="50"/>
      <c r="AW36" s="50"/>
      <c r="AX36" s="50"/>
    </row>
    <row r="37" spans="1:50" ht="15" customHeight="1" x14ac:dyDescent="0.3">
      <c r="A37" s="61" t="s">
        <v>123</v>
      </c>
      <c r="B37" s="62" t="s">
        <v>284</v>
      </c>
      <c r="C37" s="53" t="s">
        <v>124</v>
      </c>
      <c r="D37" s="54" t="s">
        <v>0</v>
      </c>
      <c r="E37" s="55">
        <v>0.46600000000000003</v>
      </c>
      <c r="F37" s="56">
        <v>76.684400000000011</v>
      </c>
      <c r="G37" s="57">
        <v>45.787249599999996</v>
      </c>
      <c r="H37" s="58">
        <v>2.8470437717639996</v>
      </c>
      <c r="I37" s="58">
        <v>4.1263888635882005</v>
      </c>
      <c r="J37" s="58">
        <v>0</v>
      </c>
      <c r="K37" s="58">
        <v>1.7993830000000002</v>
      </c>
      <c r="L37" s="58">
        <v>0.5718129999999999</v>
      </c>
      <c r="M37" s="58">
        <v>-0.78363050000000001</v>
      </c>
      <c r="N37" s="283"/>
      <c r="O37" s="59">
        <v>45.787249599999996</v>
      </c>
      <c r="P37" s="60">
        <v>2.8470437717639996</v>
      </c>
      <c r="Q37" s="60">
        <v>4.1263888635882005</v>
      </c>
      <c r="R37" s="60">
        <v>0</v>
      </c>
      <c r="S37" s="60">
        <v>1.7993830000000002</v>
      </c>
      <c r="T37" s="60">
        <v>0.5718129999999999</v>
      </c>
      <c r="U37" s="60">
        <v>-0.78363050000000001</v>
      </c>
      <c r="V37" s="283"/>
      <c r="W37" s="60">
        <f t="shared" si="0"/>
        <v>57.262642635352194</v>
      </c>
      <c r="X37" s="59">
        <v>45.787249599999996</v>
      </c>
      <c r="Y37" s="60">
        <v>2.8470437717639996</v>
      </c>
      <c r="Z37" s="60">
        <v>4.1263888635882005</v>
      </c>
      <c r="AA37" s="60">
        <v>2.1307644000000003</v>
      </c>
      <c r="AB37" s="60">
        <v>1.7993830000000002</v>
      </c>
      <c r="AC37" s="60">
        <v>0.5718129999999999</v>
      </c>
      <c r="AD37" s="60">
        <v>-0.78363050000000001</v>
      </c>
      <c r="AE37" s="283"/>
      <c r="AF37" s="59">
        <v>45.787249599999996</v>
      </c>
      <c r="AG37" s="60">
        <v>2.8470437717639996</v>
      </c>
      <c r="AH37" s="60">
        <v>4.1263888635882005</v>
      </c>
      <c r="AI37" s="60">
        <v>11.025218000000002</v>
      </c>
      <c r="AJ37" s="60">
        <v>1.7993830000000002</v>
      </c>
      <c r="AK37" s="60">
        <v>0.5718129999999999</v>
      </c>
      <c r="AL37" s="60">
        <v>-0.78363050000000001</v>
      </c>
      <c r="AM37" s="286"/>
      <c r="AO37" s="49"/>
      <c r="AP37" s="49"/>
      <c r="AQ37" s="49"/>
      <c r="AS37" s="50"/>
      <c r="AT37" s="50"/>
      <c r="AU37" s="50"/>
      <c r="AV37" s="50"/>
      <c r="AW37" s="50"/>
      <c r="AX37" s="50"/>
    </row>
    <row r="38" spans="1:50" ht="15" customHeight="1" x14ac:dyDescent="0.3">
      <c r="A38" s="61" t="s">
        <v>125</v>
      </c>
      <c r="B38" s="62" t="s">
        <v>284</v>
      </c>
      <c r="C38" s="53" t="s">
        <v>126</v>
      </c>
      <c r="D38" s="54" t="s">
        <v>0</v>
      </c>
      <c r="E38" s="55">
        <v>0.48300000000000004</v>
      </c>
      <c r="F38" s="56">
        <v>77.604400000000012</v>
      </c>
      <c r="G38" s="57">
        <v>19.764212599999997</v>
      </c>
      <c r="H38" s="58">
        <v>3.0928109049639998</v>
      </c>
      <c r="I38" s="58">
        <v>3.7074743002482</v>
      </c>
      <c r="J38" s="58">
        <v>0</v>
      </c>
      <c r="K38" s="58">
        <v>26.592982800000001</v>
      </c>
      <c r="L38" s="58">
        <v>0.37674099999999994</v>
      </c>
      <c r="M38" s="58">
        <v>-7.3442147000000011</v>
      </c>
      <c r="N38" s="283"/>
      <c r="O38" s="59">
        <v>19.764212599999997</v>
      </c>
      <c r="P38" s="60">
        <v>3.0928109049639998</v>
      </c>
      <c r="Q38" s="60">
        <v>3.7074743002482</v>
      </c>
      <c r="R38" s="60">
        <v>0.71556280000000005</v>
      </c>
      <c r="S38" s="60">
        <v>26.592982800000001</v>
      </c>
      <c r="T38" s="60">
        <v>0.37674099999999994</v>
      </c>
      <c r="U38" s="60">
        <v>-7.3442147000000011</v>
      </c>
      <c r="V38" s="283"/>
      <c r="W38" s="60">
        <f t="shared" si="0"/>
        <v>58.527237205212202</v>
      </c>
      <c r="X38" s="59">
        <v>19.764212599999997</v>
      </c>
      <c r="Y38" s="60">
        <v>3.0928109049639998</v>
      </c>
      <c r="Z38" s="60">
        <v>3.7074743002482</v>
      </c>
      <c r="AA38" s="60">
        <v>4.9930156000000006</v>
      </c>
      <c r="AB38" s="60">
        <v>26.592982800000001</v>
      </c>
      <c r="AC38" s="60">
        <v>0.37674099999999994</v>
      </c>
      <c r="AD38" s="60">
        <v>-7.3442147000000011</v>
      </c>
      <c r="AE38" s="283"/>
      <c r="AF38" s="59">
        <v>19.764212599999997</v>
      </c>
      <c r="AG38" s="60">
        <v>3.0928109049639998</v>
      </c>
      <c r="AH38" s="60">
        <v>3.7074743002482</v>
      </c>
      <c r="AI38" s="60">
        <v>13.8940856</v>
      </c>
      <c r="AJ38" s="60">
        <v>26.592982800000001</v>
      </c>
      <c r="AK38" s="60">
        <v>0.37674099999999994</v>
      </c>
      <c r="AL38" s="60">
        <v>-7.3442147000000011</v>
      </c>
      <c r="AM38" s="286"/>
      <c r="AO38" s="49"/>
      <c r="AP38" s="49"/>
      <c r="AQ38" s="49"/>
      <c r="AS38" s="50"/>
      <c r="AT38" s="50"/>
      <c r="AU38" s="50"/>
      <c r="AV38" s="50"/>
      <c r="AW38" s="50"/>
      <c r="AX38" s="50"/>
    </row>
    <row r="39" spans="1:50" ht="15" customHeight="1" x14ac:dyDescent="0.3">
      <c r="A39" s="61" t="s">
        <v>127</v>
      </c>
      <c r="B39" s="62" t="s">
        <v>284</v>
      </c>
      <c r="C39" s="53" t="s">
        <v>128</v>
      </c>
      <c r="D39" s="54" t="s">
        <v>0</v>
      </c>
      <c r="E39" s="55">
        <v>0.49819999999999998</v>
      </c>
      <c r="F39" s="56">
        <v>277.01643749999999</v>
      </c>
      <c r="G39" s="57">
        <v>75.954457712500016</v>
      </c>
      <c r="H39" s="58">
        <v>15.931262190629997</v>
      </c>
      <c r="I39" s="58">
        <v>11.302863796531502</v>
      </c>
      <c r="J39" s="58">
        <v>0</v>
      </c>
      <c r="K39" s="58">
        <v>21.441996058749993</v>
      </c>
      <c r="L39" s="58">
        <v>1.0933708237500002</v>
      </c>
      <c r="M39" s="58">
        <v>-12.22537891</v>
      </c>
      <c r="N39" s="283"/>
      <c r="O39" s="59">
        <v>75.954457712500016</v>
      </c>
      <c r="P39" s="60">
        <v>15.931262190629997</v>
      </c>
      <c r="Q39" s="60">
        <v>11.302863796531502</v>
      </c>
      <c r="R39" s="60">
        <v>0</v>
      </c>
      <c r="S39" s="60">
        <v>21.441996058749993</v>
      </c>
      <c r="T39" s="60">
        <v>1.0933708237500002</v>
      </c>
      <c r="U39" s="60">
        <v>-12.22537891</v>
      </c>
      <c r="V39" s="283"/>
      <c r="W39" s="60">
        <f t="shared" si="0"/>
        <v>127.85471498216151</v>
      </c>
      <c r="X39" s="59">
        <v>75.954457712500016</v>
      </c>
      <c r="Y39" s="60">
        <v>15.931262190629997</v>
      </c>
      <c r="Z39" s="60">
        <v>11.302863796531502</v>
      </c>
      <c r="AA39" s="60">
        <v>2.1307644000000003</v>
      </c>
      <c r="AB39" s="60">
        <v>21.441996058749993</v>
      </c>
      <c r="AC39" s="60">
        <v>1.0933708237500002</v>
      </c>
      <c r="AD39" s="60">
        <v>-12.22537891</v>
      </c>
      <c r="AE39" s="283"/>
      <c r="AF39" s="59">
        <v>75.954457712500016</v>
      </c>
      <c r="AG39" s="60">
        <v>15.931262190629997</v>
      </c>
      <c r="AH39" s="60">
        <v>11.302863796531502</v>
      </c>
      <c r="AI39" s="60">
        <v>6.9339640000000005</v>
      </c>
      <c r="AJ39" s="60">
        <v>21.441996058749993</v>
      </c>
      <c r="AK39" s="60">
        <v>1.0933708237500002</v>
      </c>
      <c r="AL39" s="60">
        <v>-12.22537891</v>
      </c>
      <c r="AM39" s="286"/>
      <c r="AO39" s="49"/>
      <c r="AP39" s="49"/>
      <c r="AQ39" s="49"/>
      <c r="AS39" s="50"/>
      <c r="AT39" s="50"/>
      <c r="AU39" s="50"/>
      <c r="AV39" s="50"/>
      <c r="AW39" s="50"/>
      <c r="AX39" s="50"/>
    </row>
    <row r="40" spans="1:50" ht="15" customHeight="1" x14ac:dyDescent="0.3">
      <c r="A40" s="61" t="s">
        <v>129</v>
      </c>
      <c r="B40" s="62" t="s">
        <v>284</v>
      </c>
      <c r="C40" s="53" t="s">
        <v>130</v>
      </c>
      <c r="D40" s="54" t="s">
        <v>0</v>
      </c>
      <c r="E40" s="55">
        <v>0.4037</v>
      </c>
      <c r="F40" s="56">
        <v>64.816437500000006</v>
      </c>
      <c r="G40" s="57">
        <v>96.018099712500003</v>
      </c>
      <c r="H40" s="58">
        <v>3.8783021906299999</v>
      </c>
      <c r="I40" s="58">
        <v>11.919533140431502</v>
      </c>
      <c r="J40" s="58">
        <v>0</v>
      </c>
      <c r="K40" s="58">
        <v>20.015640058749995</v>
      </c>
      <c r="L40" s="58">
        <v>0.67573826274999993</v>
      </c>
      <c r="M40" s="58">
        <v>-75.388056800000015</v>
      </c>
      <c r="N40" s="283"/>
      <c r="O40" s="59">
        <v>96.018099712500003</v>
      </c>
      <c r="P40" s="60">
        <v>3.8783021906299999</v>
      </c>
      <c r="Q40" s="60">
        <v>11.919533140431502</v>
      </c>
      <c r="R40" s="60">
        <v>0</v>
      </c>
      <c r="S40" s="60">
        <v>20.015640058749995</v>
      </c>
      <c r="T40" s="60">
        <v>0.67573826274999993</v>
      </c>
      <c r="U40" s="60">
        <v>-75.388056800000015</v>
      </c>
      <c r="V40" s="283"/>
      <c r="W40" s="60">
        <f t="shared" si="0"/>
        <v>134.6380777650615</v>
      </c>
      <c r="X40" s="59">
        <v>96.018099712500003</v>
      </c>
      <c r="Y40" s="60">
        <v>3.8783021906299999</v>
      </c>
      <c r="Z40" s="60">
        <v>11.919533140431502</v>
      </c>
      <c r="AA40" s="60">
        <v>2.1307644000000003</v>
      </c>
      <c r="AB40" s="60">
        <v>20.015640058749995</v>
      </c>
      <c r="AC40" s="60">
        <v>0.67573826274999993</v>
      </c>
      <c r="AD40" s="60">
        <v>-75.388056800000015</v>
      </c>
      <c r="AE40" s="283"/>
      <c r="AF40" s="59">
        <v>96.018099712500003</v>
      </c>
      <c r="AG40" s="60">
        <v>3.8783021906299999</v>
      </c>
      <c r="AH40" s="60">
        <v>11.919533140431502</v>
      </c>
      <c r="AI40" s="60">
        <v>41.301705589000001</v>
      </c>
      <c r="AJ40" s="60">
        <v>20.015640058749995</v>
      </c>
      <c r="AK40" s="60">
        <v>0.67573826274999993</v>
      </c>
      <c r="AL40" s="60">
        <v>-75.388056800000015</v>
      </c>
      <c r="AM40" s="286"/>
      <c r="AO40" s="49"/>
      <c r="AP40" s="49"/>
      <c r="AQ40" s="49"/>
      <c r="AS40" s="50"/>
      <c r="AT40" s="50"/>
      <c r="AU40" s="50"/>
      <c r="AV40" s="50"/>
      <c r="AW40" s="50"/>
      <c r="AX40" s="50"/>
    </row>
    <row r="41" spans="1:50" ht="15" customHeight="1" x14ac:dyDescent="0.3">
      <c r="A41" s="61" t="s">
        <v>131</v>
      </c>
      <c r="B41" s="62" t="s">
        <v>284</v>
      </c>
      <c r="C41" s="53" t="s">
        <v>132</v>
      </c>
      <c r="D41" s="54" t="s">
        <v>0</v>
      </c>
      <c r="E41" s="55">
        <v>0.40349999999999997</v>
      </c>
      <c r="F41" s="56">
        <v>66.876437500000009</v>
      </c>
      <c r="G41" s="57">
        <v>73.690599712500017</v>
      </c>
      <c r="H41" s="58">
        <v>3.9953101906299997</v>
      </c>
      <c r="I41" s="58">
        <v>9.6986926538515021</v>
      </c>
      <c r="J41" s="58">
        <v>0</v>
      </c>
      <c r="K41" s="58">
        <v>20.015640058749995</v>
      </c>
      <c r="L41" s="58">
        <v>0.67782539694999988</v>
      </c>
      <c r="M41" s="58">
        <v>-63.494222000000001</v>
      </c>
      <c r="N41" s="283"/>
      <c r="O41" s="59">
        <v>73.690599712500017</v>
      </c>
      <c r="P41" s="60">
        <v>3.9953101906299997</v>
      </c>
      <c r="Q41" s="60">
        <v>9.6986926538515021</v>
      </c>
      <c r="R41" s="60">
        <v>0</v>
      </c>
      <c r="S41" s="60">
        <v>20.015640058749995</v>
      </c>
      <c r="T41" s="60">
        <v>0.67782539694999988</v>
      </c>
      <c r="U41" s="60">
        <v>-63.494222000000001</v>
      </c>
      <c r="V41" s="283"/>
      <c r="W41" s="60">
        <f t="shared" si="0"/>
        <v>110.20883241268152</v>
      </c>
      <c r="X41" s="59">
        <v>73.690599712500017</v>
      </c>
      <c r="Y41" s="60">
        <v>3.9953101906299997</v>
      </c>
      <c r="Z41" s="60">
        <v>9.6986926538515021</v>
      </c>
      <c r="AA41" s="60">
        <v>2.1307644000000003</v>
      </c>
      <c r="AB41" s="60">
        <v>20.015640058749995</v>
      </c>
      <c r="AC41" s="60">
        <v>0.67782539694999988</v>
      </c>
      <c r="AD41" s="60">
        <v>-63.494222000000001</v>
      </c>
      <c r="AE41" s="283"/>
      <c r="AF41" s="59">
        <v>73.690599712500017</v>
      </c>
      <c r="AG41" s="60">
        <v>3.9953101906299997</v>
      </c>
      <c r="AH41" s="60">
        <v>9.6986926538515021</v>
      </c>
      <c r="AI41" s="60">
        <v>6.9339640000000005</v>
      </c>
      <c r="AJ41" s="60">
        <v>20.015640058749995</v>
      </c>
      <c r="AK41" s="60">
        <v>0.67782539694999988</v>
      </c>
      <c r="AL41" s="60">
        <v>-63.494222000000001</v>
      </c>
      <c r="AM41" s="286"/>
      <c r="AO41" s="49"/>
      <c r="AP41" s="49"/>
      <c r="AQ41" s="49"/>
      <c r="AS41" s="50"/>
      <c r="AT41" s="50"/>
      <c r="AU41" s="50"/>
      <c r="AV41" s="50"/>
      <c r="AW41" s="50"/>
      <c r="AX41" s="50"/>
    </row>
    <row r="42" spans="1:50" ht="15" customHeight="1" x14ac:dyDescent="0.3">
      <c r="A42" s="61" t="s">
        <v>133</v>
      </c>
      <c r="B42" s="62" t="s">
        <v>284</v>
      </c>
      <c r="C42" s="53" t="s">
        <v>134</v>
      </c>
      <c r="D42" s="54" t="s">
        <v>0</v>
      </c>
      <c r="E42" s="55">
        <v>0.53269999999999995</v>
      </c>
      <c r="F42" s="56">
        <v>110.9672375</v>
      </c>
      <c r="G42" s="57">
        <v>20.009266379166668</v>
      </c>
      <c r="H42" s="58">
        <v>6.5680848175779989</v>
      </c>
      <c r="I42" s="58">
        <v>5.2193871334344566</v>
      </c>
      <c r="J42" s="58">
        <v>0</v>
      </c>
      <c r="K42" s="58">
        <v>26.768378947638883</v>
      </c>
      <c r="L42" s="58">
        <v>0.67048632375000006</v>
      </c>
      <c r="M42" s="58">
        <v>-15.675099911111111</v>
      </c>
      <c r="N42" s="283"/>
      <c r="O42" s="59">
        <v>20.009266379166668</v>
      </c>
      <c r="P42" s="60">
        <v>6.5680848175779989</v>
      </c>
      <c r="Q42" s="60">
        <v>5.2193871334344566</v>
      </c>
      <c r="R42" s="60">
        <v>0</v>
      </c>
      <c r="S42" s="60">
        <v>26.768378947638883</v>
      </c>
      <c r="T42" s="60">
        <v>0.67048632375000006</v>
      </c>
      <c r="U42" s="60">
        <v>-15.675099911111111</v>
      </c>
      <c r="V42" s="283"/>
      <c r="W42" s="60">
        <f t="shared" si="0"/>
        <v>61.366368001568006</v>
      </c>
      <c r="X42" s="59">
        <v>20.009266379166668</v>
      </c>
      <c r="Y42" s="60">
        <v>6.5680848175779989</v>
      </c>
      <c r="Z42" s="60">
        <v>5.2193871334344566</v>
      </c>
      <c r="AA42" s="60">
        <v>2.1307644000000003</v>
      </c>
      <c r="AB42" s="60">
        <v>26.768378947638883</v>
      </c>
      <c r="AC42" s="60">
        <v>0.67048632375000006</v>
      </c>
      <c r="AD42" s="60">
        <v>-15.675099911111111</v>
      </c>
      <c r="AE42" s="283"/>
      <c r="AF42" s="59">
        <v>20.009266379166668</v>
      </c>
      <c r="AG42" s="60">
        <v>6.5680848175779989</v>
      </c>
      <c r="AH42" s="60">
        <v>5.2193871334344566</v>
      </c>
      <c r="AI42" s="60">
        <v>7.4498140000000017</v>
      </c>
      <c r="AJ42" s="60">
        <v>26.768378947638883</v>
      </c>
      <c r="AK42" s="60">
        <v>0.67048632375000006</v>
      </c>
      <c r="AL42" s="60">
        <v>-15.675099911111111</v>
      </c>
      <c r="AM42" s="286"/>
      <c r="AO42" s="49"/>
      <c r="AP42" s="49"/>
      <c r="AQ42" s="49"/>
      <c r="AS42" s="50"/>
      <c r="AT42" s="50"/>
      <c r="AU42" s="50"/>
      <c r="AV42" s="50"/>
      <c r="AW42" s="50"/>
      <c r="AX42" s="50"/>
    </row>
    <row r="43" spans="1:50" ht="15" customHeight="1" x14ac:dyDescent="0.3">
      <c r="A43" s="61" t="s">
        <v>135</v>
      </c>
      <c r="B43" s="62" t="s">
        <v>284</v>
      </c>
      <c r="C43" s="53" t="s">
        <v>136</v>
      </c>
      <c r="D43" s="54" t="s">
        <v>0</v>
      </c>
      <c r="E43" s="55">
        <v>0.45569999999999999</v>
      </c>
      <c r="F43" s="56">
        <v>70.000837500000017</v>
      </c>
      <c r="G43" s="57">
        <v>14.184399712500003</v>
      </c>
      <c r="H43" s="58">
        <v>4.1852499623939998</v>
      </c>
      <c r="I43" s="58">
        <v>3.8949870351197</v>
      </c>
      <c r="J43" s="58">
        <v>0</v>
      </c>
      <c r="K43" s="58">
        <v>21.185490058749995</v>
      </c>
      <c r="L43" s="58">
        <v>0.86555832374999997</v>
      </c>
      <c r="M43" s="58">
        <v>-12.427400800000001</v>
      </c>
      <c r="N43" s="283"/>
      <c r="O43" s="59">
        <v>14.184399712500003</v>
      </c>
      <c r="P43" s="60">
        <v>4.1852499623939998</v>
      </c>
      <c r="Q43" s="60">
        <v>3.8949870351197</v>
      </c>
      <c r="R43" s="60">
        <v>0</v>
      </c>
      <c r="S43" s="60">
        <v>21.185490058749995</v>
      </c>
      <c r="T43" s="60">
        <v>0.86555832374999997</v>
      </c>
      <c r="U43" s="60">
        <v>-12.427400800000001</v>
      </c>
      <c r="V43" s="283"/>
      <c r="W43" s="60">
        <f t="shared" si="0"/>
        <v>46.4464494925137</v>
      </c>
      <c r="X43" s="59">
        <v>14.184399712500003</v>
      </c>
      <c r="Y43" s="60">
        <v>4.1852499623939998</v>
      </c>
      <c r="Z43" s="60">
        <v>3.8949870351197</v>
      </c>
      <c r="AA43" s="60">
        <v>2.1307644000000003</v>
      </c>
      <c r="AB43" s="60">
        <v>21.185490058749995</v>
      </c>
      <c r="AC43" s="60">
        <v>0.86555832374999997</v>
      </c>
      <c r="AD43" s="60">
        <v>-12.427400800000001</v>
      </c>
      <c r="AE43" s="283"/>
      <c r="AF43" s="59">
        <v>14.184399712500003</v>
      </c>
      <c r="AG43" s="60">
        <v>4.1852499623939998</v>
      </c>
      <c r="AH43" s="60">
        <v>3.8949870351197</v>
      </c>
      <c r="AI43" s="60">
        <v>14.216086000000001</v>
      </c>
      <c r="AJ43" s="60">
        <v>21.185490058749995</v>
      </c>
      <c r="AK43" s="60">
        <v>0.86555832374999997</v>
      </c>
      <c r="AL43" s="60">
        <v>-12.427400800000001</v>
      </c>
      <c r="AM43" s="286"/>
      <c r="AO43" s="49"/>
      <c r="AP43" s="49"/>
      <c r="AQ43" s="49"/>
      <c r="AS43" s="50"/>
      <c r="AT43" s="50"/>
      <c r="AU43" s="50"/>
      <c r="AV43" s="50"/>
      <c r="AW43" s="50"/>
      <c r="AX43" s="50"/>
    </row>
    <row r="44" spans="1:50" ht="15" customHeight="1" x14ac:dyDescent="0.3">
      <c r="A44" s="61" t="s">
        <v>137</v>
      </c>
      <c r="B44" s="62" t="s">
        <v>284</v>
      </c>
      <c r="C44" s="53" t="s">
        <v>138</v>
      </c>
      <c r="D44" s="54" t="s">
        <v>0</v>
      </c>
      <c r="E44" s="55">
        <v>0.47270000000000001</v>
      </c>
      <c r="F44" s="56">
        <v>70.920837500000005</v>
      </c>
      <c r="G44" s="57">
        <v>-11.838637287500001</v>
      </c>
      <c r="H44" s="58">
        <v>4.4310170955939991</v>
      </c>
      <c r="I44" s="58">
        <v>3.4760724717797</v>
      </c>
      <c r="J44" s="58">
        <v>0</v>
      </c>
      <c r="K44" s="58">
        <v>45.979089858750001</v>
      </c>
      <c r="L44" s="58">
        <v>0.67048632375000006</v>
      </c>
      <c r="M44" s="58">
        <v>-18.987984999999998</v>
      </c>
      <c r="N44" s="283"/>
      <c r="O44" s="59">
        <v>-11.838637287500001</v>
      </c>
      <c r="P44" s="60">
        <v>4.4310170955939991</v>
      </c>
      <c r="Q44" s="60">
        <v>3.4760724717797</v>
      </c>
      <c r="R44" s="60">
        <v>0.71556280000000005</v>
      </c>
      <c r="S44" s="60">
        <v>45.979089858750001</v>
      </c>
      <c r="T44" s="60">
        <v>0.67048632375000006</v>
      </c>
      <c r="U44" s="60">
        <v>-18.987984999999998</v>
      </c>
      <c r="V44" s="283"/>
      <c r="W44" s="60">
        <f t="shared" si="0"/>
        <v>47.711044062373695</v>
      </c>
      <c r="X44" s="59">
        <v>-11.838637287500001</v>
      </c>
      <c r="Y44" s="60">
        <v>4.4310170955939991</v>
      </c>
      <c r="Z44" s="60">
        <v>3.4760724717797</v>
      </c>
      <c r="AA44" s="60">
        <v>4.9930156000000006</v>
      </c>
      <c r="AB44" s="60">
        <v>45.979089858750001</v>
      </c>
      <c r="AC44" s="60">
        <v>0.67048632375000006</v>
      </c>
      <c r="AD44" s="60">
        <v>-18.987984999999998</v>
      </c>
      <c r="AE44" s="283"/>
      <c r="AF44" s="59">
        <v>-11.838637287500001</v>
      </c>
      <c r="AG44" s="60">
        <v>4.4310170955939991</v>
      </c>
      <c r="AH44" s="60">
        <v>3.4760724717797</v>
      </c>
      <c r="AI44" s="60">
        <v>17.084953599999999</v>
      </c>
      <c r="AJ44" s="60">
        <v>45.979089858750001</v>
      </c>
      <c r="AK44" s="60">
        <v>0.67048632375000006</v>
      </c>
      <c r="AL44" s="60">
        <v>-18.987984999999998</v>
      </c>
      <c r="AM44" s="286"/>
      <c r="AO44" s="49"/>
      <c r="AP44" s="49"/>
      <c r="AQ44" s="49"/>
      <c r="AS44" s="50"/>
      <c r="AT44" s="50"/>
      <c r="AU44" s="50"/>
      <c r="AV44" s="50"/>
      <c r="AW44" s="50"/>
      <c r="AX44" s="50"/>
    </row>
    <row r="45" spans="1:50" ht="15" customHeight="1" x14ac:dyDescent="0.3">
      <c r="A45" s="61" t="s">
        <v>139</v>
      </c>
      <c r="B45" s="62" t="s">
        <v>140</v>
      </c>
      <c r="C45" s="53" t="s">
        <v>140</v>
      </c>
      <c r="D45" s="54" t="s">
        <v>0</v>
      </c>
      <c r="E45" s="55">
        <v>0</v>
      </c>
      <c r="F45" s="56">
        <v>36.4</v>
      </c>
      <c r="G45" s="57">
        <v>82.350000000000009</v>
      </c>
      <c r="H45" s="58">
        <v>2.5809168839999996</v>
      </c>
      <c r="I45" s="58">
        <v>5.2410458442000012</v>
      </c>
      <c r="J45" s="58">
        <v>0</v>
      </c>
      <c r="K45" s="58">
        <v>18.8</v>
      </c>
      <c r="L45" s="58">
        <v>1.0900000000000001</v>
      </c>
      <c r="M45" s="58">
        <v>-29.1</v>
      </c>
      <c r="N45" s="283"/>
      <c r="O45" s="59">
        <v>82.350000000000009</v>
      </c>
      <c r="P45" s="60">
        <v>2.5809168839999996</v>
      </c>
      <c r="Q45" s="60">
        <v>5.2410458442000012</v>
      </c>
      <c r="R45" s="60">
        <v>0</v>
      </c>
      <c r="S45" s="60">
        <v>18.8</v>
      </c>
      <c r="T45" s="60">
        <v>1.0900000000000001</v>
      </c>
      <c r="U45" s="60">
        <v>-29.1</v>
      </c>
      <c r="V45" s="283"/>
      <c r="W45" s="60">
        <f t="shared" si="0"/>
        <v>212.30196272820004</v>
      </c>
      <c r="X45" s="59">
        <v>82.350000000000009</v>
      </c>
      <c r="Y45" s="60">
        <v>2.5809168839999996</v>
      </c>
      <c r="Z45" s="60">
        <v>5.2410458442000012</v>
      </c>
      <c r="AA45" s="60">
        <v>102.24000000000001</v>
      </c>
      <c r="AB45" s="60">
        <v>18.8</v>
      </c>
      <c r="AC45" s="60">
        <v>1.0900000000000001</v>
      </c>
      <c r="AD45" s="60">
        <v>-29.1</v>
      </c>
      <c r="AE45" s="283"/>
      <c r="AF45" s="59">
        <v>82.350000000000009</v>
      </c>
      <c r="AG45" s="60">
        <v>2.5809168839999996</v>
      </c>
      <c r="AH45" s="60">
        <v>5.2410458442000012</v>
      </c>
      <c r="AI45" s="60">
        <v>306.72000000000003</v>
      </c>
      <c r="AJ45" s="60">
        <v>18.8</v>
      </c>
      <c r="AK45" s="60">
        <v>1.0900000000000001</v>
      </c>
      <c r="AL45" s="60">
        <v>-29.1</v>
      </c>
      <c r="AM45" s="286"/>
      <c r="AO45" s="49"/>
      <c r="AP45" s="49"/>
      <c r="AQ45" s="49"/>
      <c r="AS45" s="50"/>
      <c r="AT45" s="50"/>
      <c r="AU45" s="50"/>
      <c r="AV45" s="50"/>
      <c r="AW45" s="50"/>
      <c r="AX45" s="50"/>
    </row>
    <row r="46" spans="1:50" ht="15" customHeight="1" x14ac:dyDescent="0.3">
      <c r="A46" s="61" t="s">
        <v>141</v>
      </c>
      <c r="B46" s="62" t="s">
        <v>142</v>
      </c>
      <c r="C46" s="53" t="s">
        <v>81</v>
      </c>
      <c r="D46" s="54" t="s">
        <v>0</v>
      </c>
      <c r="E46" s="55">
        <v>0.2</v>
      </c>
      <c r="F46" s="56">
        <v>434.69999999999993</v>
      </c>
      <c r="G46" s="57">
        <v>74.60850520000001</v>
      </c>
      <c r="H46" s="58">
        <v>7.4186479999999984</v>
      </c>
      <c r="I46" s="58">
        <v>4.2669185900000004</v>
      </c>
      <c r="J46" s="58">
        <v>0</v>
      </c>
      <c r="K46" s="58">
        <v>1.29</v>
      </c>
      <c r="L46" s="58">
        <v>0.94400439999999997</v>
      </c>
      <c r="M46" s="58">
        <v>-1.0886583999999999</v>
      </c>
      <c r="N46" s="283"/>
      <c r="O46" s="59">
        <v>74.60850520000001</v>
      </c>
      <c r="P46" s="60">
        <v>7.4186479999999984</v>
      </c>
      <c r="Q46" s="60">
        <v>4.2669185900000004</v>
      </c>
      <c r="R46" s="60">
        <v>0</v>
      </c>
      <c r="S46" s="60">
        <v>1.29</v>
      </c>
      <c r="T46" s="60">
        <v>0.94400439999999997</v>
      </c>
      <c r="U46" s="60">
        <v>-1.0886583999999999</v>
      </c>
      <c r="V46" s="283"/>
      <c r="W46" s="60">
        <f t="shared" si="0"/>
        <v>92.789604990000015</v>
      </c>
      <c r="X46" s="59">
        <v>74.60850520000001</v>
      </c>
      <c r="Y46" s="60">
        <v>7.4186479999999984</v>
      </c>
      <c r="Z46" s="60">
        <v>4.2669185900000004</v>
      </c>
      <c r="AA46" s="60">
        <v>4.2615288000000007</v>
      </c>
      <c r="AB46" s="60">
        <v>1.29</v>
      </c>
      <c r="AC46" s="60">
        <v>0.94400439999999997</v>
      </c>
      <c r="AD46" s="60">
        <v>-1.0886583999999999</v>
      </c>
      <c r="AE46" s="283"/>
      <c r="AF46" s="59">
        <v>74.60850520000001</v>
      </c>
      <c r="AG46" s="60">
        <v>7.4186479999999984</v>
      </c>
      <c r="AH46" s="60">
        <v>4.2669185900000004</v>
      </c>
      <c r="AI46" s="60">
        <v>7.1025480000000014</v>
      </c>
      <c r="AJ46" s="60">
        <v>1.29</v>
      </c>
      <c r="AK46" s="60">
        <v>0.94400439999999997</v>
      </c>
      <c r="AL46" s="60">
        <v>-1.0886583999999999</v>
      </c>
      <c r="AM46" s="286"/>
      <c r="AO46" s="49"/>
      <c r="AP46" s="49"/>
      <c r="AQ46" s="49"/>
      <c r="AS46" s="50"/>
      <c r="AT46" s="50"/>
      <c r="AU46" s="50"/>
      <c r="AV46" s="50"/>
      <c r="AW46" s="50"/>
      <c r="AX46" s="50"/>
    </row>
    <row r="47" spans="1:50" ht="15" customHeight="1" x14ac:dyDescent="0.3">
      <c r="A47" s="61" t="s">
        <v>143</v>
      </c>
      <c r="B47" s="62" t="s">
        <v>142</v>
      </c>
      <c r="C47" s="53" t="s">
        <v>87</v>
      </c>
      <c r="D47" s="54" t="s">
        <v>0</v>
      </c>
      <c r="E47" s="55">
        <v>0.19000000000000003</v>
      </c>
      <c r="F47" s="56">
        <v>100.60000000000002</v>
      </c>
      <c r="G47" s="57">
        <v>-85.3863348</v>
      </c>
      <c r="H47" s="58">
        <v>12.421024000000001</v>
      </c>
      <c r="I47" s="58">
        <v>2.0790353900000005</v>
      </c>
      <c r="J47" s="58">
        <v>0</v>
      </c>
      <c r="K47" s="58">
        <v>104.16000000000001</v>
      </c>
      <c r="L47" s="58">
        <v>0.61222439999999989</v>
      </c>
      <c r="M47" s="58">
        <v>-54.188658400000008</v>
      </c>
      <c r="N47" s="283"/>
      <c r="O47" s="59">
        <v>-85.3863348</v>
      </c>
      <c r="P47" s="60">
        <v>12.421024000000001</v>
      </c>
      <c r="Q47" s="60">
        <v>2.0790353900000005</v>
      </c>
      <c r="R47" s="60">
        <v>0</v>
      </c>
      <c r="S47" s="60">
        <v>104.16000000000001</v>
      </c>
      <c r="T47" s="60">
        <v>0.61222439999999989</v>
      </c>
      <c r="U47" s="60">
        <v>-54.188658400000008</v>
      </c>
      <c r="V47" s="283"/>
      <c r="W47" s="60">
        <f t="shared" si="0"/>
        <v>38.147477790000025</v>
      </c>
      <c r="X47" s="59">
        <v>-85.3863348</v>
      </c>
      <c r="Y47" s="60">
        <v>12.421024000000001</v>
      </c>
      <c r="Z47" s="60">
        <v>2.0790353900000005</v>
      </c>
      <c r="AA47" s="60">
        <v>4.2615288000000007</v>
      </c>
      <c r="AB47" s="60">
        <v>104.16000000000001</v>
      </c>
      <c r="AC47" s="60">
        <v>0.61222439999999989</v>
      </c>
      <c r="AD47" s="60">
        <v>-54.188658400000008</v>
      </c>
      <c r="AE47" s="283"/>
      <c r="AF47" s="59">
        <v>-85.3863348</v>
      </c>
      <c r="AG47" s="60">
        <v>12.421024000000001</v>
      </c>
      <c r="AH47" s="60">
        <v>2.0790353900000005</v>
      </c>
      <c r="AI47" s="60">
        <v>13.867928000000003</v>
      </c>
      <c r="AJ47" s="60">
        <v>104.16000000000001</v>
      </c>
      <c r="AK47" s="60">
        <v>0.61222439999999989</v>
      </c>
      <c r="AL47" s="60">
        <v>-54.188658400000008</v>
      </c>
      <c r="AM47" s="286"/>
      <c r="AO47" s="49"/>
      <c r="AP47" s="49"/>
      <c r="AQ47" s="49"/>
      <c r="AS47" s="50"/>
      <c r="AT47" s="50"/>
      <c r="AU47" s="50"/>
      <c r="AV47" s="50"/>
      <c r="AW47" s="50"/>
      <c r="AX47" s="50"/>
    </row>
    <row r="48" spans="1:50" ht="15" customHeight="1" x14ac:dyDescent="0.3">
      <c r="A48" s="61" t="s">
        <v>144</v>
      </c>
      <c r="B48" s="62" t="s">
        <v>145</v>
      </c>
      <c r="C48" s="53" t="s">
        <v>146</v>
      </c>
      <c r="D48" s="54" t="s">
        <v>0</v>
      </c>
      <c r="E48" s="55">
        <v>0.1</v>
      </c>
      <c r="F48" s="56">
        <v>16.95</v>
      </c>
      <c r="G48" s="57">
        <v>28.208505200000001</v>
      </c>
      <c r="H48" s="58">
        <v>0.30018800000000007</v>
      </c>
      <c r="I48" s="58">
        <v>1.5219955900000002</v>
      </c>
      <c r="J48" s="58">
        <v>0</v>
      </c>
      <c r="K48" s="58">
        <v>0.48599999999999999</v>
      </c>
      <c r="L48" s="58">
        <v>0.36800439999999995</v>
      </c>
      <c r="M48" s="58">
        <v>-0.3716584</v>
      </c>
      <c r="N48" s="283"/>
      <c r="O48" s="59">
        <v>28.208505200000001</v>
      </c>
      <c r="P48" s="60">
        <v>0.30018800000000007</v>
      </c>
      <c r="Q48" s="60">
        <v>1.5219955900000002</v>
      </c>
      <c r="R48" s="60">
        <v>0</v>
      </c>
      <c r="S48" s="60">
        <v>0.48599999999999999</v>
      </c>
      <c r="T48" s="60">
        <v>0.36800439999999995</v>
      </c>
      <c r="U48" s="60">
        <v>-0.3716584</v>
      </c>
      <c r="V48" s="283"/>
      <c r="W48" s="60">
        <f t="shared" si="0"/>
        <v>35.146221989999994</v>
      </c>
      <c r="X48" s="59">
        <v>28.208505200000001</v>
      </c>
      <c r="Y48" s="60">
        <v>0.30018800000000007</v>
      </c>
      <c r="Z48" s="60">
        <v>1.5219955900000002</v>
      </c>
      <c r="AA48" s="60">
        <v>4.2615288000000007</v>
      </c>
      <c r="AB48" s="60">
        <v>0.48599999999999999</v>
      </c>
      <c r="AC48" s="60">
        <v>0.36800439999999995</v>
      </c>
      <c r="AD48" s="60">
        <v>-0.3716584</v>
      </c>
      <c r="AE48" s="283"/>
      <c r="AF48" s="59">
        <v>28.208505200000001</v>
      </c>
      <c r="AG48" s="60">
        <v>0.30018800000000007</v>
      </c>
      <c r="AH48" s="60">
        <v>1.5219955900000002</v>
      </c>
      <c r="AI48" s="60">
        <v>7.1025480000000014</v>
      </c>
      <c r="AJ48" s="60">
        <v>0.48599999999999999</v>
      </c>
      <c r="AK48" s="60">
        <v>0.36800439999999995</v>
      </c>
      <c r="AL48" s="60">
        <v>-0.3716584</v>
      </c>
      <c r="AM48" s="286"/>
      <c r="AO48" s="49"/>
      <c r="AP48" s="49"/>
      <c r="AQ48" s="49"/>
      <c r="AS48" s="50"/>
      <c r="AT48" s="50"/>
      <c r="AU48" s="50"/>
      <c r="AV48" s="50"/>
      <c r="AW48" s="50"/>
      <c r="AX48" s="50"/>
    </row>
    <row r="49" spans="1:50" ht="15" customHeight="1" x14ac:dyDescent="0.3">
      <c r="A49" s="61" t="s">
        <v>147</v>
      </c>
      <c r="B49" s="62" t="s">
        <v>145</v>
      </c>
      <c r="C49" s="53" t="s">
        <v>148</v>
      </c>
      <c r="D49" s="54" t="s">
        <v>0</v>
      </c>
      <c r="E49" s="55">
        <v>0.12</v>
      </c>
      <c r="F49" s="56">
        <v>45.137500000000003</v>
      </c>
      <c r="G49" s="57">
        <v>19.9575502</v>
      </c>
      <c r="H49" s="58">
        <v>2.5433619999999997</v>
      </c>
      <c r="I49" s="58">
        <v>2.302312353</v>
      </c>
      <c r="J49" s="58">
        <v>0</v>
      </c>
      <c r="K49" s="58">
        <v>6.6160099999999999E-2</v>
      </c>
      <c r="L49" s="58">
        <v>0.64019492999999994</v>
      </c>
      <c r="M49" s="58">
        <v>-3.5225583999999999</v>
      </c>
      <c r="N49" s="283"/>
      <c r="O49" s="59">
        <v>19.9575502</v>
      </c>
      <c r="P49" s="60">
        <v>2.5433619999999997</v>
      </c>
      <c r="Q49" s="60">
        <v>2.302312353</v>
      </c>
      <c r="R49" s="60">
        <v>0</v>
      </c>
      <c r="S49" s="60">
        <v>6.6160099999999999E-2</v>
      </c>
      <c r="T49" s="60">
        <v>0.64019492999999994</v>
      </c>
      <c r="U49" s="60">
        <v>-3.5225583999999999</v>
      </c>
      <c r="V49" s="283"/>
      <c r="W49" s="60">
        <f t="shared" si="0"/>
        <v>29.771108383000001</v>
      </c>
      <c r="X49" s="59">
        <v>19.9575502</v>
      </c>
      <c r="Y49" s="60">
        <v>2.5433619999999997</v>
      </c>
      <c r="Z49" s="60">
        <v>2.302312353</v>
      </c>
      <c r="AA49" s="60">
        <v>4.2615288000000007</v>
      </c>
      <c r="AB49" s="60">
        <v>6.6160099999999999E-2</v>
      </c>
      <c r="AC49" s="60">
        <v>0.64019492999999994</v>
      </c>
      <c r="AD49" s="60">
        <v>-3.5225583999999999</v>
      </c>
      <c r="AE49" s="283"/>
      <c r="AF49" s="59">
        <v>19.9575502</v>
      </c>
      <c r="AG49" s="60">
        <v>2.5433619999999997</v>
      </c>
      <c r="AH49" s="60">
        <v>2.302312353</v>
      </c>
      <c r="AI49" s="60">
        <v>13.867928000000003</v>
      </c>
      <c r="AJ49" s="60">
        <v>6.6160099999999999E-2</v>
      </c>
      <c r="AK49" s="60">
        <v>0.64019492999999994</v>
      </c>
      <c r="AL49" s="60">
        <v>-3.5225583999999999</v>
      </c>
      <c r="AM49" s="286"/>
      <c r="AO49" s="49"/>
      <c r="AP49" s="49"/>
      <c r="AQ49" s="49"/>
      <c r="AS49" s="50"/>
      <c r="AT49" s="50"/>
      <c r="AU49" s="50"/>
      <c r="AV49" s="50"/>
      <c r="AW49" s="50"/>
      <c r="AX49" s="50"/>
    </row>
    <row r="50" spans="1:50" ht="15" customHeight="1" x14ac:dyDescent="0.3">
      <c r="A50" s="61" t="s">
        <v>149</v>
      </c>
      <c r="B50" s="62" t="s">
        <v>145</v>
      </c>
      <c r="C50" s="53" t="s">
        <v>150</v>
      </c>
      <c r="D50" s="54" t="s">
        <v>0</v>
      </c>
      <c r="E50" s="55">
        <v>0.12</v>
      </c>
      <c r="F50" s="56">
        <v>42.578166666666675</v>
      </c>
      <c r="G50" s="57">
        <v>3.1687168666666663</v>
      </c>
      <c r="H50" s="58">
        <v>2.4817808709399998</v>
      </c>
      <c r="I50" s="58">
        <v>1.3488633965470003</v>
      </c>
      <c r="J50" s="58">
        <v>0</v>
      </c>
      <c r="K50" s="58">
        <v>7.9085694333333345</v>
      </c>
      <c r="L50" s="58">
        <v>0.64019492999999994</v>
      </c>
      <c r="M50" s="58">
        <v>-4.7190750666666688</v>
      </c>
      <c r="N50" s="283"/>
      <c r="O50" s="59">
        <v>3.1687168666666663</v>
      </c>
      <c r="P50" s="60">
        <v>2.4817808709399998</v>
      </c>
      <c r="Q50" s="60">
        <v>1.3488633965470003</v>
      </c>
      <c r="R50" s="60">
        <v>0</v>
      </c>
      <c r="S50" s="60">
        <v>7.9085694333333345</v>
      </c>
      <c r="T50" s="60">
        <v>0.64019492999999994</v>
      </c>
      <c r="U50" s="60">
        <v>-4.7190750666666688</v>
      </c>
      <c r="V50" s="283"/>
      <c r="W50" s="60">
        <f t="shared" si="0"/>
        <v>19.809654297487</v>
      </c>
      <c r="X50" s="59">
        <v>3.1687168666666663</v>
      </c>
      <c r="Y50" s="60">
        <v>2.4817808709399998</v>
      </c>
      <c r="Z50" s="60">
        <v>1.3488633965470003</v>
      </c>
      <c r="AA50" s="60">
        <v>4.2615288000000007</v>
      </c>
      <c r="AB50" s="60">
        <v>7.9085694333333345</v>
      </c>
      <c r="AC50" s="60">
        <v>0.64019492999999994</v>
      </c>
      <c r="AD50" s="60">
        <v>-4.7190750666666688</v>
      </c>
      <c r="AE50" s="283"/>
      <c r="AF50" s="59">
        <v>3.1687168666666663</v>
      </c>
      <c r="AG50" s="60">
        <v>2.4817808709399998</v>
      </c>
      <c r="AH50" s="60">
        <v>1.3488633965470003</v>
      </c>
      <c r="AI50" s="60">
        <v>13.867928000000003</v>
      </c>
      <c r="AJ50" s="60">
        <v>7.9085694333333345</v>
      </c>
      <c r="AK50" s="60">
        <v>0.64019492999999994</v>
      </c>
      <c r="AL50" s="60">
        <v>-4.7190750666666688</v>
      </c>
      <c r="AM50" s="286"/>
      <c r="AO50" s="49"/>
      <c r="AP50" s="49"/>
      <c r="AQ50" s="49"/>
      <c r="AS50" s="50"/>
      <c r="AT50" s="50"/>
      <c r="AU50" s="50"/>
      <c r="AV50" s="50"/>
      <c r="AW50" s="50"/>
      <c r="AX50" s="50"/>
    </row>
    <row r="51" spans="1:50" ht="15" customHeight="1" x14ac:dyDescent="0.3">
      <c r="A51" s="61" t="s">
        <v>151</v>
      </c>
      <c r="B51" s="62" t="s">
        <v>152</v>
      </c>
      <c r="C51" s="53" t="s">
        <v>153</v>
      </c>
      <c r="D51" s="54" t="s">
        <v>0</v>
      </c>
      <c r="E51" s="55">
        <v>0.40820000000000001</v>
      </c>
      <c r="F51" s="56">
        <v>68.410000000000011</v>
      </c>
      <c r="G51" s="57">
        <v>92.338927999999996</v>
      </c>
      <c r="H51" s="58">
        <v>3.885688</v>
      </c>
      <c r="I51" s="58">
        <v>9.9726219</v>
      </c>
      <c r="J51" s="58">
        <v>0</v>
      </c>
      <c r="K51" s="58">
        <v>1.8104680000000002</v>
      </c>
      <c r="L51" s="58">
        <v>1.6911350000000001</v>
      </c>
      <c r="M51" s="58">
        <v>-8.7446599999999999E-2</v>
      </c>
      <c r="N51" s="283"/>
      <c r="O51" s="59">
        <v>92.338927999999996</v>
      </c>
      <c r="P51" s="60">
        <v>3.885688</v>
      </c>
      <c r="Q51" s="60">
        <v>9.9726219</v>
      </c>
      <c r="R51" s="60">
        <v>0</v>
      </c>
      <c r="S51" s="60">
        <v>1.8104680000000002</v>
      </c>
      <c r="T51" s="60">
        <v>1.6911350000000001</v>
      </c>
      <c r="U51" s="60">
        <v>-8.7446599999999999E-2</v>
      </c>
      <c r="V51" s="283"/>
      <c r="W51" s="60">
        <f t="shared" si="0"/>
        <v>126.97929090000001</v>
      </c>
      <c r="X51" s="59">
        <v>92.338927999999996</v>
      </c>
      <c r="Y51" s="60">
        <v>3.885688</v>
      </c>
      <c r="Z51" s="60">
        <v>9.9726219</v>
      </c>
      <c r="AA51" s="60">
        <v>17.280449999999998</v>
      </c>
      <c r="AB51" s="60">
        <v>1.8104680000000002</v>
      </c>
      <c r="AC51" s="60">
        <v>1.6911350000000001</v>
      </c>
      <c r="AD51" s="60">
        <v>-8.7446599999999999E-2</v>
      </c>
      <c r="AE51" s="283"/>
      <c r="AF51" s="59">
        <v>92.338927999999996</v>
      </c>
      <c r="AG51" s="60">
        <v>3.885688</v>
      </c>
      <c r="AH51" s="60">
        <v>9.9726219</v>
      </c>
      <c r="AI51" s="60">
        <v>112.193619</v>
      </c>
      <c r="AJ51" s="60">
        <v>1.8104680000000002</v>
      </c>
      <c r="AK51" s="60">
        <v>1.6911350000000001</v>
      </c>
      <c r="AL51" s="60">
        <v>-8.7446599999999999E-2</v>
      </c>
      <c r="AM51" s="286"/>
      <c r="AO51" s="49"/>
      <c r="AP51" s="49"/>
      <c r="AQ51" s="49"/>
      <c r="AS51" s="50"/>
      <c r="AT51" s="50"/>
      <c r="AU51" s="50"/>
      <c r="AV51" s="50"/>
      <c r="AW51" s="50"/>
      <c r="AX51" s="50"/>
    </row>
    <row r="52" spans="1:50" ht="15" customHeight="1" x14ac:dyDescent="0.3">
      <c r="A52" s="61" t="s">
        <v>154</v>
      </c>
      <c r="B52" s="62" t="s">
        <v>152</v>
      </c>
      <c r="C52" s="53" t="s">
        <v>155</v>
      </c>
      <c r="D52" s="54" t="s">
        <v>0</v>
      </c>
      <c r="E52" s="55">
        <v>0.48485714285714288</v>
      </c>
      <c r="F52" s="56">
        <v>108.85097066666667</v>
      </c>
      <c r="G52" s="57">
        <v>89.857317986666658</v>
      </c>
      <c r="H52" s="58">
        <v>6.2556681071502389</v>
      </c>
      <c r="I52" s="58">
        <v>10.591720597357511</v>
      </c>
      <c r="J52" s="58">
        <v>0</v>
      </c>
      <c r="K52" s="58">
        <v>8.650427333333333</v>
      </c>
      <c r="L52" s="58">
        <v>1.6120635999999999</v>
      </c>
      <c r="M52" s="58">
        <v>-4.3094951466666664</v>
      </c>
      <c r="N52" s="283"/>
      <c r="O52" s="59">
        <v>89.857317986666658</v>
      </c>
      <c r="P52" s="60">
        <v>6.2556681071502389</v>
      </c>
      <c r="Q52" s="60">
        <v>10.591720597357511</v>
      </c>
      <c r="R52" s="60">
        <v>0</v>
      </c>
      <c r="S52" s="60">
        <v>8.650427333333333</v>
      </c>
      <c r="T52" s="60">
        <v>1.6120635999999999</v>
      </c>
      <c r="U52" s="60">
        <v>-4.3094951466666664</v>
      </c>
      <c r="V52" s="283"/>
      <c r="W52" s="60">
        <f t="shared" si="0"/>
        <v>116.96719762450775</v>
      </c>
      <c r="X52" s="59">
        <v>89.857317986666658</v>
      </c>
      <c r="Y52" s="60">
        <v>6.2556681071502389</v>
      </c>
      <c r="Z52" s="60">
        <v>10.591720597357511</v>
      </c>
      <c r="AA52" s="60">
        <v>0</v>
      </c>
      <c r="AB52" s="60">
        <v>8.650427333333333</v>
      </c>
      <c r="AC52" s="60">
        <v>1.6120635999999999</v>
      </c>
      <c r="AD52" s="60">
        <v>-4.3094951466666664</v>
      </c>
      <c r="AE52" s="283"/>
      <c r="AF52" s="59">
        <v>89.857317986666658</v>
      </c>
      <c r="AG52" s="60">
        <v>6.2556681071502389</v>
      </c>
      <c r="AH52" s="60">
        <v>10.591720597357511</v>
      </c>
      <c r="AI52" s="60">
        <v>98.642548919999996</v>
      </c>
      <c r="AJ52" s="60">
        <v>8.650427333333333</v>
      </c>
      <c r="AK52" s="60">
        <v>1.6120635999999999</v>
      </c>
      <c r="AL52" s="60">
        <v>-4.3094951466666664</v>
      </c>
      <c r="AM52" s="286"/>
      <c r="AO52" s="49"/>
      <c r="AP52" s="49"/>
      <c r="AQ52" s="49"/>
      <c r="AS52" s="50"/>
      <c r="AT52" s="50"/>
      <c r="AU52" s="50"/>
      <c r="AV52" s="50"/>
      <c r="AW52" s="50"/>
      <c r="AX52" s="50"/>
    </row>
    <row r="53" spans="1:50" ht="15" customHeight="1" x14ac:dyDescent="0.3">
      <c r="A53" s="61" t="s">
        <v>156</v>
      </c>
      <c r="B53" s="62" t="s">
        <v>152</v>
      </c>
      <c r="C53" s="53" t="s">
        <v>157</v>
      </c>
      <c r="D53" s="54" t="s">
        <v>0</v>
      </c>
      <c r="E53" s="55">
        <v>0.48119999999999996</v>
      </c>
      <c r="F53" s="56">
        <v>69.090970666666664</v>
      </c>
      <c r="G53" s="57">
        <v>94.607076666666657</v>
      </c>
      <c r="H53" s="58">
        <v>3.9973001071502399</v>
      </c>
      <c r="I53" s="58">
        <v>10.767841512357512</v>
      </c>
      <c r="J53" s="58">
        <v>0</v>
      </c>
      <c r="K53" s="58">
        <v>8.650427333333333</v>
      </c>
      <c r="L53" s="58">
        <v>0.88188206999999996</v>
      </c>
      <c r="M53" s="58">
        <v>-5.9981832666666657</v>
      </c>
      <c r="N53" s="283"/>
      <c r="O53" s="59">
        <v>94.607076666666657</v>
      </c>
      <c r="P53" s="60">
        <v>3.9973001071502399</v>
      </c>
      <c r="Q53" s="60">
        <v>10.767841512357512</v>
      </c>
      <c r="R53" s="60">
        <v>0</v>
      </c>
      <c r="S53" s="60">
        <v>8.650427333333333</v>
      </c>
      <c r="T53" s="60">
        <v>0.88188206999999996</v>
      </c>
      <c r="U53" s="60">
        <v>-5.9981832666666657</v>
      </c>
      <c r="V53" s="283"/>
      <c r="W53" s="60">
        <f t="shared" si="0"/>
        <v>135.29370975950772</v>
      </c>
      <c r="X53" s="59">
        <v>94.607076666666657</v>
      </c>
      <c r="Y53" s="60">
        <v>3.9973001071502399</v>
      </c>
      <c r="Z53" s="60">
        <v>10.767841512357512</v>
      </c>
      <c r="AA53" s="60">
        <v>16.38918207</v>
      </c>
      <c r="AB53" s="60">
        <v>8.650427333333333</v>
      </c>
      <c r="AC53" s="60">
        <v>0.88188206999999996</v>
      </c>
      <c r="AD53" s="60">
        <v>-5.9981832666666657</v>
      </c>
      <c r="AE53" s="283"/>
      <c r="AF53" s="59">
        <v>94.607076666666657</v>
      </c>
      <c r="AG53" s="60">
        <v>3.9973001071502399</v>
      </c>
      <c r="AH53" s="60">
        <v>10.767841512357512</v>
      </c>
      <c r="AI53" s="60">
        <v>102.66212607</v>
      </c>
      <c r="AJ53" s="60">
        <v>8.650427333333333</v>
      </c>
      <c r="AK53" s="60">
        <v>0.88188206999999996</v>
      </c>
      <c r="AL53" s="60">
        <v>-5.9981832666666657</v>
      </c>
      <c r="AM53" s="286"/>
      <c r="AO53" s="49"/>
      <c r="AP53" s="49"/>
      <c r="AQ53" s="49"/>
      <c r="AS53" s="50"/>
      <c r="AT53" s="50"/>
      <c r="AU53" s="50"/>
      <c r="AV53" s="50"/>
      <c r="AW53" s="50"/>
      <c r="AX53" s="50"/>
    </row>
    <row r="54" spans="1:50" ht="15" customHeight="1" x14ac:dyDescent="0.3">
      <c r="A54" s="61" t="s">
        <v>158</v>
      </c>
      <c r="B54" s="62" t="s">
        <v>152</v>
      </c>
      <c r="C54" s="53" t="s">
        <v>159</v>
      </c>
      <c r="D54" s="54" t="s">
        <v>0</v>
      </c>
      <c r="E54" s="55">
        <v>0.47320000000000001</v>
      </c>
      <c r="F54" s="56">
        <v>76.370970666666665</v>
      </c>
      <c r="G54" s="57">
        <v>85.211576666666659</v>
      </c>
      <c r="H54" s="58">
        <v>4.4108041071502395</v>
      </c>
      <c r="I54" s="58">
        <v>9.8890809053575115</v>
      </c>
      <c r="J54" s="58">
        <v>0</v>
      </c>
      <c r="K54" s="58">
        <v>8.650427333333333</v>
      </c>
      <c r="L54" s="58">
        <v>1.0762719999999999</v>
      </c>
      <c r="M54" s="58">
        <v>-4.1875632666666665</v>
      </c>
      <c r="N54" s="283"/>
      <c r="O54" s="59">
        <v>85.211576666666659</v>
      </c>
      <c r="P54" s="60">
        <v>4.4108041071502395</v>
      </c>
      <c r="Q54" s="60">
        <v>9.8890809053575115</v>
      </c>
      <c r="R54" s="60">
        <v>0</v>
      </c>
      <c r="S54" s="60">
        <v>8.650427333333333</v>
      </c>
      <c r="T54" s="60">
        <v>1.0762719999999999</v>
      </c>
      <c r="U54" s="60">
        <v>-4.1875632666666665</v>
      </c>
      <c r="V54" s="283"/>
      <c r="W54" s="60">
        <f t="shared" si="0"/>
        <v>109.23816101250775</v>
      </c>
      <c r="X54" s="59">
        <v>85.211576666666659</v>
      </c>
      <c r="Y54" s="60">
        <v>4.4108041071502395</v>
      </c>
      <c r="Z54" s="60">
        <v>9.8890809053575115</v>
      </c>
      <c r="AA54" s="60">
        <v>0</v>
      </c>
      <c r="AB54" s="60">
        <v>8.650427333333333</v>
      </c>
      <c r="AC54" s="60">
        <v>1.0762719999999999</v>
      </c>
      <c r="AD54" s="60">
        <v>-4.1875632666666665</v>
      </c>
      <c r="AE54" s="283"/>
      <c r="AF54" s="59">
        <v>85.211576666666659</v>
      </c>
      <c r="AG54" s="60">
        <v>4.4108041071502395</v>
      </c>
      <c r="AH54" s="60">
        <v>9.8890809053575115</v>
      </c>
      <c r="AI54" s="60">
        <v>93.461016000000001</v>
      </c>
      <c r="AJ54" s="60">
        <v>8.650427333333333</v>
      </c>
      <c r="AK54" s="60">
        <v>1.0762719999999999</v>
      </c>
      <c r="AL54" s="60">
        <v>-4.1875632666666665</v>
      </c>
      <c r="AM54" s="286"/>
      <c r="AO54" s="49"/>
      <c r="AP54" s="49"/>
      <c r="AQ54" s="49"/>
      <c r="AS54" s="50"/>
      <c r="AT54" s="50"/>
      <c r="AU54" s="50"/>
      <c r="AV54" s="50"/>
      <c r="AW54" s="50"/>
      <c r="AX54" s="50"/>
    </row>
    <row r="55" spans="1:50" ht="15" customHeight="1" x14ac:dyDescent="0.3">
      <c r="A55" s="61" t="s">
        <v>160</v>
      </c>
      <c r="B55" s="62" t="s">
        <v>152</v>
      </c>
      <c r="C55" s="53" t="s">
        <v>161</v>
      </c>
      <c r="D55" s="54" t="s">
        <v>0</v>
      </c>
      <c r="E55" s="55">
        <v>0.47420000000000001</v>
      </c>
      <c r="F55" s="56">
        <v>93.370970666666679</v>
      </c>
      <c r="G55" s="57">
        <v>93.257176666666652</v>
      </c>
      <c r="H55" s="58">
        <v>5.3764041071502398</v>
      </c>
      <c r="I55" s="58">
        <v>10.790871105357512</v>
      </c>
      <c r="J55" s="58">
        <v>0</v>
      </c>
      <c r="K55" s="58">
        <v>8.8522013333333334</v>
      </c>
      <c r="L55" s="58">
        <v>0.88119999999999998</v>
      </c>
      <c r="M55" s="58">
        <v>-4.2491826666666661</v>
      </c>
      <c r="N55" s="283"/>
      <c r="O55" s="59">
        <v>93.257176666666652</v>
      </c>
      <c r="P55" s="60">
        <v>5.3764041071502398</v>
      </c>
      <c r="Q55" s="60">
        <v>10.790871105357512</v>
      </c>
      <c r="R55" s="60">
        <v>0</v>
      </c>
      <c r="S55" s="60">
        <v>8.8522013333333334</v>
      </c>
      <c r="T55" s="60">
        <v>0.88119999999999998</v>
      </c>
      <c r="U55" s="60">
        <v>-4.2491826666666661</v>
      </c>
      <c r="V55" s="283"/>
      <c r="W55" s="60">
        <f t="shared" si="0"/>
        <v>119.15785321250775</v>
      </c>
      <c r="X55" s="59">
        <v>93.257176666666652</v>
      </c>
      <c r="Y55" s="60">
        <v>5.3764041071502398</v>
      </c>
      <c r="Z55" s="60">
        <v>10.790871105357512</v>
      </c>
      <c r="AA55" s="60">
        <v>0</v>
      </c>
      <c r="AB55" s="60">
        <v>8.8522013333333334</v>
      </c>
      <c r="AC55" s="60">
        <v>0.88119999999999998</v>
      </c>
      <c r="AD55" s="60">
        <v>-4.2491826666666661</v>
      </c>
      <c r="AE55" s="283"/>
      <c r="AF55" s="59">
        <v>93.257176666666652</v>
      </c>
      <c r="AG55" s="60">
        <v>5.3764041071502398</v>
      </c>
      <c r="AH55" s="60">
        <v>10.790871105357512</v>
      </c>
      <c r="AI55" s="60">
        <v>86.272943999999995</v>
      </c>
      <c r="AJ55" s="60">
        <v>8.8522013333333334</v>
      </c>
      <c r="AK55" s="60">
        <v>0.88119999999999998</v>
      </c>
      <c r="AL55" s="60">
        <v>-4.2491826666666661</v>
      </c>
      <c r="AM55" s="286"/>
      <c r="AO55" s="49"/>
      <c r="AQ55" s="49"/>
      <c r="AS55" s="50"/>
      <c r="AT55" s="50"/>
      <c r="AU55" s="50"/>
      <c r="AV55" s="50"/>
      <c r="AW55" s="50"/>
      <c r="AX55" s="50"/>
    </row>
    <row r="56" spans="1:50" ht="15" customHeight="1" x14ac:dyDescent="0.3">
      <c r="A56" s="61" t="s">
        <v>162</v>
      </c>
      <c r="B56" s="62" t="s">
        <v>152</v>
      </c>
      <c r="C56" s="53" t="s">
        <v>163</v>
      </c>
      <c r="D56" s="54" t="s">
        <v>0</v>
      </c>
      <c r="E56" s="55">
        <v>0.46399999999999997</v>
      </c>
      <c r="F56" s="56">
        <v>81.324970666666673</v>
      </c>
      <c r="G56" s="57">
        <v>75.423976666666661</v>
      </c>
      <c r="H56" s="58">
        <v>4.8641792632902394</v>
      </c>
      <c r="I56" s="58">
        <v>10.441451235484513</v>
      </c>
      <c r="J56" s="58">
        <v>0</v>
      </c>
      <c r="K56" s="58">
        <v>24.780177333333334</v>
      </c>
      <c r="L56" s="58">
        <v>0.88512872320000002</v>
      </c>
      <c r="M56" s="58">
        <v>-24.285484466666666</v>
      </c>
      <c r="N56" s="283"/>
      <c r="O56" s="59">
        <v>75.423976666666661</v>
      </c>
      <c r="P56" s="60">
        <v>4.8641792632902394</v>
      </c>
      <c r="Q56" s="60">
        <v>10.441451235484513</v>
      </c>
      <c r="R56" s="60">
        <v>0</v>
      </c>
      <c r="S56" s="60">
        <v>24.780177333333334</v>
      </c>
      <c r="T56" s="60">
        <v>0.88512872320000002</v>
      </c>
      <c r="U56" s="60">
        <v>-24.285484466666666</v>
      </c>
      <c r="V56" s="283"/>
      <c r="W56" s="60">
        <f t="shared" si="0"/>
        <v>116.39491322197473</v>
      </c>
      <c r="X56" s="59">
        <v>75.423976666666661</v>
      </c>
      <c r="Y56" s="60">
        <v>4.8641792632902394</v>
      </c>
      <c r="Z56" s="60">
        <v>10.441451235484513</v>
      </c>
      <c r="AA56" s="60">
        <v>0</v>
      </c>
      <c r="AB56" s="60">
        <v>24.780177333333334</v>
      </c>
      <c r="AC56" s="60">
        <v>0.88512872320000002</v>
      </c>
      <c r="AD56" s="60">
        <v>-24.285484466666666</v>
      </c>
      <c r="AE56" s="283"/>
      <c r="AF56" s="59">
        <v>75.423976666666661</v>
      </c>
      <c r="AG56" s="60">
        <v>4.8641792632902394</v>
      </c>
      <c r="AH56" s="60">
        <v>10.441451235484513</v>
      </c>
      <c r="AI56" s="60">
        <v>98.315272723199996</v>
      </c>
      <c r="AJ56" s="60">
        <v>24.780177333333334</v>
      </c>
      <c r="AK56" s="60">
        <v>0.88512872320000002</v>
      </c>
      <c r="AL56" s="60">
        <v>-24.285484466666666</v>
      </c>
      <c r="AM56" s="286"/>
      <c r="AO56" s="49"/>
      <c r="AQ56" s="49"/>
      <c r="AS56" s="50"/>
      <c r="AT56" s="50"/>
      <c r="AU56" s="50"/>
      <c r="AV56" s="50"/>
      <c r="AW56" s="50"/>
      <c r="AX56" s="50"/>
    </row>
    <row r="57" spans="1:50" ht="15" customHeight="1" x14ac:dyDescent="0.3">
      <c r="A57" s="61" t="s">
        <v>164</v>
      </c>
      <c r="B57" s="62" t="s">
        <v>152</v>
      </c>
      <c r="C57" s="53" t="s">
        <v>165</v>
      </c>
      <c r="D57" s="54" t="s">
        <v>0</v>
      </c>
      <c r="E57" s="55">
        <v>0.40820000000000001</v>
      </c>
      <c r="F57" s="56">
        <v>22.41</v>
      </c>
      <c r="G57" s="57">
        <v>27.144288</v>
      </c>
      <c r="H57" s="58">
        <v>1.272888</v>
      </c>
      <c r="I57" s="58">
        <v>2.9942526999999997</v>
      </c>
      <c r="J57" s="58">
        <v>0</v>
      </c>
      <c r="K57" s="58">
        <v>0.53320680000000009</v>
      </c>
      <c r="L57" s="58">
        <v>0.99214420000000003</v>
      </c>
      <c r="M57" s="58">
        <v>-8.7446599999999999E-2</v>
      </c>
      <c r="N57" s="283"/>
      <c r="O57" s="59">
        <v>27.144288</v>
      </c>
      <c r="P57" s="60">
        <v>1.272888</v>
      </c>
      <c r="Q57" s="60">
        <v>2.9942526999999997</v>
      </c>
      <c r="R57" s="60">
        <v>0</v>
      </c>
      <c r="S57" s="60">
        <v>0.53320680000000009</v>
      </c>
      <c r="T57" s="60">
        <v>0.99214420000000003</v>
      </c>
      <c r="U57" s="60">
        <v>-8.7446599999999999E-2</v>
      </c>
      <c r="V57" s="283"/>
      <c r="W57" s="60">
        <f t="shared" si="0"/>
        <v>50.217229699999997</v>
      </c>
      <c r="X57" s="59">
        <v>27.144288</v>
      </c>
      <c r="Y57" s="60">
        <v>1.272888</v>
      </c>
      <c r="Z57" s="60">
        <v>2.9942526999999997</v>
      </c>
      <c r="AA57" s="60">
        <v>17.280449999999998</v>
      </c>
      <c r="AB57" s="60">
        <v>0.53320680000000009</v>
      </c>
      <c r="AC57" s="60">
        <v>0.99214420000000003</v>
      </c>
      <c r="AD57" s="60">
        <v>-8.7446599999999999E-2</v>
      </c>
      <c r="AE57" s="283"/>
      <c r="AF57" s="59">
        <v>27.144288</v>
      </c>
      <c r="AG57" s="60">
        <v>1.272888</v>
      </c>
      <c r="AH57" s="60">
        <v>2.9942526999999997</v>
      </c>
      <c r="AI57" s="60">
        <v>45.022726999999996</v>
      </c>
      <c r="AJ57" s="60">
        <v>0.53320680000000009</v>
      </c>
      <c r="AK57" s="60">
        <v>0.99214420000000003</v>
      </c>
      <c r="AL57" s="60">
        <v>-8.7446599999999999E-2</v>
      </c>
      <c r="AM57" s="286"/>
      <c r="AO57" s="49"/>
      <c r="AQ57" s="49"/>
      <c r="AS57" s="50"/>
      <c r="AT57" s="50"/>
      <c r="AU57" s="50"/>
      <c r="AV57" s="50"/>
      <c r="AW57" s="50"/>
      <c r="AX57" s="50"/>
    </row>
    <row r="58" spans="1:50" ht="15" customHeight="1" x14ac:dyDescent="0.3">
      <c r="A58" s="61" t="s">
        <v>166</v>
      </c>
      <c r="B58" s="62" t="s">
        <v>152</v>
      </c>
      <c r="C58" s="53" t="s">
        <v>167</v>
      </c>
      <c r="D58" s="54" t="s">
        <v>0</v>
      </c>
      <c r="E58" s="55">
        <v>0.48819999999999997</v>
      </c>
      <c r="F58" s="56">
        <v>62.370970666666672</v>
      </c>
      <c r="G58" s="57">
        <v>28.902336666666663</v>
      </c>
      <c r="H58" s="58">
        <v>3.6156041071502396</v>
      </c>
      <c r="I58" s="58">
        <v>3.9917705053575117</v>
      </c>
      <c r="J58" s="58">
        <v>0</v>
      </c>
      <c r="K58" s="58">
        <v>7.6758261333333326</v>
      </c>
      <c r="L58" s="58">
        <v>0.18220920000000002</v>
      </c>
      <c r="M58" s="58">
        <v>-4.2799924666666662</v>
      </c>
      <c r="N58" s="283"/>
      <c r="O58" s="59">
        <v>28.902336666666663</v>
      </c>
      <c r="P58" s="60">
        <v>3.6156041071502396</v>
      </c>
      <c r="Q58" s="60">
        <v>3.9917705053575117</v>
      </c>
      <c r="R58" s="60">
        <v>0</v>
      </c>
      <c r="S58" s="60">
        <v>7.6758261333333326</v>
      </c>
      <c r="T58" s="60">
        <v>0.18220920000000002</v>
      </c>
      <c r="U58" s="60">
        <v>-4.2799924666666662</v>
      </c>
      <c r="V58" s="283"/>
      <c r="W58" s="60">
        <f t="shared" si="0"/>
        <v>44.367746612507752</v>
      </c>
      <c r="X58" s="59">
        <v>28.902336666666663</v>
      </c>
      <c r="Y58" s="60">
        <v>3.6156041071502396</v>
      </c>
      <c r="Z58" s="60">
        <v>3.9917705053575117</v>
      </c>
      <c r="AA58" s="60">
        <v>0</v>
      </c>
      <c r="AB58" s="60">
        <v>7.6758261333333326</v>
      </c>
      <c r="AC58" s="60">
        <v>0.18220920000000002</v>
      </c>
      <c r="AD58" s="60">
        <v>-4.2799924666666662</v>
      </c>
      <c r="AE58" s="283"/>
      <c r="AF58" s="59">
        <v>28.902336666666663</v>
      </c>
      <c r="AG58" s="60">
        <v>3.6156041071502396</v>
      </c>
      <c r="AH58" s="60">
        <v>3.9917705053575117</v>
      </c>
      <c r="AI58" s="60">
        <v>35.283111999999996</v>
      </c>
      <c r="AJ58" s="60">
        <v>7.6758261333333326</v>
      </c>
      <c r="AK58" s="60">
        <v>0.18220920000000002</v>
      </c>
      <c r="AL58" s="60">
        <v>-4.2799924666666662</v>
      </c>
      <c r="AM58" s="286"/>
      <c r="AO58" s="49"/>
      <c r="AQ58" s="49"/>
      <c r="AS58" s="50"/>
      <c r="AT58" s="50"/>
      <c r="AU58" s="50"/>
      <c r="AV58" s="50"/>
      <c r="AW58" s="50"/>
      <c r="AX58" s="50"/>
    </row>
    <row r="59" spans="1:50" ht="15" customHeight="1" x14ac:dyDescent="0.3">
      <c r="A59" s="61" t="s">
        <v>168</v>
      </c>
      <c r="B59" s="62" t="s">
        <v>152</v>
      </c>
      <c r="C59" s="53" t="s">
        <v>169</v>
      </c>
      <c r="D59" s="54" t="s">
        <v>0</v>
      </c>
      <c r="E59" s="55">
        <v>0.48119999999999996</v>
      </c>
      <c r="F59" s="56">
        <v>23.090970666666667</v>
      </c>
      <c r="G59" s="57">
        <v>29.412436666666665</v>
      </c>
      <c r="H59" s="58">
        <v>1.3845001071502401</v>
      </c>
      <c r="I59" s="58">
        <v>3.7894723123575118</v>
      </c>
      <c r="J59" s="58">
        <v>0</v>
      </c>
      <c r="K59" s="58">
        <v>7.3731661333333323</v>
      </c>
      <c r="L59" s="58">
        <v>0.18289127000000002</v>
      </c>
      <c r="M59" s="58">
        <v>-5.9981832666666657</v>
      </c>
      <c r="N59" s="283"/>
      <c r="O59" s="59">
        <v>29.412436666666665</v>
      </c>
      <c r="P59" s="60">
        <v>1.3845001071502401</v>
      </c>
      <c r="Q59" s="60">
        <v>3.7894723123575118</v>
      </c>
      <c r="R59" s="60">
        <v>0</v>
      </c>
      <c r="S59" s="60">
        <v>7.3731661333333323</v>
      </c>
      <c r="T59" s="60">
        <v>0.18289127000000002</v>
      </c>
      <c r="U59" s="60">
        <v>-5.9981832666666657</v>
      </c>
      <c r="V59" s="283"/>
      <c r="W59" s="60">
        <f t="shared" si="0"/>
        <v>58.531648559507751</v>
      </c>
      <c r="X59" s="59">
        <v>29.412436666666665</v>
      </c>
      <c r="Y59" s="60">
        <v>1.3845001071502401</v>
      </c>
      <c r="Z59" s="60">
        <v>3.7894723123575118</v>
      </c>
      <c r="AA59" s="60">
        <v>16.38918207</v>
      </c>
      <c r="AB59" s="60">
        <v>7.3731661333333323</v>
      </c>
      <c r="AC59" s="60">
        <v>0.18289127000000002</v>
      </c>
      <c r="AD59" s="60">
        <v>-5.9981832666666657</v>
      </c>
      <c r="AE59" s="283"/>
      <c r="AF59" s="59">
        <v>29.412436666666665</v>
      </c>
      <c r="AG59" s="60">
        <v>1.3845001071502401</v>
      </c>
      <c r="AH59" s="60">
        <v>3.7894723123575118</v>
      </c>
      <c r="AI59" s="60">
        <v>35.491234069999997</v>
      </c>
      <c r="AJ59" s="60">
        <v>7.3731661333333323</v>
      </c>
      <c r="AK59" s="60">
        <v>0.18289127000000002</v>
      </c>
      <c r="AL59" s="60">
        <v>-5.9981832666666657</v>
      </c>
      <c r="AM59" s="286"/>
      <c r="AO59" s="49"/>
      <c r="AQ59" s="49"/>
      <c r="AS59" s="50"/>
      <c r="AT59" s="50"/>
      <c r="AU59" s="50"/>
      <c r="AV59" s="50"/>
      <c r="AW59" s="50"/>
      <c r="AX59" s="50"/>
    </row>
    <row r="60" spans="1:50" ht="15" customHeight="1" x14ac:dyDescent="0.3">
      <c r="A60" s="61" t="s">
        <v>170</v>
      </c>
      <c r="B60" s="62" t="s">
        <v>152</v>
      </c>
      <c r="C60" s="53" t="s">
        <v>171</v>
      </c>
      <c r="D60" s="54" t="s">
        <v>0</v>
      </c>
      <c r="E60" s="55">
        <v>0.47320000000000001</v>
      </c>
      <c r="F60" s="56">
        <v>30.370970666666665</v>
      </c>
      <c r="G60" s="57">
        <v>20.016936666666666</v>
      </c>
      <c r="H60" s="58">
        <v>1.7980041071502399</v>
      </c>
      <c r="I60" s="58">
        <v>2.910711705357512</v>
      </c>
      <c r="J60" s="58">
        <v>0</v>
      </c>
      <c r="K60" s="58">
        <v>7.3731661333333323</v>
      </c>
      <c r="L60" s="58">
        <v>0.37728119999999998</v>
      </c>
      <c r="M60" s="58">
        <v>-4.1875632666666665</v>
      </c>
      <c r="N60" s="283"/>
      <c r="O60" s="59">
        <v>20.016936666666666</v>
      </c>
      <c r="P60" s="60">
        <v>1.7980041071502399</v>
      </c>
      <c r="Q60" s="60">
        <v>2.910711705357512</v>
      </c>
      <c r="R60" s="60">
        <v>0</v>
      </c>
      <c r="S60" s="60">
        <v>7.3731661333333323</v>
      </c>
      <c r="T60" s="60">
        <v>0.37728119999999998</v>
      </c>
      <c r="U60" s="60">
        <v>-4.1875632666666665</v>
      </c>
      <c r="V60" s="283"/>
      <c r="W60" s="60">
        <f t="shared" si="0"/>
        <v>32.476099812507755</v>
      </c>
      <c r="X60" s="59">
        <v>20.016936666666666</v>
      </c>
      <c r="Y60" s="60">
        <v>1.7980041071502399</v>
      </c>
      <c r="Z60" s="60">
        <v>2.910711705357512</v>
      </c>
      <c r="AA60" s="60">
        <v>0</v>
      </c>
      <c r="AB60" s="60">
        <v>7.3731661333333323</v>
      </c>
      <c r="AC60" s="60">
        <v>0.37728119999999998</v>
      </c>
      <c r="AD60" s="60">
        <v>-4.1875632666666665</v>
      </c>
      <c r="AE60" s="283"/>
      <c r="AF60" s="59">
        <v>20.016936666666666</v>
      </c>
      <c r="AG60" s="60">
        <v>1.7980041071502399</v>
      </c>
      <c r="AH60" s="60">
        <v>2.910711705357512</v>
      </c>
      <c r="AI60" s="60">
        <v>26.290123999999999</v>
      </c>
      <c r="AJ60" s="60">
        <v>7.3731661333333323</v>
      </c>
      <c r="AK60" s="60">
        <v>0.37728119999999998</v>
      </c>
      <c r="AL60" s="60">
        <v>-4.1875632666666665</v>
      </c>
      <c r="AM60" s="286"/>
      <c r="AO60" s="49"/>
      <c r="AQ60" s="49"/>
      <c r="AS60" s="50"/>
      <c r="AT60" s="50"/>
      <c r="AU60" s="50"/>
      <c r="AV60" s="50"/>
      <c r="AW60" s="50"/>
      <c r="AX60" s="50"/>
    </row>
    <row r="61" spans="1:50" ht="15" customHeight="1" x14ac:dyDescent="0.3">
      <c r="A61" s="61" t="s">
        <v>172</v>
      </c>
      <c r="B61" s="62" t="s">
        <v>152</v>
      </c>
      <c r="C61" s="53" t="s">
        <v>173</v>
      </c>
      <c r="D61" s="54" t="s">
        <v>0</v>
      </c>
      <c r="E61" s="55">
        <v>0.47420000000000001</v>
      </c>
      <c r="F61" s="56">
        <v>47.370970666666672</v>
      </c>
      <c r="G61" s="57">
        <v>28.062536666666663</v>
      </c>
      <c r="H61" s="58">
        <v>2.7636041071502397</v>
      </c>
      <c r="I61" s="58">
        <v>3.8125019053575118</v>
      </c>
      <c r="J61" s="58">
        <v>0</v>
      </c>
      <c r="K61" s="58">
        <v>7.5749401333333326</v>
      </c>
      <c r="L61" s="58">
        <v>0.18220920000000002</v>
      </c>
      <c r="M61" s="58">
        <v>-4.2491826666666661</v>
      </c>
      <c r="N61" s="283"/>
      <c r="O61" s="59">
        <v>28.062536666666663</v>
      </c>
      <c r="P61" s="60">
        <v>2.7636041071502397</v>
      </c>
      <c r="Q61" s="60">
        <v>3.8125019053575118</v>
      </c>
      <c r="R61" s="60">
        <v>0</v>
      </c>
      <c r="S61" s="60">
        <v>7.5749401333333326</v>
      </c>
      <c r="T61" s="60">
        <v>0.18220920000000002</v>
      </c>
      <c r="U61" s="60">
        <v>-4.2491826666666661</v>
      </c>
      <c r="V61" s="283"/>
      <c r="W61" s="60">
        <f t="shared" si="0"/>
        <v>42.395792012507755</v>
      </c>
      <c r="X61" s="59">
        <v>28.062536666666663</v>
      </c>
      <c r="Y61" s="60">
        <v>2.7636041071502397</v>
      </c>
      <c r="Z61" s="60">
        <v>3.8125019053575118</v>
      </c>
      <c r="AA61" s="60">
        <v>0</v>
      </c>
      <c r="AB61" s="60">
        <v>7.5749401333333326</v>
      </c>
      <c r="AC61" s="60">
        <v>0.18220920000000002</v>
      </c>
      <c r="AD61" s="60">
        <v>-4.2491826666666661</v>
      </c>
      <c r="AE61" s="283"/>
      <c r="AF61" s="59">
        <v>28.062536666666663</v>
      </c>
      <c r="AG61" s="60">
        <v>2.7636041071502397</v>
      </c>
      <c r="AH61" s="60">
        <v>3.8125019053575118</v>
      </c>
      <c r="AI61" s="60">
        <v>19.102051999999997</v>
      </c>
      <c r="AJ61" s="60">
        <v>7.5749401333333326</v>
      </c>
      <c r="AK61" s="60">
        <v>0.18220920000000002</v>
      </c>
      <c r="AL61" s="60">
        <v>-4.2491826666666661</v>
      </c>
      <c r="AM61" s="286"/>
      <c r="AO61" s="49"/>
      <c r="AQ61" s="49"/>
      <c r="AS61" s="50"/>
      <c r="AT61" s="50"/>
      <c r="AU61" s="50"/>
      <c r="AV61" s="50"/>
      <c r="AW61" s="50"/>
      <c r="AX61" s="50"/>
    </row>
    <row r="62" spans="1:50" ht="15" customHeight="1" x14ac:dyDescent="0.3">
      <c r="A62" s="61" t="s">
        <v>174</v>
      </c>
      <c r="B62" s="62" t="s">
        <v>152</v>
      </c>
      <c r="C62" s="53" t="s">
        <v>175</v>
      </c>
      <c r="D62" s="54" t="s">
        <v>0</v>
      </c>
      <c r="E62" s="55">
        <v>0.46399999999999997</v>
      </c>
      <c r="F62" s="56">
        <v>35.324970666666673</v>
      </c>
      <c r="G62" s="57">
        <v>10.229336666666665</v>
      </c>
      <c r="H62" s="58">
        <v>2.2513792632902399</v>
      </c>
      <c r="I62" s="58">
        <v>3.4630820354845122</v>
      </c>
      <c r="J62" s="58">
        <v>0</v>
      </c>
      <c r="K62" s="58">
        <v>23.502916133333333</v>
      </c>
      <c r="L62" s="58">
        <v>0.18613792320000003</v>
      </c>
      <c r="M62" s="58">
        <v>-24.285484466666666</v>
      </c>
      <c r="N62" s="283"/>
      <c r="O62" s="59">
        <v>10.229336666666665</v>
      </c>
      <c r="P62" s="60">
        <v>2.2513792632902399</v>
      </c>
      <c r="Q62" s="60">
        <v>3.4630820354845122</v>
      </c>
      <c r="R62" s="60">
        <v>0</v>
      </c>
      <c r="S62" s="60">
        <v>23.502916133333333</v>
      </c>
      <c r="T62" s="60">
        <v>0.18613792320000003</v>
      </c>
      <c r="U62" s="60">
        <v>-24.285484466666666</v>
      </c>
      <c r="V62" s="283"/>
      <c r="W62" s="60">
        <f t="shared" si="0"/>
        <v>39.632852021974749</v>
      </c>
      <c r="X62" s="59">
        <v>10.229336666666665</v>
      </c>
      <c r="Y62" s="60">
        <v>2.2513792632902399</v>
      </c>
      <c r="Z62" s="60">
        <v>3.4630820354845122</v>
      </c>
      <c r="AA62" s="60">
        <v>0</v>
      </c>
      <c r="AB62" s="60">
        <v>23.502916133333333</v>
      </c>
      <c r="AC62" s="60">
        <v>0.18613792320000003</v>
      </c>
      <c r="AD62" s="60">
        <v>-24.285484466666666</v>
      </c>
      <c r="AE62" s="283"/>
      <c r="AF62" s="59">
        <v>10.229336666666665</v>
      </c>
      <c r="AG62" s="60">
        <v>2.2513792632902399</v>
      </c>
      <c r="AH62" s="60">
        <v>3.4630820354845122</v>
      </c>
      <c r="AI62" s="60">
        <v>31.144380723199998</v>
      </c>
      <c r="AJ62" s="60">
        <v>23.502916133333333</v>
      </c>
      <c r="AK62" s="60">
        <v>0.18613792320000003</v>
      </c>
      <c r="AL62" s="60">
        <v>-24.285484466666666</v>
      </c>
      <c r="AM62" s="286"/>
      <c r="AO62" s="49"/>
      <c r="AQ62" s="49"/>
      <c r="AS62" s="50"/>
      <c r="AT62" s="50"/>
      <c r="AU62" s="50"/>
      <c r="AV62" s="50"/>
      <c r="AW62" s="50"/>
      <c r="AX62" s="50"/>
    </row>
    <row r="63" spans="1:50" ht="15" customHeight="1" x14ac:dyDescent="0.3">
      <c r="A63" s="61" t="s">
        <v>176</v>
      </c>
      <c r="B63" s="62" t="s">
        <v>286</v>
      </c>
      <c r="C63" s="53" t="s">
        <v>177</v>
      </c>
      <c r="D63" s="54" t="s">
        <v>0</v>
      </c>
      <c r="E63" s="55">
        <v>0.628</v>
      </c>
      <c r="F63" s="56">
        <v>412.81000000000006</v>
      </c>
      <c r="G63" s="57">
        <v>141.43149</v>
      </c>
      <c r="H63" s="58">
        <v>9.7463119999999996</v>
      </c>
      <c r="I63" s="58">
        <v>12.752348899999999</v>
      </c>
      <c r="J63" s="58">
        <v>0</v>
      </c>
      <c r="K63" s="58">
        <v>2.6305440000000004</v>
      </c>
      <c r="L63" s="58">
        <v>2.4511349999999998</v>
      </c>
      <c r="M63" s="58">
        <v>-0.70499999999999996</v>
      </c>
      <c r="N63" s="283"/>
      <c r="O63" s="59">
        <v>141.43149</v>
      </c>
      <c r="P63" s="60">
        <v>9.7463119999999996</v>
      </c>
      <c r="Q63" s="60">
        <v>12.752348899999999</v>
      </c>
      <c r="R63" s="60">
        <v>0</v>
      </c>
      <c r="S63" s="60">
        <v>2.6305440000000004</v>
      </c>
      <c r="T63" s="60">
        <v>2.4511349999999998</v>
      </c>
      <c r="U63" s="60">
        <v>-0.70499999999999996</v>
      </c>
      <c r="V63" s="283"/>
      <c r="W63" s="60">
        <f t="shared" si="0"/>
        <v>186.29227989999995</v>
      </c>
      <c r="X63" s="59">
        <v>141.43149</v>
      </c>
      <c r="Y63" s="60">
        <v>9.7463119999999996</v>
      </c>
      <c r="Z63" s="60">
        <v>12.752348899999999</v>
      </c>
      <c r="AA63" s="60">
        <v>17.280449999999998</v>
      </c>
      <c r="AB63" s="60">
        <v>2.6305440000000004</v>
      </c>
      <c r="AC63" s="60">
        <v>2.4511349999999998</v>
      </c>
      <c r="AD63" s="60">
        <v>-0.70499999999999996</v>
      </c>
      <c r="AE63" s="283"/>
      <c r="AF63" s="59">
        <v>141.43149</v>
      </c>
      <c r="AG63" s="60">
        <v>9.7463119999999996</v>
      </c>
      <c r="AH63" s="60">
        <v>12.752348899999999</v>
      </c>
      <c r="AI63" s="60">
        <v>112.193619</v>
      </c>
      <c r="AJ63" s="60">
        <v>2.6305440000000004</v>
      </c>
      <c r="AK63" s="60">
        <v>2.4511349999999998</v>
      </c>
      <c r="AL63" s="60">
        <v>-0.70499999999999996</v>
      </c>
      <c r="AM63" s="286"/>
      <c r="AO63" s="49"/>
      <c r="AQ63" s="49"/>
      <c r="AS63" s="50"/>
      <c r="AT63" s="50"/>
      <c r="AU63" s="50"/>
      <c r="AV63" s="50"/>
      <c r="AW63" s="50"/>
      <c r="AX63" s="50"/>
    </row>
    <row r="64" spans="1:50" ht="15" customHeight="1" x14ac:dyDescent="0.3">
      <c r="A64" s="61" t="s">
        <v>178</v>
      </c>
      <c r="B64" s="62" t="s">
        <v>286</v>
      </c>
      <c r="C64" s="53" t="s">
        <v>179</v>
      </c>
      <c r="D64" s="54" t="s">
        <v>0</v>
      </c>
      <c r="E64" s="55">
        <v>0.70465714285714287</v>
      </c>
      <c r="F64" s="56">
        <v>453.25097066666672</v>
      </c>
      <c r="G64" s="57">
        <v>138.94987998666664</v>
      </c>
      <c r="H64" s="58">
        <v>12.11629210715024</v>
      </c>
      <c r="I64" s="58">
        <v>13.371447597357511</v>
      </c>
      <c r="J64" s="58">
        <v>0</v>
      </c>
      <c r="K64" s="58">
        <v>9.4705033333333333</v>
      </c>
      <c r="L64" s="58">
        <v>2.3720635999999997</v>
      </c>
      <c r="M64" s="58">
        <v>-4.9270485466666667</v>
      </c>
      <c r="N64" s="283"/>
      <c r="O64" s="59">
        <v>138.94987998666664</v>
      </c>
      <c r="P64" s="60">
        <v>12.11629210715024</v>
      </c>
      <c r="Q64" s="60">
        <v>13.371447597357511</v>
      </c>
      <c r="R64" s="60">
        <v>0</v>
      </c>
      <c r="S64" s="60">
        <v>9.4705033333333333</v>
      </c>
      <c r="T64" s="60">
        <v>2.3720635999999997</v>
      </c>
      <c r="U64" s="60">
        <v>-4.9270485466666667</v>
      </c>
      <c r="V64" s="283"/>
      <c r="W64" s="60">
        <f t="shared" si="0"/>
        <v>176.28018662450771</v>
      </c>
      <c r="X64" s="59">
        <v>138.94987998666664</v>
      </c>
      <c r="Y64" s="60">
        <v>12.11629210715024</v>
      </c>
      <c r="Z64" s="60">
        <v>13.371447597357511</v>
      </c>
      <c r="AA64" s="60">
        <v>0</v>
      </c>
      <c r="AB64" s="60">
        <v>9.4705033333333333</v>
      </c>
      <c r="AC64" s="60">
        <v>2.3720635999999997</v>
      </c>
      <c r="AD64" s="60">
        <v>-4.9270485466666667</v>
      </c>
      <c r="AE64" s="283"/>
      <c r="AF64" s="59">
        <v>138.94987998666664</v>
      </c>
      <c r="AG64" s="60">
        <v>12.11629210715024</v>
      </c>
      <c r="AH64" s="60">
        <v>13.371447597357511</v>
      </c>
      <c r="AI64" s="60">
        <v>98.642548919999996</v>
      </c>
      <c r="AJ64" s="60">
        <v>9.4705033333333333</v>
      </c>
      <c r="AK64" s="60">
        <v>2.3720635999999997</v>
      </c>
      <c r="AL64" s="60">
        <v>-4.9270485466666667</v>
      </c>
      <c r="AM64" s="286"/>
      <c r="AO64" s="49"/>
      <c r="AQ64" s="49"/>
      <c r="AS64" s="50"/>
      <c r="AT64" s="50"/>
      <c r="AU64" s="50"/>
      <c r="AV64" s="50"/>
      <c r="AW64" s="50"/>
      <c r="AX64" s="50"/>
    </row>
    <row r="65" spans="1:50" ht="15" customHeight="1" x14ac:dyDescent="0.3">
      <c r="A65" s="61" t="s">
        <v>180</v>
      </c>
      <c r="B65" s="62" t="s">
        <v>286</v>
      </c>
      <c r="C65" s="53" t="s">
        <v>181</v>
      </c>
      <c r="D65" s="54" t="s">
        <v>0</v>
      </c>
      <c r="E65" s="55">
        <v>0.70099999999999996</v>
      </c>
      <c r="F65" s="56">
        <v>413.49097066666667</v>
      </c>
      <c r="G65" s="57">
        <v>143.69963866666666</v>
      </c>
      <c r="H65" s="58">
        <v>9.8579241071502395</v>
      </c>
      <c r="I65" s="58">
        <v>13.547568512357511</v>
      </c>
      <c r="J65" s="58">
        <v>0</v>
      </c>
      <c r="K65" s="58">
        <v>9.4705033333333333</v>
      </c>
      <c r="L65" s="58">
        <v>1.6418820699999999</v>
      </c>
      <c r="M65" s="58">
        <v>-6.6157366666666659</v>
      </c>
      <c r="N65" s="283"/>
      <c r="O65" s="59">
        <v>143.69963866666666</v>
      </c>
      <c r="P65" s="60">
        <v>9.8579241071502395</v>
      </c>
      <c r="Q65" s="60">
        <v>13.547568512357511</v>
      </c>
      <c r="R65" s="60">
        <v>0</v>
      </c>
      <c r="S65" s="60">
        <v>9.4705033333333333</v>
      </c>
      <c r="T65" s="60">
        <v>1.6418820699999999</v>
      </c>
      <c r="U65" s="60">
        <v>-6.6157366666666659</v>
      </c>
      <c r="V65" s="283"/>
      <c r="W65" s="60">
        <f t="shared" si="0"/>
        <v>194.60669875950776</v>
      </c>
      <c r="X65" s="59">
        <v>143.69963866666666</v>
      </c>
      <c r="Y65" s="60">
        <v>9.8579241071502395</v>
      </c>
      <c r="Z65" s="60">
        <v>13.547568512357511</v>
      </c>
      <c r="AA65" s="60">
        <v>16.38918207</v>
      </c>
      <c r="AB65" s="60">
        <v>9.4705033333333333</v>
      </c>
      <c r="AC65" s="60">
        <v>1.6418820699999999</v>
      </c>
      <c r="AD65" s="60">
        <v>-6.6157366666666659</v>
      </c>
      <c r="AE65" s="283"/>
      <c r="AF65" s="59">
        <v>143.69963866666666</v>
      </c>
      <c r="AG65" s="60">
        <v>9.8579241071502395</v>
      </c>
      <c r="AH65" s="60">
        <v>13.547568512357511</v>
      </c>
      <c r="AI65" s="60">
        <v>102.66212607</v>
      </c>
      <c r="AJ65" s="60">
        <v>9.4705033333333333</v>
      </c>
      <c r="AK65" s="60">
        <v>1.6418820699999999</v>
      </c>
      <c r="AL65" s="60">
        <v>-6.6157366666666659</v>
      </c>
      <c r="AM65" s="286"/>
      <c r="AO65" s="49"/>
      <c r="AQ65" s="49"/>
      <c r="AS65" s="50"/>
      <c r="AT65" s="50"/>
      <c r="AU65" s="50"/>
      <c r="AV65" s="50"/>
      <c r="AW65" s="50"/>
      <c r="AX65" s="50"/>
    </row>
    <row r="66" spans="1:50" ht="15" customHeight="1" x14ac:dyDescent="0.3">
      <c r="A66" s="61" t="s">
        <v>182</v>
      </c>
      <c r="B66" s="62" t="s">
        <v>286</v>
      </c>
      <c r="C66" s="53" t="s">
        <v>183</v>
      </c>
      <c r="D66" s="54" t="s">
        <v>0</v>
      </c>
      <c r="E66" s="55">
        <v>0.69300000000000006</v>
      </c>
      <c r="F66" s="56">
        <v>420.7709706666667</v>
      </c>
      <c r="G66" s="57">
        <v>134.30413866666666</v>
      </c>
      <c r="H66" s="58">
        <v>10.271428107150239</v>
      </c>
      <c r="I66" s="58">
        <v>12.668807905357511</v>
      </c>
      <c r="J66" s="58">
        <v>0</v>
      </c>
      <c r="K66" s="58">
        <v>9.4705033333333333</v>
      </c>
      <c r="L66" s="58">
        <v>1.8362719999999999</v>
      </c>
      <c r="M66" s="58">
        <v>-4.8051166666666667</v>
      </c>
      <c r="N66" s="283"/>
      <c r="O66" s="59">
        <v>134.30413866666666</v>
      </c>
      <c r="P66" s="60">
        <v>10.271428107150239</v>
      </c>
      <c r="Q66" s="60">
        <v>12.668807905357511</v>
      </c>
      <c r="R66" s="60">
        <v>0</v>
      </c>
      <c r="S66" s="60">
        <v>9.4705033333333333</v>
      </c>
      <c r="T66" s="60">
        <v>1.8362719999999999</v>
      </c>
      <c r="U66" s="60">
        <v>-4.8051166666666667</v>
      </c>
      <c r="V66" s="283"/>
      <c r="W66" s="60">
        <f t="shared" si="0"/>
        <v>168.55115001250775</v>
      </c>
      <c r="X66" s="59">
        <v>134.30413866666666</v>
      </c>
      <c r="Y66" s="60">
        <v>10.271428107150239</v>
      </c>
      <c r="Z66" s="60">
        <v>12.668807905357511</v>
      </c>
      <c r="AA66" s="60">
        <v>0</v>
      </c>
      <c r="AB66" s="60">
        <v>9.4705033333333333</v>
      </c>
      <c r="AC66" s="60">
        <v>1.8362719999999999</v>
      </c>
      <c r="AD66" s="60">
        <v>-4.8051166666666667</v>
      </c>
      <c r="AE66" s="283"/>
      <c r="AF66" s="59">
        <v>134.30413866666666</v>
      </c>
      <c r="AG66" s="60">
        <v>10.271428107150239</v>
      </c>
      <c r="AH66" s="60">
        <v>12.668807905357511</v>
      </c>
      <c r="AI66" s="60">
        <v>93.461016000000001</v>
      </c>
      <c r="AJ66" s="60">
        <v>9.4705033333333333</v>
      </c>
      <c r="AK66" s="60">
        <v>1.8362719999999999</v>
      </c>
      <c r="AL66" s="60">
        <v>-4.8051166666666667</v>
      </c>
      <c r="AM66" s="286"/>
      <c r="AO66" s="49"/>
      <c r="AQ66" s="49"/>
      <c r="AS66" s="50"/>
      <c r="AT66" s="50"/>
      <c r="AU66" s="50"/>
      <c r="AV66" s="50"/>
      <c r="AW66" s="50"/>
      <c r="AX66" s="50"/>
    </row>
    <row r="67" spans="1:50" ht="15" customHeight="1" x14ac:dyDescent="0.3">
      <c r="A67" s="61" t="s">
        <v>184</v>
      </c>
      <c r="B67" s="62" t="s">
        <v>286</v>
      </c>
      <c r="C67" s="53" t="s">
        <v>185</v>
      </c>
      <c r="D67" s="54" t="s">
        <v>0</v>
      </c>
      <c r="E67" s="55">
        <v>0.69400000000000006</v>
      </c>
      <c r="F67" s="56">
        <v>437.7709706666667</v>
      </c>
      <c r="G67" s="57">
        <v>142.34973866666667</v>
      </c>
      <c r="H67" s="58">
        <v>11.237028107150241</v>
      </c>
      <c r="I67" s="58">
        <v>13.570598105357512</v>
      </c>
      <c r="J67" s="58">
        <v>0</v>
      </c>
      <c r="K67" s="58">
        <v>9.6722773333333336</v>
      </c>
      <c r="L67" s="58">
        <v>1.6412</v>
      </c>
      <c r="M67" s="58">
        <v>-4.8667360666666664</v>
      </c>
      <c r="N67" s="283"/>
      <c r="O67" s="59">
        <v>142.34973866666667</v>
      </c>
      <c r="P67" s="60">
        <v>11.237028107150241</v>
      </c>
      <c r="Q67" s="60">
        <v>13.570598105357512</v>
      </c>
      <c r="R67" s="60">
        <v>0</v>
      </c>
      <c r="S67" s="60">
        <v>9.6722773333333336</v>
      </c>
      <c r="T67" s="60">
        <v>1.6412</v>
      </c>
      <c r="U67" s="60">
        <v>-4.8667360666666664</v>
      </c>
      <c r="V67" s="283"/>
      <c r="W67" s="60">
        <f t="shared" si="0"/>
        <v>178.47084221250776</v>
      </c>
      <c r="X67" s="59">
        <v>142.34973866666667</v>
      </c>
      <c r="Y67" s="60">
        <v>11.237028107150241</v>
      </c>
      <c r="Z67" s="60">
        <v>13.570598105357512</v>
      </c>
      <c r="AA67" s="60">
        <v>0</v>
      </c>
      <c r="AB67" s="60">
        <v>9.6722773333333336</v>
      </c>
      <c r="AC67" s="60">
        <v>1.6412</v>
      </c>
      <c r="AD67" s="60">
        <v>-4.8667360666666664</v>
      </c>
      <c r="AE67" s="283"/>
      <c r="AF67" s="59">
        <v>142.34973866666667</v>
      </c>
      <c r="AG67" s="60">
        <v>11.237028107150241</v>
      </c>
      <c r="AH67" s="60">
        <v>13.570598105357512</v>
      </c>
      <c r="AI67" s="60">
        <v>86.272943999999995</v>
      </c>
      <c r="AJ67" s="60">
        <v>9.6722773333333336</v>
      </c>
      <c r="AK67" s="60">
        <v>1.6412</v>
      </c>
      <c r="AL67" s="60">
        <v>-4.8667360666666664</v>
      </c>
      <c r="AM67" s="286"/>
      <c r="AO67" s="49"/>
      <c r="AQ67" s="49"/>
      <c r="AS67" s="50"/>
      <c r="AT67" s="50"/>
      <c r="AU67" s="50"/>
      <c r="AV67" s="50"/>
      <c r="AW67" s="50"/>
      <c r="AX67" s="50"/>
    </row>
    <row r="68" spans="1:50" ht="15" customHeight="1" x14ac:dyDescent="0.3">
      <c r="A68" s="61" t="s">
        <v>186</v>
      </c>
      <c r="B68" s="62" t="s">
        <v>286</v>
      </c>
      <c r="C68" s="53" t="s">
        <v>187</v>
      </c>
      <c r="D68" s="54" t="s">
        <v>0</v>
      </c>
      <c r="E68" s="55">
        <v>0.68379999999999996</v>
      </c>
      <c r="F68" s="56">
        <v>425.72497066666671</v>
      </c>
      <c r="G68" s="57">
        <v>124.51653866666666</v>
      </c>
      <c r="H68" s="58">
        <v>10.724803263290241</v>
      </c>
      <c r="I68" s="58">
        <v>13.221178235484512</v>
      </c>
      <c r="J68" s="58">
        <v>0</v>
      </c>
      <c r="K68" s="58">
        <v>25.600253333333335</v>
      </c>
      <c r="L68" s="58">
        <v>1.6451287232</v>
      </c>
      <c r="M68" s="58">
        <v>-24.903037866666665</v>
      </c>
      <c r="N68" s="283"/>
      <c r="O68" s="59">
        <v>124.51653866666666</v>
      </c>
      <c r="P68" s="60">
        <v>10.724803263290241</v>
      </c>
      <c r="Q68" s="60">
        <v>13.221178235484512</v>
      </c>
      <c r="R68" s="60">
        <v>0</v>
      </c>
      <c r="S68" s="60">
        <v>25.600253333333335</v>
      </c>
      <c r="T68" s="60">
        <v>1.6451287232</v>
      </c>
      <c r="U68" s="60">
        <v>-24.903037866666665</v>
      </c>
      <c r="V68" s="283"/>
      <c r="W68" s="60">
        <f t="shared" si="0"/>
        <v>175.70790222197473</v>
      </c>
      <c r="X68" s="59">
        <v>124.51653866666666</v>
      </c>
      <c r="Y68" s="60">
        <v>10.724803263290241</v>
      </c>
      <c r="Z68" s="60">
        <v>13.221178235484512</v>
      </c>
      <c r="AA68" s="60">
        <v>0</v>
      </c>
      <c r="AB68" s="60">
        <v>25.600253333333335</v>
      </c>
      <c r="AC68" s="60">
        <v>1.6451287232</v>
      </c>
      <c r="AD68" s="60">
        <v>-24.903037866666665</v>
      </c>
      <c r="AE68" s="283"/>
      <c r="AF68" s="59">
        <v>124.51653866666666</v>
      </c>
      <c r="AG68" s="60">
        <v>10.724803263290241</v>
      </c>
      <c r="AH68" s="60">
        <v>13.221178235484512</v>
      </c>
      <c r="AI68" s="60">
        <v>98.315272723199996</v>
      </c>
      <c r="AJ68" s="60">
        <v>25.600253333333335</v>
      </c>
      <c r="AK68" s="60">
        <v>1.6451287232</v>
      </c>
      <c r="AL68" s="60">
        <v>-24.903037866666665</v>
      </c>
      <c r="AM68" s="286"/>
      <c r="AO68" s="49"/>
      <c r="AQ68" s="49"/>
      <c r="AS68" s="50"/>
      <c r="AT68" s="50"/>
      <c r="AU68" s="50"/>
      <c r="AV68" s="50"/>
      <c r="AW68" s="50"/>
      <c r="AX68" s="50"/>
    </row>
    <row r="69" spans="1:50" ht="15" customHeight="1" x14ac:dyDescent="0.3">
      <c r="A69" s="61" t="s">
        <v>188</v>
      </c>
      <c r="B69" s="62" t="s">
        <v>286</v>
      </c>
      <c r="C69" s="53" t="s">
        <v>189</v>
      </c>
      <c r="D69" s="54" t="s">
        <v>0</v>
      </c>
      <c r="E69" s="55">
        <v>0.46520000000000006</v>
      </c>
      <c r="F69" s="56">
        <v>71.733062500000003</v>
      </c>
      <c r="G69" s="57">
        <v>-36.262468025000004</v>
      </c>
      <c r="H69" s="58">
        <v>5.0479495895399999</v>
      </c>
      <c r="I69" s="58">
        <v>3.6316802084019999</v>
      </c>
      <c r="J69" s="58">
        <v>0</v>
      </c>
      <c r="K69" s="58">
        <v>74.675734168000005</v>
      </c>
      <c r="L69" s="58">
        <v>0.97622477125000007</v>
      </c>
      <c r="M69" s="58">
        <v>-27.88325098</v>
      </c>
      <c r="N69" s="283"/>
      <c r="O69" s="59">
        <v>-36.262468025000004</v>
      </c>
      <c r="P69" s="60">
        <v>5.0479495895399999</v>
      </c>
      <c r="Q69" s="60">
        <v>3.6316802084019999</v>
      </c>
      <c r="R69" s="60">
        <v>0</v>
      </c>
      <c r="S69" s="60">
        <v>74.675734168000005</v>
      </c>
      <c r="T69" s="60">
        <v>0.97622477125000007</v>
      </c>
      <c r="U69" s="60">
        <v>-27.88325098</v>
      </c>
      <c r="V69" s="283"/>
      <c r="W69" s="60">
        <f t="shared" si="0"/>
        <v>74.036842712191998</v>
      </c>
      <c r="X69" s="59">
        <v>-36.262468025000004</v>
      </c>
      <c r="Y69" s="60">
        <v>5.0479495895399999</v>
      </c>
      <c r="Z69" s="60">
        <v>3.6316802084019999</v>
      </c>
      <c r="AA69" s="60">
        <v>25.967721999999998</v>
      </c>
      <c r="AB69" s="60">
        <v>74.675734168000005</v>
      </c>
      <c r="AC69" s="60">
        <v>0.97622477125000007</v>
      </c>
      <c r="AD69" s="60">
        <v>-27.88325098</v>
      </c>
      <c r="AE69" s="283"/>
      <c r="AF69" s="59">
        <v>-36.262468025000004</v>
      </c>
      <c r="AG69" s="60">
        <v>5.0479495895399999</v>
      </c>
      <c r="AH69" s="60">
        <v>3.6316802084019999</v>
      </c>
      <c r="AI69" s="60">
        <v>52.023328914250001</v>
      </c>
      <c r="AJ69" s="60">
        <v>74.675734168000005</v>
      </c>
      <c r="AK69" s="60">
        <v>0.97622477125000007</v>
      </c>
      <c r="AL69" s="60">
        <v>-27.88325098</v>
      </c>
      <c r="AM69" s="286"/>
      <c r="AO69" s="49"/>
      <c r="AQ69" s="49"/>
      <c r="AS69" s="50"/>
      <c r="AT69" s="50"/>
      <c r="AU69" s="50"/>
      <c r="AV69" s="50"/>
      <c r="AW69" s="50"/>
      <c r="AX69" s="50"/>
    </row>
    <row r="70" spans="1:50" ht="15" customHeight="1" x14ac:dyDescent="0.3">
      <c r="A70" s="61" t="s">
        <v>190</v>
      </c>
      <c r="B70" s="62" t="s">
        <v>286</v>
      </c>
      <c r="C70" s="53" t="s">
        <v>191</v>
      </c>
      <c r="D70" s="54" t="s">
        <v>0</v>
      </c>
      <c r="E70" s="55">
        <v>0.54520000000000002</v>
      </c>
      <c r="F70" s="56">
        <v>111.69403316666669</v>
      </c>
      <c r="G70" s="57">
        <v>-34.504419358333337</v>
      </c>
      <c r="H70" s="58">
        <v>7.3906656966902391</v>
      </c>
      <c r="I70" s="58">
        <v>4.6291980137595115</v>
      </c>
      <c r="J70" s="58">
        <v>0</v>
      </c>
      <c r="K70" s="58">
        <v>81.818353501333334</v>
      </c>
      <c r="L70" s="58">
        <v>0.16628977125</v>
      </c>
      <c r="M70" s="58">
        <v>-32.075796846666663</v>
      </c>
      <c r="N70" s="283"/>
      <c r="O70" s="59">
        <v>-34.504419358333337</v>
      </c>
      <c r="P70" s="60">
        <v>7.3906656966902391</v>
      </c>
      <c r="Q70" s="60">
        <v>4.6291980137595115</v>
      </c>
      <c r="R70" s="60">
        <v>0</v>
      </c>
      <c r="S70" s="60">
        <v>81.818353501333334</v>
      </c>
      <c r="T70" s="60">
        <v>0.16628977125</v>
      </c>
      <c r="U70" s="60">
        <v>-32.075796846666663</v>
      </c>
      <c r="V70" s="283"/>
      <c r="W70" s="60">
        <f t="shared" ref="W70:W99" si="1">SUM(X70:AC70)</f>
        <v>68.187359624699752</v>
      </c>
      <c r="X70" s="59">
        <v>-34.504419358333337</v>
      </c>
      <c r="Y70" s="60">
        <v>7.3906656966902391</v>
      </c>
      <c r="Z70" s="60">
        <v>4.6291980137595115</v>
      </c>
      <c r="AA70" s="60">
        <v>8.6872720000000001</v>
      </c>
      <c r="AB70" s="60">
        <v>81.818353501333334</v>
      </c>
      <c r="AC70" s="60">
        <v>0.16628977125</v>
      </c>
      <c r="AD70" s="60">
        <v>-32.075796846666663</v>
      </c>
      <c r="AE70" s="283"/>
      <c r="AF70" s="59">
        <v>-34.504419358333337</v>
      </c>
      <c r="AG70" s="60">
        <v>7.3906656966902391</v>
      </c>
      <c r="AH70" s="60">
        <v>4.6291980137595115</v>
      </c>
      <c r="AI70" s="60">
        <v>42.283713914250001</v>
      </c>
      <c r="AJ70" s="60">
        <v>81.818353501333334</v>
      </c>
      <c r="AK70" s="60">
        <v>0.16628977125</v>
      </c>
      <c r="AL70" s="60">
        <v>-32.075796846666663</v>
      </c>
      <c r="AM70" s="286"/>
      <c r="AO70" s="49"/>
      <c r="AQ70" s="49"/>
      <c r="AS70" s="50"/>
      <c r="AT70" s="50"/>
      <c r="AU70" s="50"/>
      <c r="AV70" s="50"/>
      <c r="AW70" s="50"/>
      <c r="AX70" s="50"/>
    </row>
    <row r="71" spans="1:50" ht="15" customHeight="1" x14ac:dyDescent="0.3">
      <c r="A71" s="61" t="s">
        <v>192</v>
      </c>
      <c r="B71" s="62" t="s">
        <v>286</v>
      </c>
      <c r="C71" s="53" t="s">
        <v>193</v>
      </c>
      <c r="D71" s="54" t="s">
        <v>0</v>
      </c>
      <c r="E71" s="55">
        <v>0.53820000000000001</v>
      </c>
      <c r="F71" s="56">
        <v>72.414033166666655</v>
      </c>
      <c r="G71" s="57">
        <v>-33.994319358333335</v>
      </c>
      <c r="H71" s="58">
        <v>5.1595616966902398</v>
      </c>
      <c r="I71" s="58">
        <v>4.4268998207595125</v>
      </c>
      <c r="J71" s="58">
        <v>0</v>
      </c>
      <c r="K71" s="58">
        <v>81.515693501333331</v>
      </c>
      <c r="L71" s="58">
        <v>0.16697184125</v>
      </c>
      <c r="M71" s="58">
        <v>-33.793987646666665</v>
      </c>
      <c r="N71" s="283"/>
      <c r="O71" s="59">
        <v>-33.994319358333335</v>
      </c>
      <c r="P71" s="60">
        <v>5.1595616966902398</v>
      </c>
      <c r="Q71" s="60">
        <v>4.4268998207595125</v>
      </c>
      <c r="R71" s="60">
        <v>0</v>
      </c>
      <c r="S71" s="60">
        <v>81.515693501333331</v>
      </c>
      <c r="T71" s="60">
        <v>0.16697184125</v>
      </c>
      <c r="U71" s="60">
        <v>-33.793987646666665</v>
      </c>
      <c r="V71" s="283"/>
      <c r="W71" s="60">
        <f t="shared" si="1"/>
        <v>82.351261571699752</v>
      </c>
      <c r="X71" s="59">
        <v>-33.994319358333335</v>
      </c>
      <c r="Y71" s="60">
        <v>5.1595616966902398</v>
      </c>
      <c r="Z71" s="60">
        <v>4.4268998207595125</v>
      </c>
      <c r="AA71" s="60">
        <v>25.07645407</v>
      </c>
      <c r="AB71" s="60">
        <v>81.515693501333331</v>
      </c>
      <c r="AC71" s="60">
        <v>0.16697184125</v>
      </c>
      <c r="AD71" s="60">
        <v>-33.793987646666665</v>
      </c>
      <c r="AE71" s="283"/>
      <c r="AF71" s="59">
        <v>-33.994319358333335</v>
      </c>
      <c r="AG71" s="60">
        <v>5.1595616966902398</v>
      </c>
      <c r="AH71" s="60">
        <v>4.4268998207595125</v>
      </c>
      <c r="AI71" s="60">
        <v>42.491835984250002</v>
      </c>
      <c r="AJ71" s="60">
        <v>81.515693501333331</v>
      </c>
      <c r="AK71" s="60">
        <v>0.16697184125</v>
      </c>
      <c r="AL71" s="60">
        <v>-33.793987646666665</v>
      </c>
      <c r="AM71" s="286"/>
      <c r="AO71" s="49"/>
      <c r="AQ71" s="49"/>
      <c r="AS71" s="50"/>
      <c r="AT71" s="50"/>
      <c r="AU71" s="50"/>
      <c r="AV71" s="50"/>
      <c r="AW71" s="50"/>
      <c r="AX71" s="50"/>
    </row>
    <row r="72" spans="1:50" ht="15" customHeight="1" x14ac:dyDescent="0.3">
      <c r="A72" s="61" t="s">
        <v>194</v>
      </c>
      <c r="B72" s="62" t="s">
        <v>286</v>
      </c>
      <c r="C72" s="53" t="s">
        <v>195</v>
      </c>
      <c r="D72" s="54" t="s">
        <v>0</v>
      </c>
      <c r="E72" s="55">
        <v>0.5302</v>
      </c>
      <c r="F72" s="56">
        <v>79.694033166666657</v>
      </c>
      <c r="G72" s="57">
        <v>-43.389819358333334</v>
      </c>
      <c r="H72" s="58">
        <v>5.5730656966902394</v>
      </c>
      <c r="I72" s="58">
        <v>3.5481392137595122</v>
      </c>
      <c r="J72" s="58">
        <v>0</v>
      </c>
      <c r="K72" s="58">
        <v>81.515693501333331</v>
      </c>
      <c r="L72" s="58">
        <v>0.36136177125000002</v>
      </c>
      <c r="M72" s="58">
        <v>-31.983367646666668</v>
      </c>
      <c r="N72" s="283"/>
      <c r="O72" s="59">
        <v>-43.389819358333334</v>
      </c>
      <c r="P72" s="60">
        <v>5.5730656966902394</v>
      </c>
      <c r="Q72" s="60">
        <v>3.5481392137595122</v>
      </c>
      <c r="R72" s="60">
        <v>0</v>
      </c>
      <c r="S72" s="60">
        <v>81.515693501333331</v>
      </c>
      <c r="T72" s="60">
        <v>0.36136177125000002</v>
      </c>
      <c r="U72" s="60">
        <v>-31.983367646666668</v>
      </c>
      <c r="V72" s="283"/>
      <c r="W72" s="60">
        <f t="shared" si="1"/>
        <v>56.295712824699756</v>
      </c>
      <c r="X72" s="59">
        <v>-43.389819358333334</v>
      </c>
      <c r="Y72" s="60">
        <v>5.5730656966902394</v>
      </c>
      <c r="Z72" s="60">
        <v>3.5481392137595122</v>
      </c>
      <c r="AA72" s="60">
        <v>8.6872720000000001</v>
      </c>
      <c r="AB72" s="60">
        <v>81.515693501333331</v>
      </c>
      <c r="AC72" s="60">
        <v>0.36136177125000002</v>
      </c>
      <c r="AD72" s="60">
        <v>-31.983367646666668</v>
      </c>
      <c r="AE72" s="283"/>
      <c r="AF72" s="59">
        <v>-43.389819358333334</v>
      </c>
      <c r="AG72" s="60">
        <v>5.5730656966902394</v>
      </c>
      <c r="AH72" s="60">
        <v>3.5481392137595122</v>
      </c>
      <c r="AI72" s="60">
        <v>33.290725914249997</v>
      </c>
      <c r="AJ72" s="60">
        <v>81.515693501333331</v>
      </c>
      <c r="AK72" s="60">
        <v>0.36136177125000002</v>
      </c>
      <c r="AL72" s="60">
        <v>-31.983367646666668</v>
      </c>
      <c r="AM72" s="286"/>
      <c r="AO72" s="49"/>
      <c r="AQ72" s="49"/>
      <c r="AS72" s="50"/>
      <c r="AT72" s="50"/>
      <c r="AU72" s="50"/>
      <c r="AV72" s="50"/>
      <c r="AW72" s="50"/>
      <c r="AX72" s="50"/>
    </row>
    <row r="73" spans="1:50" ht="15" customHeight="1" x14ac:dyDescent="0.3">
      <c r="A73" s="61" t="s">
        <v>196</v>
      </c>
      <c r="B73" s="62" t="s">
        <v>286</v>
      </c>
      <c r="C73" s="53" t="s">
        <v>197</v>
      </c>
      <c r="D73" s="54" t="s">
        <v>0</v>
      </c>
      <c r="E73" s="55">
        <v>0.53120000000000001</v>
      </c>
      <c r="F73" s="56">
        <v>96.694033166666685</v>
      </c>
      <c r="G73" s="57">
        <v>-35.344219358333334</v>
      </c>
      <c r="H73" s="58">
        <v>6.5386656966902397</v>
      </c>
      <c r="I73" s="58">
        <v>4.449929413759512</v>
      </c>
      <c r="J73" s="58">
        <v>0</v>
      </c>
      <c r="K73" s="58">
        <v>81.717467501333331</v>
      </c>
      <c r="L73" s="58">
        <v>0.16628977125</v>
      </c>
      <c r="M73" s="58">
        <v>-32.044987046666662</v>
      </c>
      <c r="N73" s="283"/>
      <c r="O73" s="59">
        <v>-35.344219358333334</v>
      </c>
      <c r="P73" s="60">
        <v>6.5386656966902397</v>
      </c>
      <c r="Q73" s="60">
        <v>4.449929413759512</v>
      </c>
      <c r="R73" s="60">
        <v>0</v>
      </c>
      <c r="S73" s="60">
        <v>81.717467501333331</v>
      </c>
      <c r="T73" s="60">
        <v>0.16628977125</v>
      </c>
      <c r="U73" s="60">
        <v>-32.044987046666662</v>
      </c>
      <c r="V73" s="283"/>
      <c r="W73" s="60">
        <f t="shared" si="1"/>
        <v>66.215405024699749</v>
      </c>
      <c r="X73" s="59">
        <v>-35.344219358333334</v>
      </c>
      <c r="Y73" s="60">
        <v>6.5386656966902397</v>
      </c>
      <c r="Z73" s="60">
        <v>4.449929413759512</v>
      </c>
      <c r="AA73" s="60">
        <v>8.6872720000000001</v>
      </c>
      <c r="AB73" s="60">
        <v>81.717467501333331</v>
      </c>
      <c r="AC73" s="60">
        <v>0.16628977125</v>
      </c>
      <c r="AD73" s="60">
        <v>-32.044987046666662</v>
      </c>
      <c r="AE73" s="283"/>
      <c r="AF73" s="59">
        <v>-35.344219358333334</v>
      </c>
      <c r="AG73" s="60">
        <v>6.5386656966902397</v>
      </c>
      <c r="AH73" s="60">
        <v>4.449929413759512</v>
      </c>
      <c r="AI73" s="60">
        <v>26.102653914249998</v>
      </c>
      <c r="AJ73" s="60">
        <v>81.717467501333331</v>
      </c>
      <c r="AK73" s="60">
        <v>0.16628977125</v>
      </c>
      <c r="AL73" s="60">
        <v>-32.044987046666662</v>
      </c>
      <c r="AM73" s="286"/>
      <c r="AO73" s="49"/>
      <c r="AQ73" s="49"/>
      <c r="AS73" s="50"/>
      <c r="AT73" s="50"/>
      <c r="AU73" s="50"/>
      <c r="AV73" s="50"/>
      <c r="AW73" s="50"/>
      <c r="AX73" s="50"/>
    </row>
    <row r="74" spans="1:50" ht="15" customHeight="1" x14ac:dyDescent="0.3">
      <c r="A74" s="61" t="s">
        <v>198</v>
      </c>
      <c r="B74" s="62" t="s">
        <v>286</v>
      </c>
      <c r="C74" s="53" t="s">
        <v>199</v>
      </c>
      <c r="D74" s="54" t="s">
        <v>0</v>
      </c>
      <c r="E74" s="55">
        <v>0.52100000000000002</v>
      </c>
      <c r="F74" s="56">
        <v>84.648033166666664</v>
      </c>
      <c r="G74" s="57">
        <v>-53.177419358333339</v>
      </c>
      <c r="H74" s="58">
        <v>6.0264408528302393</v>
      </c>
      <c r="I74" s="58">
        <v>4.1005095438865125</v>
      </c>
      <c r="J74" s="58">
        <v>0</v>
      </c>
      <c r="K74" s="58">
        <v>97.645443501333332</v>
      </c>
      <c r="L74" s="58">
        <v>0.17021849445000001</v>
      </c>
      <c r="M74" s="58">
        <v>-52.081288846666659</v>
      </c>
      <c r="N74" s="283"/>
      <c r="O74" s="59">
        <v>-53.177419358333339</v>
      </c>
      <c r="P74" s="60">
        <v>6.0264408528302393</v>
      </c>
      <c r="Q74" s="60">
        <v>4.1005095438865125</v>
      </c>
      <c r="R74" s="60">
        <v>0</v>
      </c>
      <c r="S74" s="60">
        <v>97.645443501333332</v>
      </c>
      <c r="T74" s="60">
        <v>0.17021849445000001</v>
      </c>
      <c r="U74" s="60">
        <v>-52.081288846666659</v>
      </c>
      <c r="V74" s="283"/>
      <c r="W74" s="60">
        <f t="shared" si="1"/>
        <v>63.452465034166742</v>
      </c>
      <c r="X74" s="59">
        <v>-53.177419358333339</v>
      </c>
      <c r="Y74" s="60">
        <v>6.0264408528302393</v>
      </c>
      <c r="Z74" s="60">
        <v>4.1005095438865125</v>
      </c>
      <c r="AA74" s="60">
        <v>8.6872720000000001</v>
      </c>
      <c r="AB74" s="60">
        <v>97.645443501333332</v>
      </c>
      <c r="AC74" s="60">
        <v>0.17021849445000001</v>
      </c>
      <c r="AD74" s="60">
        <v>-52.081288846666659</v>
      </c>
      <c r="AE74" s="283"/>
      <c r="AF74" s="59">
        <v>-53.177419358333339</v>
      </c>
      <c r="AG74" s="60">
        <v>6.0264408528302393</v>
      </c>
      <c r="AH74" s="60">
        <v>4.1005095438865125</v>
      </c>
      <c r="AI74" s="60">
        <v>38.144982637449999</v>
      </c>
      <c r="AJ74" s="60">
        <v>97.645443501333332</v>
      </c>
      <c r="AK74" s="60">
        <v>0.17021849445000001</v>
      </c>
      <c r="AL74" s="60">
        <v>-52.081288846666659</v>
      </c>
      <c r="AM74" s="286"/>
      <c r="AO74" s="49"/>
      <c r="AQ74" s="49"/>
      <c r="AS74" s="50"/>
      <c r="AT74" s="50"/>
      <c r="AU74" s="50"/>
      <c r="AV74" s="50"/>
      <c r="AW74" s="50"/>
      <c r="AX74" s="50"/>
    </row>
    <row r="75" spans="1:50" ht="15" customHeight="1" x14ac:dyDescent="0.3">
      <c r="A75" s="61" t="s">
        <v>200</v>
      </c>
      <c r="B75" s="62" t="s">
        <v>286</v>
      </c>
      <c r="C75" s="53" t="s">
        <v>201</v>
      </c>
      <c r="D75" s="54" t="s">
        <v>0</v>
      </c>
      <c r="E75" s="55">
        <v>0.56319999999999992</v>
      </c>
      <c r="F75" s="56">
        <v>70.452500000000015</v>
      </c>
      <c r="G75" s="57">
        <v>36.678110499999995</v>
      </c>
      <c r="H75" s="58">
        <v>4.435302714162499</v>
      </c>
      <c r="I75" s="58">
        <v>7.1806495537081254</v>
      </c>
      <c r="J75" s="58">
        <v>0</v>
      </c>
      <c r="K75" s="58">
        <v>32.015930300000001</v>
      </c>
      <c r="L75" s="58">
        <v>1.3876300050000001</v>
      </c>
      <c r="M75" s="58">
        <v>-17.706352849999998</v>
      </c>
      <c r="N75" s="283"/>
      <c r="O75" s="59">
        <v>36.678110499999995</v>
      </c>
      <c r="P75" s="60">
        <v>4.435302714162499</v>
      </c>
      <c r="Q75" s="60">
        <v>7.1806495537081254</v>
      </c>
      <c r="R75" s="60">
        <v>0</v>
      </c>
      <c r="S75" s="60">
        <v>32.015930300000001</v>
      </c>
      <c r="T75" s="60">
        <v>1.3876300050000001</v>
      </c>
      <c r="U75" s="60">
        <v>-17.706352849999998</v>
      </c>
      <c r="V75" s="283"/>
      <c r="W75" s="60">
        <f t="shared" si="1"/>
        <v>98.978073072870615</v>
      </c>
      <c r="X75" s="59">
        <v>36.678110499999995</v>
      </c>
      <c r="Y75" s="60">
        <v>4.435302714162499</v>
      </c>
      <c r="Z75" s="60">
        <v>7.1806495537081254</v>
      </c>
      <c r="AA75" s="60">
        <v>17.280449999999998</v>
      </c>
      <c r="AB75" s="60">
        <v>32.015930300000001</v>
      </c>
      <c r="AC75" s="60">
        <v>1.3876300050000001</v>
      </c>
      <c r="AD75" s="60">
        <v>-17.706352849999998</v>
      </c>
      <c r="AE75" s="283"/>
      <c r="AF75" s="59">
        <v>36.678110499999995</v>
      </c>
      <c r="AG75" s="60">
        <v>4.435302714162499</v>
      </c>
      <c r="AH75" s="60">
        <v>7.1806495537081254</v>
      </c>
      <c r="AI75" s="60">
        <v>82.698352555</v>
      </c>
      <c r="AJ75" s="60">
        <v>32.015930300000001</v>
      </c>
      <c r="AK75" s="60">
        <v>1.3876300050000001</v>
      </c>
      <c r="AL75" s="60">
        <v>-17.706352849999998</v>
      </c>
      <c r="AM75" s="286"/>
      <c r="AO75" s="49"/>
      <c r="AQ75" s="49"/>
      <c r="AS75" s="50"/>
      <c r="AT75" s="50"/>
      <c r="AU75" s="50"/>
      <c r="AV75" s="50"/>
      <c r="AW75" s="50"/>
      <c r="AX75" s="50"/>
    </row>
    <row r="76" spans="1:50" ht="15" customHeight="1" x14ac:dyDescent="0.3">
      <c r="A76" s="61" t="s">
        <v>202</v>
      </c>
      <c r="B76" s="62" t="s">
        <v>286</v>
      </c>
      <c r="C76" s="53" t="s">
        <v>203</v>
      </c>
      <c r="D76" s="54" t="s">
        <v>0</v>
      </c>
      <c r="E76" s="55">
        <v>0.6398571428571429</v>
      </c>
      <c r="F76" s="56">
        <v>110.89347066666669</v>
      </c>
      <c r="G76" s="57">
        <v>34.196500486666665</v>
      </c>
      <c r="H76" s="58">
        <v>6.8052828213127396</v>
      </c>
      <c r="I76" s="58">
        <v>7.7997482510656369</v>
      </c>
      <c r="J76" s="58">
        <v>0</v>
      </c>
      <c r="K76" s="58">
        <v>38.855889633333334</v>
      </c>
      <c r="L76" s="58">
        <v>1.308558605</v>
      </c>
      <c r="M76" s="58">
        <v>-21.928401396666665</v>
      </c>
      <c r="N76" s="283"/>
      <c r="O76" s="59">
        <v>34.196500486666665</v>
      </c>
      <c r="P76" s="60">
        <v>6.8052828213127396</v>
      </c>
      <c r="Q76" s="60">
        <v>7.7997482510656369</v>
      </c>
      <c r="R76" s="60">
        <v>0</v>
      </c>
      <c r="S76" s="60">
        <v>38.855889633333334</v>
      </c>
      <c r="T76" s="60">
        <v>1.308558605</v>
      </c>
      <c r="U76" s="60">
        <v>-21.928401396666665</v>
      </c>
      <c r="V76" s="283"/>
      <c r="W76" s="60">
        <f t="shared" si="1"/>
        <v>88.965979797378367</v>
      </c>
      <c r="X76" s="59">
        <v>34.196500486666665</v>
      </c>
      <c r="Y76" s="60">
        <v>6.8052828213127396</v>
      </c>
      <c r="Z76" s="60">
        <v>7.7997482510656369</v>
      </c>
      <c r="AA76" s="60">
        <v>0</v>
      </c>
      <c r="AB76" s="60">
        <v>38.855889633333334</v>
      </c>
      <c r="AC76" s="60">
        <v>1.308558605</v>
      </c>
      <c r="AD76" s="60">
        <v>-21.928401396666665</v>
      </c>
      <c r="AE76" s="283"/>
      <c r="AF76" s="59">
        <v>34.196500486666665</v>
      </c>
      <c r="AG76" s="60">
        <v>6.8052828213127396</v>
      </c>
      <c r="AH76" s="60">
        <v>7.7997482510656369</v>
      </c>
      <c r="AI76" s="60">
        <v>69.147282474999997</v>
      </c>
      <c r="AJ76" s="60">
        <v>38.855889633333334</v>
      </c>
      <c r="AK76" s="60">
        <v>1.308558605</v>
      </c>
      <c r="AL76" s="60">
        <v>-21.928401396666665</v>
      </c>
      <c r="AM76" s="286"/>
      <c r="AO76" s="49"/>
      <c r="AQ76" s="49"/>
      <c r="AS76" s="50"/>
      <c r="AT76" s="50"/>
      <c r="AU76" s="50"/>
      <c r="AV76" s="50"/>
      <c r="AW76" s="50"/>
      <c r="AX76" s="50"/>
    </row>
    <row r="77" spans="1:50" ht="15" customHeight="1" x14ac:dyDescent="0.3">
      <c r="A77" s="61" t="s">
        <v>204</v>
      </c>
      <c r="B77" s="62" t="s">
        <v>286</v>
      </c>
      <c r="C77" s="53" t="s">
        <v>205</v>
      </c>
      <c r="D77" s="54" t="s">
        <v>0</v>
      </c>
      <c r="E77" s="55">
        <v>0.63619999999999988</v>
      </c>
      <c r="F77" s="56">
        <v>71.133470666666682</v>
      </c>
      <c r="G77" s="57">
        <v>38.946259166666664</v>
      </c>
      <c r="H77" s="58">
        <v>4.5469148213127388</v>
      </c>
      <c r="I77" s="58">
        <v>7.9758691660656371</v>
      </c>
      <c r="J77" s="58">
        <v>0</v>
      </c>
      <c r="K77" s="58">
        <v>38.855889633333334</v>
      </c>
      <c r="L77" s="58">
        <v>0.57837707499999991</v>
      </c>
      <c r="M77" s="58">
        <v>-23.617089516666667</v>
      </c>
      <c r="N77" s="283"/>
      <c r="O77" s="59">
        <v>38.946259166666664</v>
      </c>
      <c r="P77" s="60">
        <v>4.5469148213127388</v>
      </c>
      <c r="Q77" s="60">
        <v>7.9758691660656371</v>
      </c>
      <c r="R77" s="60">
        <v>0</v>
      </c>
      <c r="S77" s="60">
        <v>38.855889633333334</v>
      </c>
      <c r="T77" s="60">
        <v>0.57837707499999991</v>
      </c>
      <c r="U77" s="60">
        <v>-23.617089516666667</v>
      </c>
      <c r="V77" s="283"/>
      <c r="W77" s="60">
        <f t="shared" si="1"/>
        <v>107.29249193237838</v>
      </c>
      <c r="X77" s="59">
        <v>38.946259166666664</v>
      </c>
      <c r="Y77" s="60">
        <v>4.5469148213127388</v>
      </c>
      <c r="Z77" s="60">
        <v>7.9758691660656371</v>
      </c>
      <c r="AA77" s="60">
        <v>16.38918207</v>
      </c>
      <c r="AB77" s="60">
        <v>38.855889633333334</v>
      </c>
      <c r="AC77" s="60">
        <v>0.57837707499999991</v>
      </c>
      <c r="AD77" s="60">
        <v>-23.617089516666667</v>
      </c>
      <c r="AE77" s="283"/>
      <c r="AF77" s="59">
        <v>38.946259166666664</v>
      </c>
      <c r="AG77" s="60">
        <v>4.5469148213127388</v>
      </c>
      <c r="AH77" s="60">
        <v>7.9758691660656371</v>
      </c>
      <c r="AI77" s="60">
        <v>73.166859625000001</v>
      </c>
      <c r="AJ77" s="60">
        <v>38.855889633333334</v>
      </c>
      <c r="AK77" s="60">
        <v>0.57837707499999991</v>
      </c>
      <c r="AL77" s="60">
        <v>-23.617089516666667</v>
      </c>
      <c r="AM77" s="286"/>
      <c r="AO77" s="49"/>
      <c r="AQ77" s="49"/>
      <c r="AS77" s="50"/>
      <c r="AT77" s="50"/>
      <c r="AU77" s="50"/>
      <c r="AV77" s="50"/>
      <c r="AW77" s="50"/>
      <c r="AX77" s="50"/>
    </row>
    <row r="78" spans="1:50" ht="15" customHeight="1" x14ac:dyDescent="0.3">
      <c r="A78" s="61" t="s">
        <v>206</v>
      </c>
      <c r="B78" s="62" t="s">
        <v>286</v>
      </c>
      <c r="C78" s="53" t="s">
        <v>207</v>
      </c>
      <c r="D78" s="54" t="s">
        <v>0</v>
      </c>
      <c r="E78" s="55">
        <v>0.62819999999999998</v>
      </c>
      <c r="F78" s="56">
        <v>78.413470666666683</v>
      </c>
      <c r="G78" s="57">
        <v>29.550759166666662</v>
      </c>
      <c r="H78" s="58">
        <v>4.9604188213127385</v>
      </c>
      <c r="I78" s="58">
        <v>7.0971085590656378</v>
      </c>
      <c r="J78" s="58">
        <v>0</v>
      </c>
      <c r="K78" s="58">
        <v>38.855889633333334</v>
      </c>
      <c r="L78" s="58">
        <v>0.77276700499999995</v>
      </c>
      <c r="M78" s="58">
        <v>-21.806469516666667</v>
      </c>
      <c r="N78" s="283"/>
      <c r="O78" s="59">
        <v>29.550759166666662</v>
      </c>
      <c r="P78" s="60">
        <v>4.9604188213127385</v>
      </c>
      <c r="Q78" s="60">
        <v>7.0971085590656378</v>
      </c>
      <c r="R78" s="60">
        <v>0</v>
      </c>
      <c r="S78" s="60">
        <v>38.855889633333334</v>
      </c>
      <c r="T78" s="60">
        <v>0.77276700499999995</v>
      </c>
      <c r="U78" s="60">
        <v>-21.806469516666667</v>
      </c>
      <c r="V78" s="283"/>
      <c r="W78" s="60">
        <f t="shared" si="1"/>
        <v>81.236943185378379</v>
      </c>
      <c r="X78" s="59">
        <v>29.550759166666662</v>
      </c>
      <c r="Y78" s="60">
        <v>4.9604188213127385</v>
      </c>
      <c r="Z78" s="60">
        <v>7.0971085590656378</v>
      </c>
      <c r="AA78" s="60">
        <v>0</v>
      </c>
      <c r="AB78" s="60">
        <v>38.855889633333334</v>
      </c>
      <c r="AC78" s="60">
        <v>0.77276700499999995</v>
      </c>
      <c r="AD78" s="60">
        <v>-21.806469516666667</v>
      </c>
      <c r="AE78" s="283"/>
      <c r="AF78" s="59">
        <v>29.550759166666662</v>
      </c>
      <c r="AG78" s="60">
        <v>4.9604188213127385</v>
      </c>
      <c r="AH78" s="60">
        <v>7.0971085590656378</v>
      </c>
      <c r="AI78" s="60">
        <v>63.965749554999988</v>
      </c>
      <c r="AJ78" s="60">
        <v>38.855889633333334</v>
      </c>
      <c r="AK78" s="60">
        <v>0.77276700499999995</v>
      </c>
      <c r="AL78" s="60">
        <v>-21.806469516666667</v>
      </c>
      <c r="AM78" s="286"/>
      <c r="AO78" s="49"/>
      <c r="AQ78" s="49"/>
      <c r="AS78" s="50"/>
      <c r="AT78" s="50"/>
      <c r="AU78" s="50"/>
      <c r="AV78" s="50"/>
      <c r="AW78" s="50"/>
      <c r="AX78" s="50"/>
    </row>
    <row r="79" spans="1:50" ht="15" customHeight="1" x14ac:dyDescent="0.3">
      <c r="A79" s="61" t="s">
        <v>208</v>
      </c>
      <c r="B79" s="62" t="s">
        <v>286</v>
      </c>
      <c r="C79" s="53" t="s">
        <v>209</v>
      </c>
      <c r="D79" s="54" t="s">
        <v>0</v>
      </c>
      <c r="E79" s="55">
        <v>0.62919999999999998</v>
      </c>
      <c r="F79" s="56">
        <v>95.413470666666683</v>
      </c>
      <c r="G79" s="57">
        <v>37.596359166666666</v>
      </c>
      <c r="H79" s="58">
        <v>5.9260188213127387</v>
      </c>
      <c r="I79" s="58">
        <v>7.9988987590656375</v>
      </c>
      <c r="J79" s="58">
        <v>0</v>
      </c>
      <c r="K79" s="58">
        <v>39.057663633333334</v>
      </c>
      <c r="L79" s="58">
        <v>0.57769500499999993</v>
      </c>
      <c r="M79" s="58">
        <v>-21.868088916666665</v>
      </c>
      <c r="N79" s="283"/>
      <c r="O79" s="59">
        <v>37.596359166666666</v>
      </c>
      <c r="P79" s="60">
        <v>5.9260188213127387</v>
      </c>
      <c r="Q79" s="60">
        <v>7.9988987590656375</v>
      </c>
      <c r="R79" s="60">
        <v>0</v>
      </c>
      <c r="S79" s="60">
        <v>39.057663633333334</v>
      </c>
      <c r="T79" s="60">
        <v>0.57769500499999993</v>
      </c>
      <c r="U79" s="60">
        <v>-21.868088916666665</v>
      </c>
      <c r="V79" s="283"/>
      <c r="W79" s="60">
        <f t="shared" si="1"/>
        <v>91.15663538537838</v>
      </c>
      <c r="X79" s="59">
        <v>37.596359166666666</v>
      </c>
      <c r="Y79" s="60">
        <v>5.9260188213127387</v>
      </c>
      <c r="Z79" s="60">
        <v>7.9988987590656375</v>
      </c>
      <c r="AA79" s="60">
        <v>0</v>
      </c>
      <c r="AB79" s="60">
        <v>39.057663633333334</v>
      </c>
      <c r="AC79" s="60">
        <v>0.57769500499999993</v>
      </c>
      <c r="AD79" s="60">
        <v>-21.868088916666665</v>
      </c>
      <c r="AE79" s="283"/>
      <c r="AF79" s="59">
        <v>37.596359166666666</v>
      </c>
      <c r="AG79" s="60">
        <v>5.9260188213127387</v>
      </c>
      <c r="AH79" s="60">
        <v>7.9988987590656375</v>
      </c>
      <c r="AI79" s="60">
        <v>56.77767755499999</v>
      </c>
      <c r="AJ79" s="60">
        <v>39.057663633333334</v>
      </c>
      <c r="AK79" s="60">
        <v>0.57769500499999993</v>
      </c>
      <c r="AL79" s="60">
        <v>-21.868088916666665</v>
      </c>
      <c r="AM79" s="286"/>
      <c r="AO79" s="49"/>
      <c r="AQ79" s="49"/>
      <c r="AS79" s="50"/>
      <c r="AT79" s="50"/>
      <c r="AU79" s="50"/>
      <c r="AV79" s="50"/>
      <c r="AW79" s="50"/>
      <c r="AX79" s="50"/>
    </row>
    <row r="80" spans="1:50" ht="15" customHeight="1" x14ac:dyDescent="0.3">
      <c r="A80" s="61" t="s">
        <v>210</v>
      </c>
      <c r="B80" s="62" t="s">
        <v>286</v>
      </c>
      <c r="C80" s="53" t="s">
        <v>211</v>
      </c>
      <c r="D80" s="54" t="s">
        <v>0</v>
      </c>
      <c r="E80" s="55">
        <v>0.61899999999999999</v>
      </c>
      <c r="F80" s="56">
        <v>83.367470666666676</v>
      </c>
      <c r="G80" s="57">
        <v>19.763159166666664</v>
      </c>
      <c r="H80" s="58">
        <v>5.4137939774527384</v>
      </c>
      <c r="I80" s="58">
        <v>7.649478889192638</v>
      </c>
      <c r="J80" s="58">
        <v>0</v>
      </c>
      <c r="K80" s="58">
        <v>54.985639633333328</v>
      </c>
      <c r="L80" s="58">
        <v>0.58162372819999997</v>
      </c>
      <c r="M80" s="58">
        <v>-41.904390716666668</v>
      </c>
      <c r="N80" s="283"/>
      <c r="O80" s="59">
        <v>19.763159166666664</v>
      </c>
      <c r="P80" s="60">
        <v>5.4137939774527384</v>
      </c>
      <c r="Q80" s="60">
        <v>7.649478889192638</v>
      </c>
      <c r="R80" s="60">
        <v>0</v>
      </c>
      <c r="S80" s="60">
        <v>54.985639633333328</v>
      </c>
      <c r="T80" s="60">
        <v>0.58162372819999997</v>
      </c>
      <c r="U80" s="60">
        <v>-41.904390716666668</v>
      </c>
      <c r="V80" s="283"/>
      <c r="W80" s="60">
        <f t="shared" si="1"/>
        <v>88.393695394845366</v>
      </c>
      <c r="X80" s="59">
        <v>19.763159166666664</v>
      </c>
      <c r="Y80" s="60">
        <v>5.4137939774527384</v>
      </c>
      <c r="Z80" s="60">
        <v>7.649478889192638</v>
      </c>
      <c r="AA80" s="60">
        <v>0</v>
      </c>
      <c r="AB80" s="60">
        <v>54.985639633333328</v>
      </c>
      <c r="AC80" s="60">
        <v>0.58162372819999997</v>
      </c>
      <c r="AD80" s="60">
        <v>-41.904390716666668</v>
      </c>
      <c r="AE80" s="283"/>
      <c r="AF80" s="59">
        <v>19.763159166666664</v>
      </c>
      <c r="AG80" s="60">
        <v>5.4137939774527384</v>
      </c>
      <c r="AH80" s="60">
        <v>7.649478889192638</v>
      </c>
      <c r="AI80" s="60">
        <v>68.820006278199997</v>
      </c>
      <c r="AJ80" s="60">
        <v>54.985639633333328</v>
      </c>
      <c r="AK80" s="60">
        <v>0.58162372819999997</v>
      </c>
      <c r="AL80" s="60">
        <v>-41.904390716666668</v>
      </c>
      <c r="AM80" s="286"/>
      <c r="AO80" s="49"/>
      <c r="AQ80" s="49"/>
      <c r="AS80" s="50"/>
      <c r="AT80" s="50"/>
      <c r="AU80" s="50"/>
      <c r="AV80" s="50"/>
      <c r="AW80" s="50"/>
      <c r="AX80" s="50"/>
    </row>
    <row r="81" spans="1:50" ht="15" customHeight="1" x14ac:dyDescent="0.3">
      <c r="A81" s="61" t="s">
        <v>212</v>
      </c>
      <c r="B81" s="62" t="s">
        <v>286</v>
      </c>
      <c r="C81" s="53" t="s">
        <v>213</v>
      </c>
      <c r="D81" s="54" t="s">
        <v>0</v>
      </c>
      <c r="E81" s="55">
        <v>0.46520000000000006</v>
      </c>
      <c r="F81" s="56">
        <v>71.733062500000003</v>
      </c>
      <c r="G81" s="57">
        <v>-36.262468025000004</v>
      </c>
      <c r="H81" s="58">
        <v>5.0479495895399999</v>
      </c>
      <c r="I81" s="58">
        <v>3.6316802084019999</v>
      </c>
      <c r="J81" s="58">
        <v>0</v>
      </c>
      <c r="K81" s="58">
        <v>74.675734168000005</v>
      </c>
      <c r="L81" s="58">
        <v>0.97622477125000007</v>
      </c>
      <c r="M81" s="58">
        <v>-27.88325098</v>
      </c>
      <c r="N81" s="283"/>
      <c r="O81" s="59">
        <v>-36.262468025000004</v>
      </c>
      <c r="P81" s="60">
        <v>5.0479495895399999</v>
      </c>
      <c r="Q81" s="60">
        <v>3.6316802084019999</v>
      </c>
      <c r="R81" s="60">
        <v>0</v>
      </c>
      <c r="S81" s="60">
        <v>74.675734168000005</v>
      </c>
      <c r="T81" s="60">
        <v>0.97622477125000007</v>
      </c>
      <c r="U81" s="60">
        <v>-27.88325098</v>
      </c>
      <c r="V81" s="283"/>
      <c r="W81" s="60">
        <f t="shared" si="1"/>
        <v>74.036842712191998</v>
      </c>
      <c r="X81" s="59">
        <v>-36.262468025000004</v>
      </c>
      <c r="Y81" s="60">
        <v>5.0479495895399999</v>
      </c>
      <c r="Z81" s="60">
        <v>3.6316802084019999</v>
      </c>
      <c r="AA81" s="60">
        <v>25.967721999999998</v>
      </c>
      <c r="AB81" s="60">
        <v>74.675734168000005</v>
      </c>
      <c r="AC81" s="60">
        <v>0.97622477125000007</v>
      </c>
      <c r="AD81" s="60">
        <v>-27.88325098</v>
      </c>
      <c r="AE81" s="283"/>
      <c r="AF81" s="59">
        <v>-36.262468025000004</v>
      </c>
      <c r="AG81" s="60">
        <v>5.0479495895399999</v>
      </c>
      <c r="AH81" s="60">
        <v>3.6316802084019999</v>
      </c>
      <c r="AI81" s="60">
        <v>52.023328914250001</v>
      </c>
      <c r="AJ81" s="60">
        <v>74.675734168000005</v>
      </c>
      <c r="AK81" s="60">
        <v>0.97622477125000007</v>
      </c>
      <c r="AL81" s="60">
        <v>-27.88325098</v>
      </c>
      <c r="AM81" s="286"/>
      <c r="AO81" s="49"/>
      <c r="AQ81" s="49"/>
      <c r="AS81" s="50"/>
      <c r="AT81" s="50"/>
      <c r="AU81" s="50"/>
      <c r="AV81" s="50"/>
      <c r="AW81" s="50"/>
      <c r="AX81" s="50"/>
    </row>
    <row r="82" spans="1:50" ht="15" customHeight="1" x14ac:dyDescent="0.3">
      <c r="A82" s="61" t="s">
        <v>214</v>
      </c>
      <c r="B82" s="62" t="s">
        <v>286</v>
      </c>
      <c r="C82" s="53" t="s">
        <v>215</v>
      </c>
      <c r="D82" s="54" t="s">
        <v>0</v>
      </c>
      <c r="E82" s="55">
        <v>0.54520000000000002</v>
      </c>
      <c r="F82" s="56">
        <v>111.69403316666669</v>
      </c>
      <c r="G82" s="57">
        <v>-34.504419358333337</v>
      </c>
      <c r="H82" s="58">
        <v>7.3906656966902391</v>
      </c>
      <c r="I82" s="58">
        <v>4.6291980137595115</v>
      </c>
      <c r="J82" s="58">
        <v>0</v>
      </c>
      <c r="K82" s="58">
        <v>81.818353501333334</v>
      </c>
      <c r="L82" s="58">
        <v>0.16628977125</v>
      </c>
      <c r="M82" s="58">
        <v>-32.075796846666663</v>
      </c>
      <c r="N82" s="283"/>
      <c r="O82" s="59">
        <v>-34.504419358333337</v>
      </c>
      <c r="P82" s="60">
        <v>7.3906656966902391</v>
      </c>
      <c r="Q82" s="60">
        <v>4.6291980137595115</v>
      </c>
      <c r="R82" s="60">
        <v>0</v>
      </c>
      <c r="S82" s="60">
        <v>81.818353501333334</v>
      </c>
      <c r="T82" s="60">
        <v>0.16628977125</v>
      </c>
      <c r="U82" s="60">
        <v>-32.075796846666663</v>
      </c>
      <c r="V82" s="283"/>
      <c r="W82" s="60">
        <f t="shared" si="1"/>
        <v>68.187359624699752</v>
      </c>
      <c r="X82" s="59">
        <v>-34.504419358333337</v>
      </c>
      <c r="Y82" s="60">
        <v>7.3906656966902391</v>
      </c>
      <c r="Z82" s="60">
        <v>4.6291980137595115</v>
      </c>
      <c r="AA82" s="60">
        <v>8.6872720000000001</v>
      </c>
      <c r="AB82" s="60">
        <v>81.818353501333334</v>
      </c>
      <c r="AC82" s="60">
        <v>0.16628977125</v>
      </c>
      <c r="AD82" s="60">
        <v>-32.075796846666663</v>
      </c>
      <c r="AE82" s="283"/>
      <c r="AF82" s="59">
        <v>-34.504419358333337</v>
      </c>
      <c r="AG82" s="60">
        <v>7.3906656966902391</v>
      </c>
      <c r="AH82" s="60">
        <v>4.6291980137595115</v>
      </c>
      <c r="AI82" s="60">
        <v>42.283713914250001</v>
      </c>
      <c r="AJ82" s="60">
        <v>81.818353501333334</v>
      </c>
      <c r="AK82" s="60">
        <v>0.16628977125</v>
      </c>
      <c r="AL82" s="60">
        <v>-32.075796846666663</v>
      </c>
      <c r="AM82" s="286"/>
      <c r="AO82" s="49"/>
      <c r="AQ82" s="49"/>
      <c r="AS82" s="50"/>
      <c r="AT82" s="50"/>
      <c r="AU82" s="50"/>
      <c r="AV82" s="50"/>
      <c r="AW82" s="50"/>
      <c r="AX82" s="50"/>
    </row>
    <row r="83" spans="1:50" ht="15" customHeight="1" x14ac:dyDescent="0.3">
      <c r="A83" s="61" t="s">
        <v>216</v>
      </c>
      <c r="B83" s="62" t="s">
        <v>286</v>
      </c>
      <c r="C83" s="64" t="s">
        <v>217</v>
      </c>
      <c r="D83" s="65" t="s">
        <v>0</v>
      </c>
      <c r="E83" s="58">
        <v>0.53820000000000001</v>
      </c>
      <c r="F83" s="66">
        <v>72.414033166666655</v>
      </c>
      <c r="G83" s="57">
        <v>-33.994319358333335</v>
      </c>
      <c r="H83" s="58">
        <v>5.1595616966902398</v>
      </c>
      <c r="I83" s="58">
        <v>4.4268998207595125</v>
      </c>
      <c r="J83" s="58">
        <v>0</v>
      </c>
      <c r="K83" s="58">
        <v>81.515693501333331</v>
      </c>
      <c r="L83" s="58">
        <v>0.16697184125</v>
      </c>
      <c r="M83" s="67">
        <v>-33.793987646666665</v>
      </c>
      <c r="N83" s="283"/>
      <c r="O83" s="68">
        <v>-33.994319358333335</v>
      </c>
      <c r="P83" s="60">
        <v>5.1595616966902398</v>
      </c>
      <c r="Q83" s="60">
        <v>4.4268998207595125</v>
      </c>
      <c r="R83" s="60">
        <v>0</v>
      </c>
      <c r="S83" s="60">
        <v>81.515693501333331</v>
      </c>
      <c r="T83" s="60">
        <v>0.16697184125</v>
      </c>
      <c r="U83" s="69">
        <v>-33.793987646666665</v>
      </c>
      <c r="V83" s="283"/>
      <c r="W83" s="60">
        <f t="shared" si="1"/>
        <v>82.351261571699752</v>
      </c>
      <c r="X83" s="68">
        <v>-33.994319358333335</v>
      </c>
      <c r="Y83" s="60">
        <v>5.1595616966902398</v>
      </c>
      <c r="Z83" s="60">
        <v>4.4268998207595125</v>
      </c>
      <c r="AA83" s="60">
        <v>25.07645407</v>
      </c>
      <c r="AB83" s="60">
        <v>81.515693501333331</v>
      </c>
      <c r="AC83" s="60">
        <v>0.16697184125</v>
      </c>
      <c r="AD83" s="69">
        <v>-33.793987646666665</v>
      </c>
      <c r="AE83" s="283"/>
      <c r="AF83" s="68">
        <v>-33.994319358333335</v>
      </c>
      <c r="AG83" s="60">
        <v>5.1595616966902398</v>
      </c>
      <c r="AH83" s="60">
        <v>4.4268998207595125</v>
      </c>
      <c r="AI83" s="60">
        <v>42.491835984250002</v>
      </c>
      <c r="AJ83" s="60">
        <v>81.515693501333331</v>
      </c>
      <c r="AK83" s="60">
        <v>0.16697184125</v>
      </c>
      <c r="AL83" s="69">
        <v>-33.793987646666665</v>
      </c>
      <c r="AM83" s="286"/>
      <c r="AO83" s="49"/>
      <c r="AQ83" s="49"/>
      <c r="AS83" s="50"/>
      <c r="AT83" s="50"/>
      <c r="AU83" s="50"/>
      <c r="AV83" s="50"/>
      <c r="AW83" s="50"/>
      <c r="AX83" s="50"/>
    </row>
    <row r="84" spans="1:50" ht="15" customHeight="1" x14ac:dyDescent="0.3">
      <c r="A84" s="61" t="s">
        <v>218</v>
      </c>
      <c r="B84" s="62" t="s">
        <v>286</v>
      </c>
      <c r="C84" s="64" t="s">
        <v>219</v>
      </c>
      <c r="D84" s="65" t="s">
        <v>0</v>
      </c>
      <c r="E84" s="58">
        <v>0.5302</v>
      </c>
      <c r="F84" s="66">
        <v>79.694033166666657</v>
      </c>
      <c r="G84" s="57">
        <v>-43.389819358333334</v>
      </c>
      <c r="H84" s="58">
        <v>5.5730656966902394</v>
      </c>
      <c r="I84" s="58">
        <v>3.5481392137595122</v>
      </c>
      <c r="J84" s="58">
        <v>0</v>
      </c>
      <c r="K84" s="58">
        <v>81.515693501333331</v>
      </c>
      <c r="L84" s="58">
        <v>0.36136177125000002</v>
      </c>
      <c r="M84" s="67">
        <v>-31.983367646666668</v>
      </c>
      <c r="N84" s="283"/>
      <c r="O84" s="68">
        <v>-43.389819358333334</v>
      </c>
      <c r="P84" s="60">
        <v>5.5730656966902394</v>
      </c>
      <c r="Q84" s="60">
        <v>3.5481392137595122</v>
      </c>
      <c r="R84" s="60">
        <v>0</v>
      </c>
      <c r="S84" s="60">
        <v>81.515693501333331</v>
      </c>
      <c r="T84" s="60">
        <v>0.36136177125000002</v>
      </c>
      <c r="U84" s="69">
        <v>-31.983367646666668</v>
      </c>
      <c r="V84" s="283"/>
      <c r="W84" s="60">
        <f t="shared" si="1"/>
        <v>56.295712824699756</v>
      </c>
      <c r="X84" s="68">
        <v>-43.389819358333334</v>
      </c>
      <c r="Y84" s="60">
        <v>5.5730656966902394</v>
      </c>
      <c r="Z84" s="60">
        <v>3.5481392137595122</v>
      </c>
      <c r="AA84" s="60">
        <v>8.6872720000000001</v>
      </c>
      <c r="AB84" s="60">
        <v>81.515693501333331</v>
      </c>
      <c r="AC84" s="60">
        <v>0.36136177125000002</v>
      </c>
      <c r="AD84" s="69">
        <v>-31.983367646666668</v>
      </c>
      <c r="AE84" s="283"/>
      <c r="AF84" s="68">
        <v>-43.389819358333334</v>
      </c>
      <c r="AG84" s="60">
        <v>5.5730656966902394</v>
      </c>
      <c r="AH84" s="60">
        <v>3.5481392137595122</v>
      </c>
      <c r="AI84" s="60">
        <v>33.290725914249997</v>
      </c>
      <c r="AJ84" s="60">
        <v>81.515693501333331</v>
      </c>
      <c r="AK84" s="60">
        <v>0.36136177125000002</v>
      </c>
      <c r="AL84" s="69">
        <v>-31.983367646666668</v>
      </c>
      <c r="AM84" s="286"/>
    </row>
    <row r="85" spans="1:50" ht="15" customHeight="1" x14ac:dyDescent="0.3">
      <c r="A85" s="61" t="s">
        <v>220</v>
      </c>
      <c r="B85" s="62" t="s">
        <v>286</v>
      </c>
      <c r="C85" s="64" t="s">
        <v>221</v>
      </c>
      <c r="D85" s="65" t="s">
        <v>0</v>
      </c>
      <c r="E85" s="58">
        <v>0.53120000000000001</v>
      </c>
      <c r="F85" s="66">
        <v>96.694033166666685</v>
      </c>
      <c r="G85" s="57">
        <v>-35.344219358333334</v>
      </c>
      <c r="H85" s="58">
        <v>6.5386656966902397</v>
      </c>
      <c r="I85" s="58">
        <v>4.449929413759512</v>
      </c>
      <c r="J85" s="58">
        <v>0</v>
      </c>
      <c r="K85" s="58">
        <v>81.717467501333331</v>
      </c>
      <c r="L85" s="58">
        <v>0.16628977125</v>
      </c>
      <c r="M85" s="67">
        <v>-32.044987046666662</v>
      </c>
      <c r="N85" s="283"/>
      <c r="O85" s="68">
        <v>-35.344219358333334</v>
      </c>
      <c r="P85" s="60">
        <v>6.5386656966902397</v>
      </c>
      <c r="Q85" s="60">
        <v>4.449929413759512</v>
      </c>
      <c r="R85" s="60">
        <v>0</v>
      </c>
      <c r="S85" s="60">
        <v>81.717467501333331</v>
      </c>
      <c r="T85" s="60">
        <v>0.16628977125</v>
      </c>
      <c r="U85" s="69">
        <v>-32.044987046666662</v>
      </c>
      <c r="V85" s="283"/>
      <c r="W85" s="60">
        <f t="shared" si="1"/>
        <v>66.215405024699749</v>
      </c>
      <c r="X85" s="68">
        <v>-35.344219358333334</v>
      </c>
      <c r="Y85" s="60">
        <v>6.5386656966902397</v>
      </c>
      <c r="Z85" s="60">
        <v>4.449929413759512</v>
      </c>
      <c r="AA85" s="60">
        <v>8.6872720000000001</v>
      </c>
      <c r="AB85" s="60">
        <v>81.717467501333331</v>
      </c>
      <c r="AC85" s="60">
        <v>0.16628977125</v>
      </c>
      <c r="AD85" s="69">
        <v>-32.044987046666662</v>
      </c>
      <c r="AE85" s="283"/>
      <c r="AF85" s="68">
        <v>-35.344219358333334</v>
      </c>
      <c r="AG85" s="60">
        <v>6.5386656966902397</v>
      </c>
      <c r="AH85" s="60">
        <v>4.449929413759512</v>
      </c>
      <c r="AI85" s="60">
        <v>26.102653914249998</v>
      </c>
      <c r="AJ85" s="60">
        <v>81.717467501333331</v>
      </c>
      <c r="AK85" s="60">
        <v>0.16628977125</v>
      </c>
      <c r="AL85" s="69">
        <v>-32.044987046666662</v>
      </c>
      <c r="AM85" s="286"/>
    </row>
    <row r="86" spans="1:50" ht="15" customHeight="1" x14ac:dyDescent="0.3">
      <c r="A86" s="61" t="s">
        <v>222</v>
      </c>
      <c r="B86" s="62" t="s">
        <v>286</v>
      </c>
      <c r="C86" s="64" t="s">
        <v>223</v>
      </c>
      <c r="D86" s="65" t="s">
        <v>0</v>
      </c>
      <c r="E86" s="58">
        <v>0.52100000000000002</v>
      </c>
      <c r="F86" s="66">
        <v>84.648033166666664</v>
      </c>
      <c r="G86" s="57">
        <v>-53.177419358333339</v>
      </c>
      <c r="H86" s="58">
        <v>6.0264408528302393</v>
      </c>
      <c r="I86" s="58">
        <v>4.1005095438865125</v>
      </c>
      <c r="J86" s="58">
        <v>0</v>
      </c>
      <c r="K86" s="58">
        <v>97.645443501333332</v>
      </c>
      <c r="L86" s="58">
        <v>0.17021849445000001</v>
      </c>
      <c r="M86" s="67">
        <v>-52.081288846666659</v>
      </c>
      <c r="N86" s="283"/>
      <c r="O86" s="68">
        <v>-53.177419358333339</v>
      </c>
      <c r="P86" s="60">
        <v>6.0264408528302393</v>
      </c>
      <c r="Q86" s="60">
        <v>4.1005095438865125</v>
      </c>
      <c r="R86" s="60">
        <v>0</v>
      </c>
      <c r="S86" s="60">
        <v>97.645443501333332</v>
      </c>
      <c r="T86" s="60">
        <v>0.17021849445000001</v>
      </c>
      <c r="U86" s="69">
        <v>-52.081288846666659</v>
      </c>
      <c r="V86" s="283"/>
      <c r="W86" s="60">
        <f t="shared" si="1"/>
        <v>63.452465034166742</v>
      </c>
      <c r="X86" s="68">
        <v>-53.177419358333339</v>
      </c>
      <c r="Y86" s="60">
        <v>6.0264408528302393</v>
      </c>
      <c r="Z86" s="60">
        <v>4.1005095438865125</v>
      </c>
      <c r="AA86" s="60">
        <v>8.6872720000000001</v>
      </c>
      <c r="AB86" s="60">
        <v>97.645443501333332</v>
      </c>
      <c r="AC86" s="60">
        <v>0.17021849445000001</v>
      </c>
      <c r="AD86" s="69">
        <v>-52.081288846666659</v>
      </c>
      <c r="AE86" s="283"/>
      <c r="AF86" s="68">
        <v>-53.177419358333339</v>
      </c>
      <c r="AG86" s="60">
        <v>6.0264408528302393</v>
      </c>
      <c r="AH86" s="60">
        <v>4.1005095438865125</v>
      </c>
      <c r="AI86" s="60">
        <v>38.144982637449999</v>
      </c>
      <c r="AJ86" s="60">
        <v>97.645443501333332</v>
      </c>
      <c r="AK86" s="60">
        <v>0.17021849445000001</v>
      </c>
      <c r="AL86" s="69">
        <v>-52.081288846666659</v>
      </c>
      <c r="AM86" s="286"/>
    </row>
    <row r="87" spans="1:50" ht="15" customHeight="1" x14ac:dyDescent="0.3">
      <c r="A87" s="61" t="s">
        <v>13</v>
      </c>
      <c r="B87" s="63" t="s">
        <v>24</v>
      </c>
      <c r="C87" s="64" t="s">
        <v>30</v>
      </c>
      <c r="D87" s="65" t="s">
        <v>0</v>
      </c>
      <c r="E87" s="58">
        <v>4.5699999999999998E-2</v>
      </c>
      <c r="F87" s="66">
        <v>99.653999999999996</v>
      </c>
      <c r="G87" s="57">
        <v>16.286766</v>
      </c>
      <c r="H87" s="58">
        <v>0.75282720000000003</v>
      </c>
      <c r="I87" s="58">
        <v>1.2667795400000001</v>
      </c>
      <c r="J87" s="58">
        <v>0</v>
      </c>
      <c r="K87" s="58">
        <v>3.8065239999999996</v>
      </c>
      <c r="L87" s="58">
        <v>1.6250302000000001</v>
      </c>
      <c r="M87" s="67">
        <v>-0.63012180000000007</v>
      </c>
      <c r="N87" s="283"/>
      <c r="O87" s="68">
        <v>16.286766</v>
      </c>
      <c r="P87" s="60">
        <v>0.75282720000000003</v>
      </c>
      <c r="Q87" s="60">
        <v>1.2667795400000001</v>
      </c>
      <c r="R87" s="60">
        <v>0</v>
      </c>
      <c r="S87" s="60">
        <v>3.8065239999999996</v>
      </c>
      <c r="T87" s="60">
        <v>1.6250302000000001</v>
      </c>
      <c r="U87" s="69">
        <v>-0.63012180000000007</v>
      </c>
      <c r="V87" s="283"/>
      <c r="W87" s="60">
        <f t="shared" si="1"/>
        <v>24.076966940000002</v>
      </c>
      <c r="X87" s="68">
        <v>16.286766</v>
      </c>
      <c r="Y87" s="60">
        <v>0.75282720000000003</v>
      </c>
      <c r="Z87" s="60">
        <v>1.2667795400000001</v>
      </c>
      <c r="AA87" s="60">
        <v>0.33903999999999979</v>
      </c>
      <c r="AB87" s="60">
        <v>3.8065239999999996</v>
      </c>
      <c r="AC87" s="60">
        <v>1.6250302000000001</v>
      </c>
      <c r="AD87" s="69">
        <v>-0.63012180000000007</v>
      </c>
      <c r="AE87" s="283"/>
      <c r="AF87" s="68">
        <v>16.286766</v>
      </c>
      <c r="AG87" s="60">
        <v>0.75282720000000003</v>
      </c>
      <c r="AH87" s="60">
        <v>1.2667795400000001</v>
      </c>
      <c r="AI87" s="60">
        <v>0.33903999999999979</v>
      </c>
      <c r="AJ87" s="60">
        <v>3.8065239999999996</v>
      </c>
      <c r="AK87" s="60">
        <v>1.6250302000000001</v>
      </c>
      <c r="AL87" s="69">
        <v>-0.63012180000000007</v>
      </c>
      <c r="AM87" s="286"/>
    </row>
    <row r="88" spans="1:50" ht="15" customHeight="1" x14ac:dyDescent="0.3">
      <c r="A88" s="61" t="s">
        <v>8</v>
      </c>
      <c r="B88" s="63" t="s">
        <v>24</v>
      </c>
      <c r="C88" s="64" t="s">
        <v>27</v>
      </c>
      <c r="D88" s="65" t="s">
        <v>0</v>
      </c>
      <c r="E88" s="58">
        <v>6.7000000000000004E-2</v>
      </c>
      <c r="F88" s="66">
        <v>17.2516</v>
      </c>
      <c r="G88" s="57">
        <v>-13.560618</v>
      </c>
      <c r="H88" s="58">
        <v>1.1728604076959999</v>
      </c>
      <c r="I88" s="58">
        <v>0.87707981638479993</v>
      </c>
      <c r="J88" s="58">
        <v>0</v>
      </c>
      <c r="K88" s="58">
        <v>23.895978739999997</v>
      </c>
      <c r="L88" s="58">
        <v>5.4239219999999991E-2</v>
      </c>
      <c r="M88" s="67">
        <v>-7.0023480000000005</v>
      </c>
      <c r="N88" s="283"/>
      <c r="O88" s="68">
        <v>-13.560618</v>
      </c>
      <c r="P88" s="60">
        <v>1.1728604076959999</v>
      </c>
      <c r="Q88" s="60">
        <v>0.87707981638479993</v>
      </c>
      <c r="R88" s="60">
        <v>0</v>
      </c>
      <c r="S88" s="60">
        <v>23.895978739999997</v>
      </c>
      <c r="T88" s="60">
        <v>5.4239219999999991E-2</v>
      </c>
      <c r="U88" s="69">
        <v>-7.0023480000000005</v>
      </c>
      <c r="V88" s="283"/>
      <c r="W88" s="60">
        <f t="shared" si="1"/>
        <v>12.439540184080796</v>
      </c>
      <c r="X88" s="68">
        <v>-13.560618</v>
      </c>
      <c r="Y88" s="60">
        <v>1.1728604076959999</v>
      </c>
      <c r="Z88" s="60">
        <v>0.87707981638479993</v>
      </c>
      <c r="AA88" s="60">
        <v>0</v>
      </c>
      <c r="AB88" s="60">
        <v>23.895978739999997</v>
      </c>
      <c r="AC88" s="60">
        <v>5.4239219999999991E-2</v>
      </c>
      <c r="AD88" s="69">
        <v>-7.0023480000000005</v>
      </c>
      <c r="AE88" s="283"/>
      <c r="AF88" s="68">
        <v>-13.560618</v>
      </c>
      <c r="AG88" s="60">
        <v>1.1728604076959999</v>
      </c>
      <c r="AH88" s="60">
        <v>0.87707981638479993</v>
      </c>
      <c r="AI88" s="60">
        <v>4.6132399999999985</v>
      </c>
      <c r="AJ88" s="60">
        <v>23.895978739999997</v>
      </c>
      <c r="AK88" s="60">
        <v>5.4239219999999991E-2</v>
      </c>
      <c r="AL88" s="69">
        <v>-7.0023480000000005</v>
      </c>
      <c r="AM88" s="286"/>
    </row>
    <row r="89" spans="1:50" ht="15" customHeight="1" x14ac:dyDescent="0.3">
      <c r="A89" s="61" t="s">
        <v>17</v>
      </c>
      <c r="B89" s="63" t="s">
        <v>24</v>
      </c>
      <c r="C89" s="64" t="s">
        <v>463</v>
      </c>
      <c r="D89" s="65" t="s">
        <v>0</v>
      </c>
      <c r="E89" s="58">
        <v>5.3000000000000005E-2</v>
      </c>
      <c r="F89" s="66">
        <v>120.054</v>
      </c>
      <c r="G89" s="57">
        <v>22.183619999999998</v>
      </c>
      <c r="H89" s="58">
        <v>0.68466720000000003</v>
      </c>
      <c r="I89" s="58">
        <v>1.2593257200000001</v>
      </c>
      <c r="J89" s="58">
        <v>0</v>
      </c>
      <c r="K89" s="58">
        <v>0</v>
      </c>
      <c r="L89" s="58">
        <v>1.9791599999999998</v>
      </c>
      <c r="M89" s="67">
        <v>-9.3899999999999997E-2</v>
      </c>
      <c r="N89" s="283"/>
      <c r="O89" s="68">
        <v>22.183619999999998</v>
      </c>
      <c r="P89" s="60">
        <v>0.68466720000000003</v>
      </c>
      <c r="Q89" s="60">
        <v>1.2593257200000001</v>
      </c>
      <c r="R89" s="60">
        <v>0</v>
      </c>
      <c r="S89" s="60">
        <v>0</v>
      </c>
      <c r="T89" s="60">
        <v>1.9791599999999998</v>
      </c>
      <c r="U89" s="69">
        <v>-9.3899999999999997E-2</v>
      </c>
      <c r="V89" s="283"/>
      <c r="W89" s="60">
        <f t="shared" si="1"/>
        <v>26.106772919999997</v>
      </c>
      <c r="X89" s="68">
        <v>22.183619999999998</v>
      </c>
      <c r="Y89" s="60">
        <v>0.68466720000000003</v>
      </c>
      <c r="Z89" s="60">
        <v>1.2593257200000001</v>
      </c>
      <c r="AA89" s="60">
        <v>0</v>
      </c>
      <c r="AB89" s="60">
        <v>0</v>
      </c>
      <c r="AC89" s="60">
        <v>1.9791599999999998</v>
      </c>
      <c r="AD89" s="69">
        <v>-9.3899999999999997E-2</v>
      </c>
      <c r="AE89" s="283"/>
      <c r="AF89" s="68">
        <v>22.183619999999998</v>
      </c>
      <c r="AG89" s="60">
        <v>0.68466720000000003</v>
      </c>
      <c r="AH89" s="60">
        <v>1.2593257200000001</v>
      </c>
      <c r="AI89" s="60">
        <v>0</v>
      </c>
      <c r="AJ89" s="60">
        <v>0</v>
      </c>
      <c r="AK89" s="60">
        <v>1.9791599999999998</v>
      </c>
      <c r="AL89" s="69">
        <v>-9.3899999999999997E-2</v>
      </c>
      <c r="AM89" s="286"/>
    </row>
    <row r="90" spans="1:50" ht="15" customHeight="1" x14ac:dyDescent="0.3">
      <c r="A90" s="61" t="s">
        <v>9</v>
      </c>
      <c r="B90" s="63" t="s">
        <v>25</v>
      </c>
      <c r="C90" s="64" t="s">
        <v>28</v>
      </c>
      <c r="D90" s="65" t="s">
        <v>0</v>
      </c>
      <c r="E90" s="58">
        <v>0.16500000000000004</v>
      </c>
      <c r="F90" s="66">
        <v>21.518791666666665</v>
      </c>
      <c r="G90" s="57">
        <v>1.875605216666667</v>
      </c>
      <c r="H90" s="58">
        <v>1.25425286506</v>
      </c>
      <c r="I90" s="58">
        <v>0.70853429886300012</v>
      </c>
      <c r="J90" s="58">
        <v>0</v>
      </c>
      <c r="K90" s="58">
        <v>3.9895241003333335</v>
      </c>
      <c r="L90" s="58">
        <v>0.32325413909999995</v>
      </c>
      <c r="M90" s="67">
        <v>-2.3772458666666667</v>
      </c>
      <c r="N90" s="283"/>
      <c r="O90" s="68">
        <v>1.875605216666667</v>
      </c>
      <c r="P90" s="60">
        <v>1.25425286506</v>
      </c>
      <c r="Q90" s="60">
        <v>0.70853429886300012</v>
      </c>
      <c r="R90" s="60">
        <v>0</v>
      </c>
      <c r="S90" s="60">
        <v>3.9895241003333335</v>
      </c>
      <c r="T90" s="60">
        <v>0.32325413909999995</v>
      </c>
      <c r="U90" s="69">
        <v>-2.3772458666666667</v>
      </c>
      <c r="V90" s="283"/>
      <c r="W90" s="60">
        <f t="shared" si="1"/>
        <v>10.281935020023001</v>
      </c>
      <c r="X90" s="68">
        <v>1.875605216666667</v>
      </c>
      <c r="Y90" s="60">
        <v>1.25425286506</v>
      </c>
      <c r="Z90" s="60">
        <v>0.70853429886300012</v>
      </c>
      <c r="AA90" s="60">
        <v>2.1307644000000003</v>
      </c>
      <c r="AB90" s="60">
        <v>3.9895241003333335</v>
      </c>
      <c r="AC90" s="60">
        <v>0.32325413909999995</v>
      </c>
      <c r="AD90" s="69">
        <v>-2.3772458666666667</v>
      </c>
      <c r="AE90" s="283"/>
      <c r="AF90" s="68">
        <v>1.875605216666667</v>
      </c>
      <c r="AG90" s="60">
        <v>1.25425286506</v>
      </c>
      <c r="AH90" s="60">
        <v>0.70853429886300012</v>
      </c>
      <c r="AI90" s="60">
        <v>9.0294026561000003</v>
      </c>
      <c r="AJ90" s="60">
        <v>3.9895241003333335</v>
      </c>
      <c r="AK90" s="60">
        <v>0.32325413909999995</v>
      </c>
      <c r="AL90" s="69">
        <v>-2.3772458666666667</v>
      </c>
      <c r="AM90" s="286"/>
    </row>
    <row r="91" spans="1:50" ht="15" customHeight="1" x14ac:dyDescent="0.3">
      <c r="A91" s="61" t="s">
        <v>14</v>
      </c>
      <c r="B91" s="63" t="s">
        <v>25</v>
      </c>
      <c r="C91" s="64" t="s">
        <v>31</v>
      </c>
      <c r="D91" s="65" t="s">
        <v>0</v>
      </c>
      <c r="E91" s="58">
        <v>0</v>
      </c>
      <c r="F91" s="66">
        <v>6.83</v>
      </c>
      <c r="G91" s="57">
        <v>19.055700000000002</v>
      </c>
      <c r="H91" s="58">
        <v>0.38794399999999996</v>
      </c>
      <c r="I91" s="58">
        <v>1.9496986300000003</v>
      </c>
      <c r="J91" s="58">
        <v>0</v>
      </c>
      <c r="K91" s="58">
        <v>5.3342300000000002E-2</v>
      </c>
      <c r="L91" s="58">
        <v>0</v>
      </c>
      <c r="M91" s="67">
        <v>-11.132899999999999</v>
      </c>
      <c r="N91" s="283"/>
      <c r="O91" s="68">
        <v>19.055700000000002</v>
      </c>
      <c r="P91" s="60">
        <v>0.38794399999999996</v>
      </c>
      <c r="Q91" s="60">
        <v>1.9496986300000003</v>
      </c>
      <c r="R91" s="60">
        <v>0</v>
      </c>
      <c r="S91" s="60">
        <v>5.3342300000000002E-2</v>
      </c>
      <c r="T91" s="60">
        <v>0</v>
      </c>
      <c r="U91" s="69">
        <v>-11.132899999999999</v>
      </c>
      <c r="V91" s="283"/>
      <c r="W91" s="60">
        <f t="shared" si="1"/>
        <v>40.555727230000002</v>
      </c>
      <c r="X91" s="68">
        <v>19.055700000000002</v>
      </c>
      <c r="Y91" s="60">
        <v>0.38794399999999996</v>
      </c>
      <c r="Z91" s="60">
        <v>1.9496986300000003</v>
      </c>
      <c r="AA91" s="60">
        <v>19.109042300000002</v>
      </c>
      <c r="AB91" s="60">
        <v>5.3342300000000002E-2</v>
      </c>
      <c r="AC91" s="60">
        <v>0</v>
      </c>
      <c r="AD91" s="69">
        <v>-11.132899999999999</v>
      </c>
      <c r="AE91" s="283"/>
      <c r="AF91" s="68">
        <v>19.055700000000002</v>
      </c>
      <c r="AG91" s="60">
        <v>0.38794399999999996</v>
      </c>
      <c r="AH91" s="60">
        <v>1.9496986300000003</v>
      </c>
      <c r="AI91" s="60">
        <v>19.109042300000002</v>
      </c>
      <c r="AJ91" s="60">
        <v>5.3342300000000002E-2</v>
      </c>
      <c r="AK91" s="60">
        <v>0</v>
      </c>
      <c r="AL91" s="69">
        <v>-11.132899999999999</v>
      </c>
      <c r="AM91" s="286"/>
    </row>
    <row r="92" spans="1:50" ht="15" customHeight="1" x14ac:dyDescent="0.3">
      <c r="A92" s="61" t="s">
        <v>224</v>
      </c>
      <c r="B92" s="63" t="s">
        <v>225</v>
      </c>
      <c r="C92" s="64" t="s">
        <v>302</v>
      </c>
      <c r="D92" s="65" t="s">
        <v>53</v>
      </c>
      <c r="E92" s="58">
        <v>0</v>
      </c>
      <c r="F92" s="66">
        <v>1364.5833333333333</v>
      </c>
      <c r="G92" s="57">
        <v>217.24722222222223</v>
      </c>
      <c r="H92" s="58">
        <v>23.252499999999998</v>
      </c>
      <c r="I92" s="58">
        <v>12.509079861111111</v>
      </c>
      <c r="J92" s="58">
        <v>0</v>
      </c>
      <c r="K92" s="58">
        <v>9.6818749999999998</v>
      </c>
      <c r="L92" s="58">
        <v>0</v>
      </c>
      <c r="M92" s="67">
        <v>-2.7103333333333333</v>
      </c>
      <c r="N92" s="283"/>
      <c r="O92" s="68">
        <v>217.24722222222223</v>
      </c>
      <c r="P92" s="60">
        <v>23.252499999999998</v>
      </c>
      <c r="Q92" s="60">
        <v>12.509079861111111</v>
      </c>
      <c r="R92" s="60">
        <v>0</v>
      </c>
      <c r="S92" s="60">
        <v>9.6818749999999998</v>
      </c>
      <c r="T92" s="60">
        <v>0</v>
      </c>
      <c r="U92" s="69">
        <v>-2.7103333333333333</v>
      </c>
      <c r="V92" s="283"/>
      <c r="W92" s="60">
        <f t="shared" si="1"/>
        <v>262.69067708333336</v>
      </c>
      <c r="X92" s="68">
        <v>217.24722222222223</v>
      </c>
      <c r="Y92" s="60">
        <v>23.252499999999998</v>
      </c>
      <c r="Z92" s="60">
        <v>12.509079861111111</v>
      </c>
      <c r="AA92" s="60">
        <v>0</v>
      </c>
      <c r="AB92" s="60">
        <v>9.6818749999999998</v>
      </c>
      <c r="AC92" s="60">
        <v>0</v>
      </c>
      <c r="AD92" s="69">
        <v>-2.7103333333333333</v>
      </c>
      <c r="AE92" s="283"/>
      <c r="AF92" s="68">
        <v>217.24722222222223</v>
      </c>
      <c r="AG92" s="60">
        <v>23.252499999999998</v>
      </c>
      <c r="AH92" s="60">
        <v>12.509079861111111</v>
      </c>
      <c r="AI92" s="60">
        <v>0</v>
      </c>
      <c r="AJ92" s="60">
        <v>9.6818749999999998</v>
      </c>
      <c r="AK92" s="60">
        <v>0</v>
      </c>
      <c r="AL92" s="69">
        <v>-2.7103333333333333</v>
      </c>
      <c r="AM92" s="286"/>
    </row>
    <row r="93" spans="1:50" ht="15" customHeight="1" x14ac:dyDescent="0.3">
      <c r="A93" s="61" t="s">
        <v>226</v>
      </c>
      <c r="B93" s="63" t="s">
        <v>306</v>
      </c>
      <c r="C93" s="64" t="s">
        <v>303</v>
      </c>
      <c r="D93" s="65" t="s">
        <v>53</v>
      </c>
      <c r="E93" s="58">
        <v>0</v>
      </c>
      <c r="F93" s="66">
        <v>1475.5833333333333</v>
      </c>
      <c r="G93" s="57">
        <v>540.34355555555555</v>
      </c>
      <c r="H93" s="58">
        <v>29.557299999999998</v>
      </c>
      <c r="I93" s="58">
        <v>45.459032494444443</v>
      </c>
      <c r="J93" s="58">
        <v>0</v>
      </c>
      <c r="K93" s="58">
        <v>9.7802679999999995</v>
      </c>
      <c r="L93" s="58">
        <v>0</v>
      </c>
      <c r="M93" s="67">
        <v>-167.089</v>
      </c>
      <c r="N93" s="283"/>
      <c r="O93" s="68">
        <v>540.34355555555555</v>
      </c>
      <c r="P93" s="60">
        <v>29.557299999999998</v>
      </c>
      <c r="Q93" s="60">
        <v>45.459032494444443</v>
      </c>
      <c r="R93" s="60">
        <v>0</v>
      </c>
      <c r="S93" s="60">
        <v>9.7802679999999995</v>
      </c>
      <c r="T93" s="60">
        <v>0</v>
      </c>
      <c r="U93" s="69">
        <v>-167.089</v>
      </c>
      <c r="V93" s="283"/>
      <c r="W93" s="60">
        <f t="shared" si="1"/>
        <v>948.33488238333337</v>
      </c>
      <c r="X93" s="68">
        <v>540.34355555555555</v>
      </c>
      <c r="Y93" s="60">
        <v>29.557299999999998</v>
      </c>
      <c r="Z93" s="60">
        <v>45.459032494444443</v>
      </c>
      <c r="AA93" s="60">
        <v>323.19472633333328</v>
      </c>
      <c r="AB93" s="60">
        <v>9.7802679999999995</v>
      </c>
      <c r="AC93" s="60">
        <v>0</v>
      </c>
      <c r="AD93" s="69">
        <v>-167.089</v>
      </c>
      <c r="AE93" s="283"/>
      <c r="AF93" s="68">
        <v>540.34355555555555</v>
      </c>
      <c r="AG93" s="60">
        <v>29.557299999999998</v>
      </c>
      <c r="AH93" s="60">
        <v>45.459032494444443</v>
      </c>
      <c r="AI93" s="60">
        <v>969.58417899999984</v>
      </c>
      <c r="AJ93" s="60">
        <v>9.7802679999999995</v>
      </c>
      <c r="AK93" s="60">
        <v>0</v>
      </c>
      <c r="AL93" s="69">
        <v>-167.089</v>
      </c>
      <c r="AM93" s="286"/>
    </row>
    <row r="94" spans="1:50" ht="15" customHeight="1" x14ac:dyDescent="0.3">
      <c r="A94" s="61" t="s">
        <v>227</v>
      </c>
      <c r="B94" s="63" t="s">
        <v>305</v>
      </c>
      <c r="C94" s="64" t="s">
        <v>304</v>
      </c>
      <c r="D94" s="65" t="s">
        <v>228</v>
      </c>
      <c r="E94" s="58">
        <v>0</v>
      </c>
      <c r="F94" s="66">
        <v>1603</v>
      </c>
      <c r="G94" s="57">
        <v>5193</v>
      </c>
      <c r="H94" s="58">
        <v>91.050399999999996</v>
      </c>
      <c r="I94" s="58">
        <v>532.63268099999993</v>
      </c>
      <c r="J94" s="58">
        <v>0</v>
      </c>
      <c r="K94" s="58">
        <v>37.393700000000003</v>
      </c>
      <c r="L94" s="58">
        <v>4.8827100000000003</v>
      </c>
      <c r="M94" s="67">
        <v>-1579.64</v>
      </c>
      <c r="N94" s="283"/>
      <c r="O94" s="68">
        <v>5193</v>
      </c>
      <c r="P94" s="60">
        <v>91.050399999999996</v>
      </c>
      <c r="Q94" s="60">
        <v>532.63268099999993</v>
      </c>
      <c r="R94" s="60">
        <v>0</v>
      </c>
      <c r="S94" s="60">
        <v>37.393700000000003</v>
      </c>
      <c r="T94" s="60">
        <v>4.8827100000000003</v>
      </c>
      <c r="U94" s="69">
        <v>-1579.64</v>
      </c>
      <c r="V94" s="283"/>
      <c r="W94" s="60">
        <f t="shared" si="1"/>
        <v>11094.235901</v>
      </c>
      <c r="X94" s="68">
        <v>5193</v>
      </c>
      <c r="Y94" s="60">
        <v>91.050399999999996</v>
      </c>
      <c r="Z94" s="60">
        <v>532.63268099999993</v>
      </c>
      <c r="AA94" s="60">
        <v>5235.2764099999995</v>
      </c>
      <c r="AB94" s="60">
        <v>37.393700000000003</v>
      </c>
      <c r="AC94" s="60">
        <v>4.8827100000000003</v>
      </c>
      <c r="AD94" s="69">
        <v>-1579.64</v>
      </c>
      <c r="AE94" s="283"/>
      <c r="AF94" s="68">
        <v>5193</v>
      </c>
      <c r="AG94" s="60">
        <v>91.050399999999996</v>
      </c>
      <c r="AH94" s="60">
        <v>532.63268099999993</v>
      </c>
      <c r="AI94" s="60">
        <v>15705.829229999999</v>
      </c>
      <c r="AJ94" s="60">
        <v>37.393700000000003</v>
      </c>
      <c r="AK94" s="60">
        <v>4.8827100000000003</v>
      </c>
      <c r="AL94" s="69">
        <v>-1579.64</v>
      </c>
      <c r="AM94" s="286"/>
    </row>
    <row r="95" spans="1:50" ht="15" customHeight="1" x14ac:dyDescent="0.3">
      <c r="A95" s="61" t="s">
        <v>10</v>
      </c>
      <c r="B95" s="63" t="s">
        <v>26</v>
      </c>
      <c r="C95" s="64" t="s">
        <v>454</v>
      </c>
      <c r="D95" s="65" t="s">
        <v>0</v>
      </c>
      <c r="E95" s="58">
        <v>0</v>
      </c>
      <c r="F95" s="66">
        <v>0</v>
      </c>
      <c r="G95" s="57">
        <v>27.546500000000002</v>
      </c>
      <c r="H95" s="58">
        <v>0</v>
      </c>
      <c r="I95" s="58">
        <v>3.4</v>
      </c>
      <c r="J95" s="58">
        <v>0</v>
      </c>
      <c r="K95" s="58">
        <v>6.4365000000000006</v>
      </c>
      <c r="L95" s="58">
        <v>1.7000000000000001E-2</v>
      </c>
      <c r="M95" s="67">
        <v>-11.625999999999999</v>
      </c>
      <c r="N95" s="283"/>
      <c r="O95" s="68">
        <v>27.546500000000002</v>
      </c>
      <c r="P95" s="60">
        <v>0</v>
      </c>
      <c r="Q95" s="60">
        <v>3.4</v>
      </c>
      <c r="R95" s="60">
        <v>0</v>
      </c>
      <c r="S95" s="60">
        <v>6.4365000000000006</v>
      </c>
      <c r="T95" s="60">
        <v>1.7000000000000001E-2</v>
      </c>
      <c r="U95" s="69">
        <v>-11.625999999999999</v>
      </c>
      <c r="V95" s="283"/>
      <c r="W95" s="60">
        <f t="shared" si="1"/>
        <v>37.400000000000006</v>
      </c>
      <c r="X95" s="68">
        <v>27.546500000000002</v>
      </c>
      <c r="Y95" s="60">
        <v>0</v>
      </c>
      <c r="Z95" s="60">
        <v>3.4</v>
      </c>
      <c r="AA95" s="60">
        <v>0</v>
      </c>
      <c r="AB95" s="60">
        <v>6.4365000000000006</v>
      </c>
      <c r="AC95" s="60">
        <v>1.7000000000000001E-2</v>
      </c>
      <c r="AD95" s="69">
        <v>-11.625999999999999</v>
      </c>
      <c r="AE95" s="283"/>
      <c r="AF95" s="68">
        <v>27.546500000000002</v>
      </c>
      <c r="AG95" s="60">
        <v>0</v>
      </c>
      <c r="AH95" s="60">
        <v>3.4</v>
      </c>
      <c r="AI95" s="60">
        <v>34</v>
      </c>
      <c r="AJ95" s="60">
        <v>6.4365000000000006</v>
      </c>
      <c r="AK95" s="60">
        <v>1.7000000000000001E-2</v>
      </c>
      <c r="AL95" s="69">
        <v>-11.625999999999999</v>
      </c>
      <c r="AM95" s="286"/>
    </row>
    <row r="96" spans="1:50" ht="15" customHeight="1" x14ac:dyDescent="0.3">
      <c r="A96" s="61" t="s">
        <v>11</v>
      </c>
      <c r="B96" s="63" t="s">
        <v>26</v>
      </c>
      <c r="C96" s="64" t="s">
        <v>455</v>
      </c>
      <c r="D96" s="65" t="s">
        <v>0</v>
      </c>
      <c r="E96" s="58">
        <v>0</v>
      </c>
      <c r="F96" s="66">
        <v>0</v>
      </c>
      <c r="G96" s="57">
        <v>25.712</v>
      </c>
      <c r="H96" s="58">
        <v>0</v>
      </c>
      <c r="I96" s="58">
        <v>3.2140500000000003</v>
      </c>
      <c r="J96" s="58">
        <v>0</v>
      </c>
      <c r="K96" s="58">
        <v>6.4149999999999991</v>
      </c>
      <c r="L96" s="58">
        <v>1.35E-2</v>
      </c>
      <c r="M96" s="67">
        <v>-11.815</v>
      </c>
      <c r="N96" s="283"/>
      <c r="O96" s="68">
        <v>25.712</v>
      </c>
      <c r="P96" s="60">
        <v>0</v>
      </c>
      <c r="Q96" s="60">
        <v>3.2140500000000003</v>
      </c>
      <c r="R96" s="60">
        <v>0</v>
      </c>
      <c r="S96" s="60">
        <v>6.4149999999999991</v>
      </c>
      <c r="T96" s="60">
        <v>1.35E-2</v>
      </c>
      <c r="U96" s="69">
        <v>-11.815</v>
      </c>
      <c r="V96" s="283"/>
      <c r="W96" s="60">
        <f t="shared" si="1"/>
        <v>35.354549999999996</v>
      </c>
      <c r="X96" s="68">
        <v>25.712</v>
      </c>
      <c r="Y96" s="60">
        <v>0</v>
      </c>
      <c r="Z96" s="60">
        <v>3.2140500000000003</v>
      </c>
      <c r="AA96" s="60">
        <v>0</v>
      </c>
      <c r="AB96" s="60">
        <v>6.4149999999999991</v>
      </c>
      <c r="AC96" s="60">
        <v>1.35E-2</v>
      </c>
      <c r="AD96" s="69">
        <v>-11.815</v>
      </c>
      <c r="AE96" s="283"/>
      <c r="AF96" s="68">
        <v>25.712</v>
      </c>
      <c r="AG96" s="60">
        <v>0</v>
      </c>
      <c r="AH96" s="60">
        <v>3.2140500000000003</v>
      </c>
      <c r="AI96" s="60">
        <v>32.140500000000003</v>
      </c>
      <c r="AJ96" s="60">
        <v>6.4149999999999991</v>
      </c>
      <c r="AK96" s="60">
        <v>1.35E-2</v>
      </c>
      <c r="AL96" s="69">
        <v>-11.815</v>
      </c>
      <c r="AM96" s="286"/>
    </row>
    <row r="97" spans="1:39" ht="15" customHeight="1" x14ac:dyDescent="0.3">
      <c r="A97" s="61" t="s">
        <v>12</v>
      </c>
      <c r="B97" s="63" t="s">
        <v>26</v>
      </c>
      <c r="C97" s="64" t="s">
        <v>456</v>
      </c>
      <c r="D97" s="65" t="s">
        <v>0</v>
      </c>
      <c r="E97" s="58">
        <v>0</v>
      </c>
      <c r="F97" s="66">
        <v>0</v>
      </c>
      <c r="G97" s="57">
        <v>26.984999999999999</v>
      </c>
      <c r="H97" s="58">
        <v>0</v>
      </c>
      <c r="I97" s="58">
        <v>3.45</v>
      </c>
      <c r="J97" s="58">
        <v>0</v>
      </c>
      <c r="K97" s="58">
        <v>7.5150000000000006</v>
      </c>
      <c r="L97" s="58">
        <v>0</v>
      </c>
      <c r="M97" s="67">
        <v>-11.445</v>
      </c>
      <c r="N97" s="283"/>
      <c r="O97" s="68">
        <v>26.984999999999999</v>
      </c>
      <c r="P97" s="60">
        <v>0</v>
      </c>
      <c r="Q97" s="60">
        <v>3.45</v>
      </c>
      <c r="R97" s="60">
        <v>0</v>
      </c>
      <c r="S97" s="60">
        <v>7.5150000000000006</v>
      </c>
      <c r="T97" s="60">
        <v>0</v>
      </c>
      <c r="U97" s="69">
        <v>-11.445</v>
      </c>
      <c r="V97" s="283"/>
      <c r="W97" s="60">
        <f t="shared" si="1"/>
        <v>37.950000000000003</v>
      </c>
      <c r="X97" s="68">
        <v>26.984999999999999</v>
      </c>
      <c r="Y97" s="60">
        <v>0</v>
      </c>
      <c r="Z97" s="60">
        <v>3.45</v>
      </c>
      <c r="AA97" s="60">
        <v>0</v>
      </c>
      <c r="AB97" s="60">
        <v>7.5150000000000006</v>
      </c>
      <c r="AC97" s="60">
        <v>0</v>
      </c>
      <c r="AD97" s="69">
        <v>-11.445</v>
      </c>
      <c r="AE97" s="283"/>
      <c r="AF97" s="68">
        <v>26.984999999999999</v>
      </c>
      <c r="AG97" s="60">
        <v>0</v>
      </c>
      <c r="AH97" s="60">
        <v>3.45</v>
      </c>
      <c r="AI97" s="60">
        <v>34.5</v>
      </c>
      <c r="AJ97" s="60">
        <v>7.5150000000000006</v>
      </c>
      <c r="AK97" s="60">
        <v>0</v>
      </c>
      <c r="AL97" s="69">
        <v>-11.445</v>
      </c>
      <c r="AM97" s="286"/>
    </row>
    <row r="98" spans="1:39" ht="15" customHeight="1" x14ac:dyDescent="0.3">
      <c r="A98" s="61" t="s">
        <v>15</v>
      </c>
      <c r="B98" s="63" t="s">
        <v>26</v>
      </c>
      <c r="C98" s="64" t="s">
        <v>457</v>
      </c>
      <c r="D98" s="65" t="s">
        <v>0</v>
      </c>
      <c r="E98" s="58">
        <v>0</v>
      </c>
      <c r="F98" s="66">
        <v>0</v>
      </c>
      <c r="G98" s="57">
        <v>39.42</v>
      </c>
      <c r="H98" s="58">
        <v>0</v>
      </c>
      <c r="I98" s="58">
        <v>4.7000000000000011</v>
      </c>
      <c r="J98" s="58">
        <v>0</v>
      </c>
      <c r="K98" s="58">
        <v>7.58</v>
      </c>
      <c r="L98" s="58">
        <v>0</v>
      </c>
      <c r="M98" s="67">
        <v>-19.14</v>
      </c>
      <c r="N98" s="283"/>
      <c r="O98" s="68">
        <v>39.42</v>
      </c>
      <c r="P98" s="60">
        <v>0</v>
      </c>
      <c r="Q98" s="60">
        <v>4.7000000000000011</v>
      </c>
      <c r="R98" s="60">
        <v>0</v>
      </c>
      <c r="S98" s="60">
        <v>7.58</v>
      </c>
      <c r="T98" s="60">
        <v>0</v>
      </c>
      <c r="U98" s="69">
        <v>-19.14</v>
      </c>
      <c r="V98" s="283"/>
      <c r="W98" s="60">
        <f t="shared" si="1"/>
        <v>51.7</v>
      </c>
      <c r="X98" s="68">
        <v>39.42</v>
      </c>
      <c r="Y98" s="60">
        <v>0</v>
      </c>
      <c r="Z98" s="60">
        <v>4.7000000000000011</v>
      </c>
      <c r="AA98" s="60">
        <v>0</v>
      </c>
      <c r="AB98" s="60">
        <v>7.58</v>
      </c>
      <c r="AC98" s="60">
        <v>0</v>
      </c>
      <c r="AD98" s="69">
        <v>-19.14</v>
      </c>
      <c r="AE98" s="283"/>
      <c r="AF98" s="68">
        <v>39.42</v>
      </c>
      <c r="AG98" s="60">
        <v>0</v>
      </c>
      <c r="AH98" s="60">
        <v>4.7000000000000011</v>
      </c>
      <c r="AI98" s="60">
        <v>47.000000000000007</v>
      </c>
      <c r="AJ98" s="60">
        <v>7.58</v>
      </c>
      <c r="AK98" s="60">
        <v>0</v>
      </c>
      <c r="AL98" s="69">
        <v>-19.14</v>
      </c>
      <c r="AM98" s="286"/>
    </row>
    <row r="99" spans="1:39" ht="15" customHeight="1" thickBot="1" x14ac:dyDescent="0.35">
      <c r="A99" s="70" t="s">
        <v>16</v>
      </c>
      <c r="B99" s="71" t="s">
        <v>26</v>
      </c>
      <c r="C99" s="72" t="s">
        <v>33</v>
      </c>
      <c r="D99" s="73" t="s">
        <v>0</v>
      </c>
      <c r="E99" s="74">
        <v>0</v>
      </c>
      <c r="F99" s="75">
        <v>0</v>
      </c>
      <c r="G99" s="76">
        <v>51.195</v>
      </c>
      <c r="H99" s="74">
        <v>0</v>
      </c>
      <c r="I99" s="74">
        <v>6.1000000000000005</v>
      </c>
      <c r="J99" s="74">
        <v>0</v>
      </c>
      <c r="K99" s="74">
        <v>9.8049999999999997</v>
      </c>
      <c r="L99" s="74">
        <v>0</v>
      </c>
      <c r="M99" s="77">
        <v>-24.844999999999999</v>
      </c>
      <c r="N99" s="284"/>
      <c r="O99" s="78">
        <v>51.195</v>
      </c>
      <c r="P99" s="79">
        <v>0</v>
      </c>
      <c r="Q99" s="79">
        <v>6.1000000000000005</v>
      </c>
      <c r="R99" s="79">
        <v>0</v>
      </c>
      <c r="S99" s="79">
        <v>9.8049999999999997</v>
      </c>
      <c r="T99" s="79">
        <v>0</v>
      </c>
      <c r="U99" s="80">
        <v>-24.844999999999999</v>
      </c>
      <c r="V99" s="284"/>
      <c r="W99" s="60">
        <f t="shared" si="1"/>
        <v>67.099999999999994</v>
      </c>
      <c r="X99" s="78">
        <v>51.195</v>
      </c>
      <c r="Y99" s="79">
        <v>0</v>
      </c>
      <c r="Z99" s="79">
        <v>6.1000000000000005</v>
      </c>
      <c r="AA99" s="79">
        <v>0</v>
      </c>
      <c r="AB99" s="79">
        <v>9.8049999999999997</v>
      </c>
      <c r="AC99" s="79">
        <v>0</v>
      </c>
      <c r="AD99" s="80">
        <v>-24.844999999999999</v>
      </c>
      <c r="AE99" s="284"/>
      <c r="AF99" s="78">
        <v>51.195</v>
      </c>
      <c r="AG99" s="79">
        <v>0</v>
      </c>
      <c r="AH99" s="79">
        <v>6.1000000000000005</v>
      </c>
      <c r="AI99" s="79">
        <v>61</v>
      </c>
      <c r="AJ99" s="79">
        <v>9.8049999999999997</v>
      </c>
      <c r="AK99" s="79">
        <v>0</v>
      </c>
      <c r="AL99" s="80">
        <v>-24.844999999999999</v>
      </c>
      <c r="AM99" s="287"/>
    </row>
  </sheetData>
  <sheetProtection sheet="1" objects="1" scenarios="1" formatCells="0" formatColumns="0" formatRows="0" insertColumns="0" insertRows="0" insertHyperlinks="0" deleteColumns="0" deleteRows="0" sort="0"/>
  <mergeCells count="5">
    <mergeCell ref="A1:AM1"/>
    <mergeCell ref="N3:N99"/>
    <mergeCell ref="V3:V99"/>
    <mergeCell ref="AE3:AE99"/>
    <mergeCell ref="AM3:AM99"/>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A2A84-5003-4A6D-86D9-AFFB025AD8AE}">
  <sheetPr>
    <tabColor theme="9" tint="0.39997558519241921"/>
  </sheetPr>
  <dimension ref="B1:AW17"/>
  <sheetViews>
    <sheetView workbookViewId="0">
      <selection activeCell="H4" sqref="H4"/>
    </sheetView>
  </sheetViews>
  <sheetFormatPr defaultRowHeight="14.4" x14ac:dyDescent="0.3"/>
  <cols>
    <col min="1" max="1" width="2.6640625" customWidth="1"/>
    <col min="2" max="2" width="14.109375" bestFit="1" customWidth="1"/>
    <col min="3" max="3" width="21.5546875" style="168" bestFit="1" customWidth="1"/>
    <col min="4" max="4" width="16.88671875" style="168" bestFit="1" customWidth="1"/>
    <col min="5" max="5" width="11.33203125" customWidth="1"/>
    <col min="6" max="7" width="17.44140625" customWidth="1"/>
    <col min="8" max="8" width="17.44140625" style="168" customWidth="1"/>
    <col min="9" max="9" width="11.33203125" customWidth="1"/>
    <col min="10" max="12" width="17.44140625" customWidth="1"/>
    <col min="13" max="13" width="11.33203125" customWidth="1"/>
    <col min="14" max="14" width="17.44140625" customWidth="1"/>
    <col min="15" max="15" width="21" bestFit="1" customWidth="1"/>
    <col min="16" max="16" width="17.44140625" customWidth="1"/>
    <col min="17" max="17" width="11.33203125" customWidth="1"/>
    <col min="18" max="18" width="17.44140625" customWidth="1"/>
    <col min="19" max="19" width="21" bestFit="1" customWidth="1"/>
    <col min="20" max="20" width="17.44140625" customWidth="1"/>
    <col min="21" max="21" width="11.33203125" customWidth="1"/>
    <col min="22" max="24" width="17.44140625" customWidth="1"/>
    <col min="25" max="25" width="11.33203125" customWidth="1"/>
    <col min="26" max="28" width="17.44140625" customWidth="1"/>
    <col min="29" max="29" width="11.33203125" customWidth="1"/>
    <col min="30" max="32" width="17.44140625" customWidth="1"/>
    <col min="33" max="33" width="11.33203125" customWidth="1"/>
    <col min="34" max="35" width="17.44140625" customWidth="1"/>
    <col min="36" max="45" width="17.44140625" hidden="1" customWidth="1"/>
    <col min="46" max="46" width="17.44140625" customWidth="1"/>
    <col min="47" max="47" width="11.33203125" customWidth="1"/>
    <col min="48" max="49" width="17.44140625" customWidth="1"/>
  </cols>
  <sheetData>
    <row r="1" spans="2:49" x14ac:dyDescent="0.3">
      <c r="B1" s="127" t="s">
        <v>318</v>
      </c>
      <c r="C1" s="84" t="s">
        <v>252</v>
      </c>
      <c r="D1" s="172" t="s">
        <v>257</v>
      </c>
      <c r="E1" s="164"/>
      <c r="F1" s="164"/>
      <c r="G1" s="164"/>
      <c r="H1" s="172" t="s">
        <v>256</v>
      </c>
      <c r="I1" s="164"/>
      <c r="J1" s="164"/>
      <c r="K1" s="164"/>
      <c r="L1" s="172" t="s">
        <v>260</v>
      </c>
      <c r="M1" s="164"/>
      <c r="N1" s="164"/>
      <c r="O1" s="164"/>
      <c r="P1" s="172" t="s">
        <v>261</v>
      </c>
      <c r="Q1" s="164"/>
      <c r="R1" s="164"/>
      <c r="S1" s="164"/>
      <c r="T1" s="172" t="s">
        <v>262</v>
      </c>
      <c r="U1" s="164"/>
      <c r="V1" s="164"/>
      <c r="W1" s="164"/>
      <c r="X1" s="172" t="s">
        <v>263</v>
      </c>
      <c r="Y1" s="164"/>
      <c r="Z1" s="164"/>
      <c r="AA1" s="164"/>
      <c r="AB1" s="172" t="s">
        <v>264</v>
      </c>
      <c r="AC1" s="164"/>
      <c r="AD1" s="164"/>
      <c r="AE1" s="164"/>
      <c r="AF1" s="172" t="s">
        <v>265</v>
      </c>
      <c r="AG1" s="164"/>
      <c r="AH1" s="164"/>
      <c r="AI1" s="164"/>
      <c r="AJ1" s="172" t="s">
        <v>142</v>
      </c>
      <c r="AK1" s="164"/>
      <c r="AL1" s="172" t="s">
        <v>268</v>
      </c>
      <c r="AM1" s="164"/>
      <c r="AN1" s="172" t="s">
        <v>103</v>
      </c>
      <c r="AO1" s="164"/>
      <c r="AP1" s="172" t="s">
        <v>96</v>
      </c>
      <c r="AQ1" s="164"/>
      <c r="AR1" s="172" t="s">
        <v>152</v>
      </c>
      <c r="AS1" s="164"/>
      <c r="AT1" s="172" t="s">
        <v>394</v>
      </c>
      <c r="AU1" s="164"/>
      <c r="AV1" s="164"/>
      <c r="AW1" s="164"/>
    </row>
    <row r="2" spans="2:49" ht="15" thickBot="1" x14ac:dyDescent="0.35">
      <c r="B2" s="155" t="s">
        <v>7</v>
      </c>
      <c r="C2" s="163" t="s">
        <v>7</v>
      </c>
      <c r="D2" s="173" t="s">
        <v>267</v>
      </c>
      <c r="E2" s="161" t="s">
        <v>289</v>
      </c>
      <c r="F2" s="161" t="s">
        <v>258</v>
      </c>
      <c r="G2" s="161" t="s">
        <v>266</v>
      </c>
      <c r="H2" s="173" t="s">
        <v>267</v>
      </c>
      <c r="I2" s="161" t="s">
        <v>289</v>
      </c>
      <c r="J2" s="161" t="s">
        <v>258</v>
      </c>
      <c r="K2" s="161" t="s">
        <v>266</v>
      </c>
      <c r="L2" s="173" t="s">
        <v>267</v>
      </c>
      <c r="M2" s="161" t="s">
        <v>289</v>
      </c>
      <c r="N2" s="161" t="s">
        <v>258</v>
      </c>
      <c r="O2" s="161" t="s">
        <v>266</v>
      </c>
      <c r="P2" s="173" t="s">
        <v>267</v>
      </c>
      <c r="Q2" s="161" t="s">
        <v>289</v>
      </c>
      <c r="R2" s="161" t="s">
        <v>258</v>
      </c>
      <c r="S2" s="161" t="s">
        <v>266</v>
      </c>
      <c r="T2" s="173" t="s">
        <v>267</v>
      </c>
      <c r="U2" s="161" t="s">
        <v>289</v>
      </c>
      <c r="V2" s="161" t="s">
        <v>258</v>
      </c>
      <c r="W2" s="161" t="s">
        <v>266</v>
      </c>
      <c r="X2" s="173" t="s">
        <v>267</v>
      </c>
      <c r="Y2" s="161" t="s">
        <v>289</v>
      </c>
      <c r="Z2" s="161" t="s">
        <v>258</v>
      </c>
      <c r="AA2" s="161" t="s">
        <v>266</v>
      </c>
      <c r="AB2" s="173" t="s">
        <v>267</v>
      </c>
      <c r="AC2" s="161" t="s">
        <v>289</v>
      </c>
      <c r="AD2" s="161" t="s">
        <v>258</v>
      </c>
      <c r="AE2" s="161" t="s">
        <v>266</v>
      </c>
      <c r="AF2" s="173" t="s">
        <v>267</v>
      </c>
      <c r="AG2" s="161" t="s">
        <v>289</v>
      </c>
      <c r="AH2" s="161" t="s">
        <v>258</v>
      </c>
      <c r="AI2" s="161" t="s">
        <v>266</v>
      </c>
      <c r="AJ2" s="173" t="s">
        <v>267</v>
      </c>
      <c r="AK2" s="161" t="s">
        <v>266</v>
      </c>
      <c r="AL2" s="173" t="s">
        <v>267</v>
      </c>
      <c r="AM2" s="161" t="s">
        <v>266</v>
      </c>
      <c r="AN2" s="173" t="s">
        <v>267</v>
      </c>
      <c r="AO2" s="161" t="s">
        <v>266</v>
      </c>
      <c r="AP2" s="173" t="s">
        <v>267</v>
      </c>
      <c r="AQ2" s="161" t="s">
        <v>266</v>
      </c>
      <c r="AR2" s="173" t="s">
        <v>267</v>
      </c>
      <c r="AS2" s="161" t="s">
        <v>266</v>
      </c>
      <c r="AT2" s="173" t="s">
        <v>267</v>
      </c>
      <c r="AU2" s="161" t="s">
        <v>289</v>
      </c>
      <c r="AV2" s="161" t="s">
        <v>258</v>
      </c>
      <c r="AW2" s="161" t="s">
        <v>266</v>
      </c>
    </row>
    <row r="3" spans="2:49" x14ac:dyDescent="0.3">
      <c r="B3" s="165" t="s">
        <v>57</v>
      </c>
      <c r="C3" s="169" t="s">
        <v>29</v>
      </c>
      <c r="D3" s="175" t="s">
        <v>56</v>
      </c>
      <c r="E3" s="193">
        <f ca="1">LOOKUP(D3,INDIRECT("'"&amp;$C$14&amp;"'!"&amp;$C$15),INDIRECT("'"&amp;$C$14&amp;"'!"&amp;$C$16))</f>
        <v>132.11935909183333</v>
      </c>
      <c r="F3" s="193" t="str">
        <f ca="1">LOOKUP(D3,INDIRECT("'"&amp;$C$14&amp;"'!"&amp;$C$15),INDIRECT("'"&amp;$C$14&amp;"'!"&amp;$C$17))</f>
        <v>m</v>
      </c>
      <c r="G3" s="177" t="s">
        <v>57</v>
      </c>
      <c r="H3" s="175" t="s">
        <v>290</v>
      </c>
      <c r="I3" s="193">
        <f ca="1">LOOKUP(H3,INDIRECT("'"&amp;$C$14&amp;"'!"&amp;$C$15),INDIRECT("'"&amp;$C$14&amp;"'!"&amp;$C$16))</f>
        <v>0</v>
      </c>
      <c r="J3" s="193" t="str">
        <f ca="1">LOOKUP(H3,INDIRECT("'"&amp;$C$14&amp;"'!"&amp;$C$15),INDIRECT("'"&amp;$C$14&amp;"'!"&amp;$C$17))</f>
        <v>m2</v>
      </c>
      <c r="K3" s="177" t="s">
        <v>269</v>
      </c>
      <c r="L3" s="175" t="s">
        <v>74</v>
      </c>
      <c r="M3" s="193">
        <f ca="1">LOOKUP(L3,INDIRECT("'"&amp;$C$14&amp;"'!"&amp;$C$15),INDIRECT("'"&amp;$C$14&amp;"'!"&amp;$C$16))</f>
        <v>60.345583199999993</v>
      </c>
      <c r="N3" s="193" t="str">
        <f ca="1">LOOKUP(L3,INDIRECT("'"&amp;$C$14&amp;"'!"&amp;$C$15),INDIRECT("'"&amp;$C$14&amp;"'!"&amp;$C$17))</f>
        <v>m2</v>
      </c>
      <c r="O3" s="177" t="s">
        <v>76</v>
      </c>
      <c r="P3" s="175" t="s">
        <v>74</v>
      </c>
      <c r="Q3" s="193">
        <f ca="1">LOOKUP(P3,INDIRECT("'"&amp;$C$14&amp;"'!"&amp;$C$15),INDIRECT("'"&amp;$C$14&amp;"'!"&amp;$C$16))</f>
        <v>60.345583199999993</v>
      </c>
      <c r="R3" s="193" t="str">
        <f ca="1">LOOKUP(P3,INDIRECT("'"&amp;$C$14&amp;"'!"&amp;$C$15),INDIRECT("'"&amp;$C$14&amp;"'!"&amp;$C$17))</f>
        <v>m2</v>
      </c>
      <c r="S3" s="177" t="s">
        <v>76</v>
      </c>
      <c r="T3" s="175" t="s">
        <v>290</v>
      </c>
      <c r="U3" s="193">
        <f ca="1">LOOKUP(T3,INDIRECT("'"&amp;$C$14&amp;"'!"&amp;$C$15),INDIRECT("'"&amp;$C$14&amp;"'!"&amp;$C$16))</f>
        <v>0</v>
      </c>
      <c r="V3" s="193" t="str">
        <f ca="1">LOOKUP(T3,INDIRECT("'"&amp;$C$14&amp;"'!"&amp;$C$15),INDIRECT("'"&amp;$C$14&amp;"'!"&amp;$C$17))</f>
        <v>m2</v>
      </c>
      <c r="W3" s="177" t="s">
        <v>269</v>
      </c>
      <c r="X3" s="175" t="s">
        <v>290</v>
      </c>
      <c r="Y3" s="193">
        <f ca="1">LOOKUP(X3,INDIRECT("'"&amp;$C$14&amp;"'!"&amp;$C$15),INDIRECT("'"&amp;$C$14&amp;"'!"&amp;$C$16))</f>
        <v>0</v>
      </c>
      <c r="Z3" s="193" t="str">
        <f ca="1">LOOKUP(X3,INDIRECT("'"&amp;$C$14&amp;"'!"&amp;$C$15),INDIRECT("'"&amp;$C$14&amp;"'!"&amp;$C$17))</f>
        <v>m2</v>
      </c>
      <c r="AA3" s="177" t="s">
        <v>269</v>
      </c>
      <c r="AB3" s="175" t="s">
        <v>290</v>
      </c>
      <c r="AC3" s="193">
        <f ca="1">LOOKUP(AB3,INDIRECT("'"&amp;$C$14&amp;"'!"&amp;$C$15),INDIRECT("'"&amp;$C$14&amp;"'!"&amp;$C$16))</f>
        <v>0</v>
      </c>
      <c r="AD3" s="193" t="str">
        <f ca="1">LOOKUP(AB3,INDIRECT("'"&amp;$C$14&amp;"'!"&amp;$C$15),INDIRECT("'"&amp;$C$14&amp;"'!"&amp;$C$17))</f>
        <v>m2</v>
      </c>
      <c r="AE3" s="177" t="s">
        <v>269</v>
      </c>
      <c r="AF3" s="175" t="s">
        <v>290</v>
      </c>
      <c r="AG3" s="193">
        <f ca="1">LOOKUP(AF3,INDIRECT("'"&amp;$C$14&amp;"'!"&amp;$C$15),INDIRECT("'"&amp;$C$14&amp;"'!"&amp;$C$16))</f>
        <v>0</v>
      </c>
      <c r="AH3" s="193" t="str">
        <f ca="1">LOOKUP(AF3,INDIRECT("'"&amp;$C$14&amp;"'!"&amp;$C$15),INDIRECT("'"&amp;$C$14&amp;"'!"&amp;$C$17))</f>
        <v>m2</v>
      </c>
      <c r="AI3" s="177" t="s">
        <v>269</v>
      </c>
      <c r="AJ3" s="175"/>
      <c r="AK3" s="177"/>
      <c r="AL3" s="175"/>
      <c r="AM3" s="177"/>
      <c r="AN3" s="175"/>
      <c r="AO3" s="177"/>
      <c r="AP3" s="175"/>
      <c r="AQ3" s="177"/>
      <c r="AR3" s="175"/>
      <c r="AS3" s="177"/>
      <c r="AT3" s="175"/>
      <c r="AU3" s="180">
        <v>5.47</v>
      </c>
      <c r="AV3" s="193" t="s">
        <v>0</v>
      </c>
      <c r="AW3" s="177"/>
    </row>
    <row r="4" spans="2:49" x14ac:dyDescent="0.3">
      <c r="B4" s="166" t="s">
        <v>57</v>
      </c>
      <c r="C4" s="170" t="s">
        <v>32</v>
      </c>
      <c r="D4" s="174" t="s">
        <v>56</v>
      </c>
      <c r="E4">
        <f t="shared" ref="E4:E12" ca="1" si="0">LOOKUP(D4,INDIRECT("'"&amp;$C$14&amp;"'!"&amp;$C$15),INDIRECT("'"&amp;$C$14&amp;"'!"&amp;$C$16))</f>
        <v>132.11935909183333</v>
      </c>
      <c r="F4" t="str">
        <f t="shared" ref="F4:F7" ca="1" si="1">LOOKUP(D4,INDIRECT("'"&amp;$C$14&amp;"'!"&amp;$C$15),INDIRECT("'"&amp;$C$14&amp;"'!"&amp;$C$17))</f>
        <v>m</v>
      </c>
      <c r="G4" s="178" t="s">
        <v>57</v>
      </c>
      <c r="H4" s="174" t="s">
        <v>290</v>
      </c>
      <c r="I4">
        <f t="shared" ref="I4:I12" ca="1" si="2">LOOKUP(H4,INDIRECT("'"&amp;$C$14&amp;"'!"&amp;$C$15),INDIRECT("'"&amp;$C$14&amp;"'!"&amp;$C$16))</f>
        <v>0</v>
      </c>
      <c r="J4" t="str">
        <f t="shared" ref="J4:J7" ca="1" si="3">LOOKUP(H4,INDIRECT("'"&amp;$C$14&amp;"'!"&amp;$C$15),INDIRECT("'"&amp;$C$14&amp;"'!"&amp;$C$17))</f>
        <v>m2</v>
      </c>
      <c r="K4" s="178" t="s">
        <v>269</v>
      </c>
      <c r="L4" s="174" t="s">
        <v>74</v>
      </c>
      <c r="M4">
        <f t="shared" ref="M4:M12" ca="1" si="4">LOOKUP(L4,INDIRECT("'"&amp;$C$14&amp;"'!"&amp;$C$15),INDIRECT("'"&amp;$C$14&amp;"'!"&amp;$C$16))</f>
        <v>60.345583199999993</v>
      </c>
      <c r="N4" t="str">
        <f t="shared" ref="N4:N7" ca="1" si="5">LOOKUP(L4,INDIRECT("'"&amp;$C$14&amp;"'!"&amp;$C$15),INDIRECT("'"&amp;$C$14&amp;"'!"&amp;$C$17))</f>
        <v>m2</v>
      </c>
      <c r="O4" s="178" t="s">
        <v>76</v>
      </c>
      <c r="P4" s="174" t="s">
        <v>74</v>
      </c>
      <c r="Q4">
        <f t="shared" ref="Q4:Q12" ca="1" si="6">LOOKUP(P4,INDIRECT("'"&amp;$C$14&amp;"'!"&amp;$C$15),INDIRECT("'"&amp;$C$14&amp;"'!"&amp;$C$16))</f>
        <v>60.345583199999993</v>
      </c>
      <c r="R4" t="str">
        <f t="shared" ref="R4:R7" ca="1" si="7">LOOKUP(P4,INDIRECT("'"&amp;$C$14&amp;"'!"&amp;$C$15),INDIRECT("'"&amp;$C$14&amp;"'!"&amp;$C$17))</f>
        <v>m2</v>
      </c>
      <c r="S4" s="178" t="s">
        <v>76</v>
      </c>
      <c r="T4" s="174" t="s">
        <v>290</v>
      </c>
      <c r="U4">
        <f t="shared" ref="U4:U12" ca="1" si="8">LOOKUP(T4,INDIRECT("'"&amp;$C$14&amp;"'!"&amp;$C$15),INDIRECT("'"&amp;$C$14&amp;"'!"&amp;$C$16))</f>
        <v>0</v>
      </c>
      <c r="V4" t="str">
        <f t="shared" ref="V4:V7" ca="1" si="9">LOOKUP(T4,INDIRECT("'"&amp;$C$14&amp;"'!"&amp;$C$15),INDIRECT("'"&amp;$C$14&amp;"'!"&amp;$C$17))</f>
        <v>m2</v>
      </c>
      <c r="W4" s="178" t="s">
        <v>269</v>
      </c>
      <c r="X4" s="174" t="s">
        <v>290</v>
      </c>
      <c r="Y4">
        <f t="shared" ref="Y4:Y12" ca="1" si="10">LOOKUP(X4,INDIRECT("'"&amp;$C$14&amp;"'!"&amp;$C$15),INDIRECT("'"&amp;$C$14&amp;"'!"&amp;$C$16))</f>
        <v>0</v>
      </c>
      <c r="Z4" t="str">
        <f t="shared" ref="Z4:Z7" ca="1" si="11">LOOKUP(X4,INDIRECT("'"&amp;$C$14&amp;"'!"&amp;$C$15),INDIRECT("'"&amp;$C$14&amp;"'!"&amp;$C$17))</f>
        <v>m2</v>
      </c>
      <c r="AA4" s="178" t="s">
        <v>269</v>
      </c>
      <c r="AB4" s="174" t="s">
        <v>290</v>
      </c>
      <c r="AC4">
        <f t="shared" ref="AC4:AC12" ca="1" si="12">LOOKUP(AB4,INDIRECT("'"&amp;$C$14&amp;"'!"&amp;$C$15),INDIRECT("'"&amp;$C$14&amp;"'!"&amp;$C$16))</f>
        <v>0</v>
      </c>
      <c r="AD4" t="str">
        <f t="shared" ref="AD4:AD7" ca="1" si="13">LOOKUP(AB4,INDIRECT("'"&amp;$C$14&amp;"'!"&amp;$C$15),INDIRECT("'"&amp;$C$14&amp;"'!"&amp;$C$17))</f>
        <v>m2</v>
      </c>
      <c r="AE4" s="178" t="s">
        <v>269</v>
      </c>
      <c r="AF4" s="174" t="s">
        <v>290</v>
      </c>
      <c r="AG4">
        <f t="shared" ref="AG4:AG12" ca="1" si="14">LOOKUP(AF4,INDIRECT("'"&amp;$C$14&amp;"'!"&amp;$C$15),INDIRECT("'"&amp;$C$14&amp;"'!"&amp;$C$16))</f>
        <v>0</v>
      </c>
      <c r="AH4" t="str">
        <f t="shared" ref="AH4:AH7" ca="1" si="15">LOOKUP(AF4,INDIRECT("'"&amp;$C$14&amp;"'!"&amp;$C$15),INDIRECT("'"&amp;$C$14&amp;"'!"&amp;$C$17))</f>
        <v>m2</v>
      </c>
      <c r="AI4" s="178" t="s">
        <v>269</v>
      </c>
      <c r="AJ4" s="174"/>
      <c r="AK4" s="178"/>
      <c r="AL4" s="174"/>
      <c r="AM4" s="178"/>
      <c r="AN4" s="174"/>
      <c r="AO4" s="178"/>
      <c r="AP4" s="174"/>
      <c r="AQ4" s="178"/>
      <c r="AR4" s="174"/>
      <c r="AS4" s="178"/>
      <c r="AT4" s="174"/>
      <c r="AU4" s="181">
        <v>5.47</v>
      </c>
      <c r="AV4" t="s">
        <v>0</v>
      </c>
      <c r="AW4" s="178"/>
    </row>
    <row r="5" spans="2:49" x14ac:dyDescent="0.3">
      <c r="B5" s="166" t="s">
        <v>57</v>
      </c>
      <c r="C5" s="170" t="s">
        <v>253</v>
      </c>
      <c r="D5" s="174" t="s">
        <v>56</v>
      </c>
      <c r="E5">
        <f t="shared" ca="1" si="0"/>
        <v>132.11935909183333</v>
      </c>
      <c r="F5" t="str">
        <f t="shared" ca="1" si="1"/>
        <v>m</v>
      </c>
      <c r="G5" s="178" t="s">
        <v>57</v>
      </c>
      <c r="H5" s="174" t="s">
        <v>290</v>
      </c>
      <c r="I5">
        <f t="shared" ca="1" si="2"/>
        <v>0</v>
      </c>
      <c r="J5" t="str">
        <f t="shared" ca="1" si="3"/>
        <v>m2</v>
      </c>
      <c r="K5" s="178" t="s">
        <v>269</v>
      </c>
      <c r="L5" s="174" t="s">
        <v>77</v>
      </c>
      <c r="M5">
        <f t="shared" ca="1" si="4"/>
        <v>22.6028666744802</v>
      </c>
      <c r="N5" t="str">
        <f t="shared" ca="1" si="5"/>
        <v>m2</v>
      </c>
      <c r="O5" s="178" t="s">
        <v>78</v>
      </c>
      <c r="P5" s="174" t="s">
        <v>77</v>
      </c>
      <c r="Q5">
        <f t="shared" ca="1" si="6"/>
        <v>22.6028666744802</v>
      </c>
      <c r="R5" t="str">
        <f t="shared" ca="1" si="7"/>
        <v>m2</v>
      </c>
      <c r="S5" s="178" t="s">
        <v>78</v>
      </c>
      <c r="T5" s="174" t="s">
        <v>290</v>
      </c>
      <c r="U5">
        <f t="shared" ca="1" si="8"/>
        <v>0</v>
      </c>
      <c r="V5" t="str">
        <f t="shared" ca="1" si="9"/>
        <v>m2</v>
      </c>
      <c r="W5" s="178" t="s">
        <v>269</v>
      </c>
      <c r="X5" s="174" t="s">
        <v>290</v>
      </c>
      <c r="Y5">
        <f t="shared" ca="1" si="10"/>
        <v>0</v>
      </c>
      <c r="Z5" t="str">
        <f t="shared" ca="1" si="11"/>
        <v>m2</v>
      </c>
      <c r="AA5" s="178" t="s">
        <v>269</v>
      </c>
      <c r="AB5" s="174" t="s">
        <v>290</v>
      </c>
      <c r="AC5">
        <f t="shared" ca="1" si="12"/>
        <v>0</v>
      </c>
      <c r="AD5" t="str">
        <f t="shared" ca="1" si="13"/>
        <v>m2</v>
      </c>
      <c r="AE5" s="178" t="s">
        <v>269</v>
      </c>
      <c r="AF5" s="174" t="s">
        <v>290</v>
      </c>
      <c r="AG5">
        <f t="shared" ca="1" si="14"/>
        <v>0</v>
      </c>
      <c r="AH5" t="str">
        <f t="shared" ca="1" si="15"/>
        <v>m2</v>
      </c>
      <c r="AI5" s="178" t="s">
        <v>269</v>
      </c>
      <c r="AJ5" s="174"/>
      <c r="AK5" s="178"/>
      <c r="AL5" s="174"/>
      <c r="AM5" s="178"/>
      <c r="AN5" s="174"/>
      <c r="AO5" s="178"/>
      <c r="AP5" s="174"/>
      <c r="AQ5" s="178"/>
      <c r="AR5" s="174"/>
      <c r="AS5" s="178"/>
      <c r="AT5" s="174"/>
      <c r="AU5" s="182">
        <v>5.43</v>
      </c>
      <c r="AV5" t="s">
        <v>0</v>
      </c>
      <c r="AW5" s="178"/>
    </row>
    <row r="6" spans="2:49" x14ac:dyDescent="0.3">
      <c r="B6" s="166" t="s">
        <v>57</v>
      </c>
      <c r="C6" s="170" t="s">
        <v>254</v>
      </c>
      <c r="D6" s="174" t="s">
        <v>56</v>
      </c>
      <c r="E6">
        <f t="shared" ca="1" si="0"/>
        <v>132.11935909183333</v>
      </c>
      <c r="F6" t="str">
        <f t="shared" ca="1" si="1"/>
        <v>m</v>
      </c>
      <c r="G6" s="178" t="s">
        <v>57</v>
      </c>
      <c r="H6" s="174" t="s">
        <v>290</v>
      </c>
      <c r="I6">
        <f t="shared" ca="1" si="2"/>
        <v>0</v>
      </c>
      <c r="J6" t="str">
        <f t="shared" ca="1" si="3"/>
        <v>m2</v>
      </c>
      <c r="K6" s="178" t="s">
        <v>269</v>
      </c>
      <c r="L6" s="174" t="s">
        <v>77</v>
      </c>
      <c r="M6">
        <f t="shared" ca="1" si="4"/>
        <v>22.6028666744802</v>
      </c>
      <c r="N6" t="str">
        <f t="shared" ca="1" si="5"/>
        <v>m2</v>
      </c>
      <c r="O6" s="178" t="s">
        <v>78</v>
      </c>
      <c r="P6" s="174" t="s">
        <v>77</v>
      </c>
      <c r="Q6">
        <f t="shared" ca="1" si="6"/>
        <v>22.6028666744802</v>
      </c>
      <c r="R6" t="str">
        <f t="shared" ca="1" si="7"/>
        <v>m2</v>
      </c>
      <c r="S6" s="178" t="s">
        <v>78</v>
      </c>
      <c r="T6" s="174" t="s">
        <v>290</v>
      </c>
      <c r="U6">
        <f t="shared" ca="1" si="8"/>
        <v>0</v>
      </c>
      <c r="V6" t="str">
        <f t="shared" ca="1" si="9"/>
        <v>m2</v>
      </c>
      <c r="W6" s="178" t="s">
        <v>269</v>
      </c>
      <c r="X6" s="174" t="s">
        <v>290</v>
      </c>
      <c r="Y6">
        <f t="shared" ca="1" si="10"/>
        <v>0</v>
      </c>
      <c r="Z6" t="str">
        <f t="shared" ca="1" si="11"/>
        <v>m2</v>
      </c>
      <c r="AA6" s="178" t="s">
        <v>269</v>
      </c>
      <c r="AB6" s="174" t="s">
        <v>290</v>
      </c>
      <c r="AC6">
        <f t="shared" ca="1" si="12"/>
        <v>0</v>
      </c>
      <c r="AD6" t="str">
        <f t="shared" ca="1" si="13"/>
        <v>m2</v>
      </c>
      <c r="AE6" s="178" t="s">
        <v>269</v>
      </c>
      <c r="AF6" s="174" t="s">
        <v>290</v>
      </c>
      <c r="AG6">
        <f t="shared" ca="1" si="14"/>
        <v>0</v>
      </c>
      <c r="AH6" t="str">
        <f t="shared" ca="1" si="15"/>
        <v>m2</v>
      </c>
      <c r="AI6" s="178" t="s">
        <v>269</v>
      </c>
      <c r="AJ6" s="174"/>
      <c r="AK6" s="178"/>
      <c r="AL6" s="174"/>
      <c r="AM6" s="178"/>
      <c r="AN6" s="174"/>
      <c r="AO6" s="178"/>
      <c r="AP6" s="174"/>
      <c r="AQ6" s="178"/>
      <c r="AR6" s="174"/>
      <c r="AS6" s="178"/>
      <c r="AT6" s="174"/>
      <c r="AU6" s="182">
        <v>5.37</v>
      </c>
      <c r="AV6" t="s">
        <v>0</v>
      </c>
      <c r="AW6" s="178"/>
    </row>
    <row r="7" spans="2:49" ht="15" thickBot="1" x14ac:dyDescent="0.35">
      <c r="B7" s="167" t="s">
        <v>57</v>
      </c>
      <c r="C7" s="171" t="s">
        <v>255</v>
      </c>
      <c r="D7" s="176" t="s">
        <v>56</v>
      </c>
      <c r="E7" s="194">
        <f t="shared" ca="1" si="0"/>
        <v>132.11935909183333</v>
      </c>
      <c r="F7" s="194" t="str">
        <f t="shared" ca="1" si="1"/>
        <v>m</v>
      </c>
      <c r="G7" s="179" t="s">
        <v>57</v>
      </c>
      <c r="H7" s="176" t="s">
        <v>290</v>
      </c>
      <c r="I7" s="194">
        <f t="shared" ca="1" si="2"/>
        <v>0</v>
      </c>
      <c r="J7" s="194" t="str">
        <f t="shared" ca="1" si="3"/>
        <v>m2</v>
      </c>
      <c r="K7" s="179" t="s">
        <v>269</v>
      </c>
      <c r="L7" s="176" t="s">
        <v>77</v>
      </c>
      <c r="M7" s="194">
        <f t="shared" ca="1" si="4"/>
        <v>22.6028666744802</v>
      </c>
      <c r="N7" s="194" t="str">
        <f t="shared" ca="1" si="5"/>
        <v>m2</v>
      </c>
      <c r="O7" s="179" t="s">
        <v>78</v>
      </c>
      <c r="P7" s="176" t="s">
        <v>77</v>
      </c>
      <c r="Q7" s="194">
        <f t="shared" ca="1" si="6"/>
        <v>22.6028666744802</v>
      </c>
      <c r="R7" s="194" t="str">
        <f t="shared" ca="1" si="7"/>
        <v>m2</v>
      </c>
      <c r="S7" s="179" t="s">
        <v>78</v>
      </c>
      <c r="T7" s="176" t="s">
        <v>290</v>
      </c>
      <c r="U7" s="194">
        <f t="shared" ca="1" si="8"/>
        <v>0</v>
      </c>
      <c r="V7" s="194" t="str">
        <f t="shared" ca="1" si="9"/>
        <v>m2</v>
      </c>
      <c r="W7" s="179" t="s">
        <v>269</v>
      </c>
      <c r="X7" s="176" t="s">
        <v>290</v>
      </c>
      <c r="Y7" s="194">
        <f t="shared" ca="1" si="10"/>
        <v>0</v>
      </c>
      <c r="Z7" s="194" t="str">
        <f t="shared" ca="1" si="11"/>
        <v>m2</v>
      </c>
      <c r="AA7" s="179" t="s">
        <v>269</v>
      </c>
      <c r="AB7" s="176" t="s">
        <v>290</v>
      </c>
      <c r="AC7" s="194">
        <f t="shared" ca="1" si="12"/>
        <v>0</v>
      </c>
      <c r="AD7" s="194" t="str">
        <f t="shared" ca="1" si="13"/>
        <v>m2</v>
      </c>
      <c r="AE7" s="179" t="s">
        <v>269</v>
      </c>
      <c r="AF7" s="176" t="s">
        <v>290</v>
      </c>
      <c r="AG7" s="194">
        <f t="shared" ca="1" si="14"/>
        <v>0</v>
      </c>
      <c r="AH7" s="194" t="str">
        <f t="shared" ca="1" si="15"/>
        <v>m2</v>
      </c>
      <c r="AI7" s="179" t="s">
        <v>269</v>
      </c>
      <c r="AJ7" s="176"/>
      <c r="AK7" s="179"/>
      <c r="AL7" s="176"/>
      <c r="AM7" s="179"/>
      <c r="AN7" s="176"/>
      <c r="AO7" s="179"/>
      <c r="AP7" s="176"/>
      <c r="AQ7" s="179"/>
      <c r="AR7" s="176"/>
      <c r="AS7" s="179"/>
      <c r="AT7" s="176"/>
      <c r="AU7" s="183">
        <v>5.37</v>
      </c>
      <c r="AV7" s="194" t="s">
        <v>0</v>
      </c>
      <c r="AW7" s="179"/>
    </row>
    <row r="8" spans="2:49" x14ac:dyDescent="0.3">
      <c r="B8" s="165" t="s">
        <v>270</v>
      </c>
      <c r="C8" s="169" t="s">
        <v>29</v>
      </c>
      <c r="D8" s="175" t="s">
        <v>50</v>
      </c>
      <c r="E8" s="193">
        <f ca="1">LOOKUP(D8,INDIRECT("'"&amp;$C$14&amp;"'!"&amp;$C$15),INDIRECT("'"&amp;$C$14&amp;"'!"&amp;$C$16))</f>
        <v>226.0954119448445</v>
      </c>
      <c r="F8" s="193" t="str">
        <f ca="1">LOOKUP(D8,INDIRECT("'"&amp;$C$14&amp;"'!"&amp;$C$15),INDIRECT("'"&amp;$C$14&amp;"'!"&amp;$C$17))</f>
        <v>m</v>
      </c>
      <c r="G8" s="177" t="s">
        <v>52</v>
      </c>
      <c r="H8" s="175" t="s">
        <v>43</v>
      </c>
      <c r="I8" s="193">
        <f ca="1">LOOKUP(H8,INDIRECT("'"&amp;$C$14&amp;"'!"&amp;$C$15),INDIRECT("'"&amp;$C$14&amp;"'!"&amp;$C$16))</f>
        <v>0.20488382085575652</v>
      </c>
      <c r="J8" s="193" t="str">
        <f ca="1">LOOKUP(H8,INDIRECT("'"&amp;$C$14&amp;"'!"&amp;$C$15),INDIRECT("'"&amp;$C$14&amp;"'!"&amp;$C$17))</f>
        <v>kg</v>
      </c>
      <c r="K8" s="177" t="s">
        <v>44</v>
      </c>
      <c r="L8" s="175" t="s">
        <v>65</v>
      </c>
      <c r="M8" s="193">
        <f ca="1">LOOKUP(L8,INDIRECT("'"&amp;$C$14&amp;"'!"&amp;$C$15),INDIRECT("'"&amp;$C$14&amp;"'!"&amp;$C$16))</f>
        <v>0.17514069451697126</v>
      </c>
      <c r="N8" s="193" t="str">
        <f ca="1">LOOKUP(L8,INDIRECT("'"&amp;$C$14&amp;"'!"&amp;$C$15),INDIRECT("'"&amp;$C$14&amp;"'!"&amp;$C$17))</f>
        <v>kg</v>
      </c>
      <c r="O8" s="177" t="s">
        <v>67</v>
      </c>
      <c r="P8" s="175" t="s">
        <v>65</v>
      </c>
      <c r="Q8" s="193">
        <f ca="1">LOOKUP(P8,INDIRECT("'"&amp;$C$14&amp;"'!"&amp;$C$15),INDIRECT("'"&amp;$C$14&amp;"'!"&amp;$C$16))</f>
        <v>0.17514069451697126</v>
      </c>
      <c r="R8" s="193" t="str">
        <f ca="1">LOOKUP(P8,INDIRECT("'"&amp;$C$14&amp;"'!"&amp;$C$15),INDIRECT("'"&amp;$C$14&amp;"'!"&amp;$C$17))</f>
        <v>kg</v>
      </c>
      <c r="S8" s="177" t="s">
        <v>67</v>
      </c>
      <c r="T8" s="175" t="s">
        <v>88</v>
      </c>
      <c r="U8" s="193">
        <f ca="1">LOOKUP(T8,INDIRECT("'"&amp;$C$14&amp;"'!"&amp;$C$15),INDIRECT("'"&amp;$C$14&amp;"'!"&amp;$C$16))</f>
        <v>0</v>
      </c>
      <c r="V8" s="193" t="str">
        <f ca="1">LOOKUP(T8,INDIRECT("'"&amp;$C$14&amp;"'!"&amp;$C$15),INDIRECT("'"&amp;$C$14&amp;"'!"&amp;$C$17))</f>
        <v>kg</v>
      </c>
      <c r="W8" s="177" t="s">
        <v>90</v>
      </c>
      <c r="X8" s="175" t="s">
        <v>91</v>
      </c>
      <c r="Y8" s="193">
        <f ca="1">LOOKUP(X8,INDIRECT("'"&amp;$C$14&amp;"'!"&amp;$C$15),INDIRECT("'"&amp;$C$14&amp;"'!"&amp;$C$16))</f>
        <v>0.31761801833625214</v>
      </c>
      <c r="Z8" s="193" t="str">
        <f ca="1">LOOKUP(X8,INDIRECT("'"&amp;$C$14&amp;"'!"&amp;$C$15),INDIRECT("'"&amp;$C$14&amp;"'!"&amp;$C$17))</f>
        <v>kg</v>
      </c>
      <c r="AA8" s="177" t="s">
        <v>92</v>
      </c>
      <c r="AB8" s="175" t="s">
        <v>79</v>
      </c>
      <c r="AC8" s="193">
        <f ca="1">LOOKUP(AB8,INDIRECT("'"&amp;$C$14&amp;"'!"&amp;$C$15),INDIRECT("'"&amp;$C$14&amp;"'!"&amp;$C$16))</f>
        <v>0.20040663470845821</v>
      </c>
      <c r="AD8" s="193" t="str">
        <f ca="1">LOOKUP(AB8,INDIRECT("'"&amp;$C$14&amp;"'!"&amp;$C$15),INDIRECT("'"&amp;$C$14&amp;"'!"&amp;$C$17))</f>
        <v>kg</v>
      </c>
      <c r="AE8" s="177" t="s">
        <v>81</v>
      </c>
      <c r="AF8" s="175" t="s">
        <v>79</v>
      </c>
      <c r="AG8" s="193">
        <f ca="1">LOOKUP(AF8,INDIRECT("'"&amp;$C$14&amp;"'!"&amp;$C$15),INDIRECT("'"&amp;$C$14&amp;"'!"&amp;$C$16))</f>
        <v>0.20040663470845821</v>
      </c>
      <c r="AH8" s="193" t="str">
        <f ca="1">LOOKUP(AF8,INDIRECT("'"&amp;$C$14&amp;"'!"&amp;$C$15),INDIRECT("'"&amp;$C$14&amp;"'!"&amp;$C$17))</f>
        <v>kg</v>
      </c>
      <c r="AI8" s="177" t="s">
        <v>81</v>
      </c>
      <c r="AJ8" s="175"/>
      <c r="AK8" s="177"/>
      <c r="AL8" s="175"/>
      <c r="AM8" s="177"/>
      <c r="AN8" s="175"/>
      <c r="AO8" s="177"/>
      <c r="AP8" s="175"/>
      <c r="AQ8" s="177"/>
      <c r="AR8" s="175"/>
      <c r="AS8" s="177"/>
      <c r="AT8" s="175"/>
      <c r="AU8" s="180">
        <v>5.47</v>
      </c>
      <c r="AV8" s="193" t="s">
        <v>0</v>
      </c>
      <c r="AW8" s="177"/>
    </row>
    <row r="9" spans="2:49" x14ac:dyDescent="0.3">
      <c r="B9" s="166" t="s">
        <v>270</v>
      </c>
      <c r="C9" s="170" t="s">
        <v>32</v>
      </c>
      <c r="D9" s="174" t="s">
        <v>50</v>
      </c>
      <c r="E9">
        <f t="shared" ca="1" si="0"/>
        <v>226.0954119448445</v>
      </c>
      <c r="F9" t="str">
        <f t="shared" ref="F9:F12" ca="1" si="16">LOOKUP(D9,INDIRECT("'"&amp;$C$14&amp;"'!"&amp;$C$15),INDIRECT("'"&amp;$C$14&amp;"'!"&amp;$C$17))</f>
        <v>m</v>
      </c>
      <c r="G9" s="178" t="s">
        <v>52</v>
      </c>
      <c r="H9" s="174" t="s">
        <v>43</v>
      </c>
      <c r="I9">
        <f t="shared" ca="1" si="2"/>
        <v>0.20488382085575652</v>
      </c>
      <c r="J9" t="str">
        <f t="shared" ref="J9:J12" ca="1" si="17">LOOKUP(H9,INDIRECT("'"&amp;$C$14&amp;"'!"&amp;$C$15),INDIRECT("'"&amp;$C$14&amp;"'!"&amp;$C$17))</f>
        <v>kg</v>
      </c>
      <c r="K9" s="178" t="s">
        <v>44</v>
      </c>
      <c r="L9" s="174" t="s">
        <v>65</v>
      </c>
      <c r="M9">
        <f t="shared" ca="1" si="4"/>
        <v>0.17514069451697126</v>
      </c>
      <c r="N9" t="str">
        <f t="shared" ref="N9:N12" ca="1" si="18">LOOKUP(L9,INDIRECT("'"&amp;$C$14&amp;"'!"&amp;$C$15),INDIRECT("'"&amp;$C$14&amp;"'!"&amp;$C$17))</f>
        <v>kg</v>
      </c>
      <c r="O9" s="178" t="s">
        <v>67</v>
      </c>
      <c r="P9" s="174" t="s">
        <v>65</v>
      </c>
      <c r="Q9">
        <f t="shared" ca="1" si="6"/>
        <v>0.17514069451697126</v>
      </c>
      <c r="R9" t="str">
        <f t="shared" ref="R9:R12" ca="1" si="19">LOOKUP(P9,INDIRECT("'"&amp;$C$14&amp;"'!"&amp;$C$15),INDIRECT("'"&amp;$C$14&amp;"'!"&amp;$C$17))</f>
        <v>kg</v>
      </c>
      <c r="S9" s="178" t="s">
        <v>67</v>
      </c>
      <c r="T9" s="174" t="s">
        <v>91</v>
      </c>
      <c r="U9">
        <f t="shared" ca="1" si="8"/>
        <v>0.31761801833625214</v>
      </c>
      <c r="V9" t="str">
        <f t="shared" ref="V9:V12" ca="1" si="20">LOOKUP(T9,INDIRECT("'"&amp;$C$14&amp;"'!"&amp;$C$15),INDIRECT("'"&amp;$C$14&amp;"'!"&amp;$C$17))</f>
        <v>kg</v>
      </c>
      <c r="W9" s="178" t="s">
        <v>92</v>
      </c>
      <c r="X9" s="174" t="s">
        <v>91</v>
      </c>
      <c r="Y9">
        <f t="shared" ca="1" si="10"/>
        <v>0.31761801833625214</v>
      </c>
      <c r="Z9" t="str">
        <f t="shared" ref="Z9:Z12" ca="1" si="21">LOOKUP(X9,INDIRECT("'"&amp;$C$14&amp;"'!"&amp;$C$15),INDIRECT("'"&amp;$C$14&amp;"'!"&amp;$C$17))</f>
        <v>kg</v>
      </c>
      <c r="AA9" s="178" t="s">
        <v>92</v>
      </c>
      <c r="AB9" s="174" t="s">
        <v>82</v>
      </c>
      <c r="AC9">
        <f t="shared" ca="1" si="12"/>
        <v>0.31761801833625214</v>
      </c>
      <c r="AD9" t="str">
        <f t="shared" ref="AD9:AD12" ca="1" si="22">LOOKUP(AB9,INDIRECT("'"&amp;$C$14&amp;"'!"&amp;$C$15),INDIRECT("'"&amp;$C$14&amp;"'!"&amp;$C$17))</f>
        <v>kg</v>
      </c>
      <c r="AE9" s="178" t="s">
        <v>83</v>
      </c>
      <c r="AF9" s="174" t="s">
        <v>79</v>
      </c>
      <c r="AG9">
        <f t="shared" ca="1" si="14"/>
        <v>0.20040663470845821</v>
      </c>
      <c r="AH9" t="str">
        <f t="shared" ref="AH9:AH12" ca="1" si="23">LOOKUP(AF9,INDIRECT("'"&amp;$C$14&amp;"'!"&amp;$C$15),INDIRECT("'"&amp;$C$14&amp;"'!"&amp;$C$17))</f>
        <v>kg</v>
      </c>
      <c r="AI9" s="178" t="s">
        <v>81</v>
      </c>
      <c r="AJ9" s="174"/>
      <c r="AK9" s="178"/>
      <c r="AL9" s="174"/>
      <c r="AM9" s="178"/>
      <c r="AN9" s="174"/>
      <c r="AO9" s="178"/>
      <c r="AP9" s="174"/>
      <c r="AQ9" s="178"/>
      <c r="AR9" s="174"/>
      <c r="AS9" s="178"/>
      <c r="AT9" s="174"/>
      <c r="AU9" s="181">
        <v>5.47</v>
      </c>
      <c r="AV9" t="s">
        <v>0</v>
      </c>
      <c r="AW9" s="178"/>
    </row>
    <row r="10" spans="2:49" x14ac:dyDescent="0.3">
      <c r="B10" s="166" t="s">
        <v>270</v>
      </c>
      <c r="C10" s="170" t="s">
        <v>253</v>
      </c>
      <c r="D10" s="174" t="s">
        <v>54</v>
      </c>
      <c r="E10">
        <f t="shared" ca="1" si="0"/>
        <v>176.59677996974443</v>
      </c>
      <c r="F10" t="str">
        <f t="shared" ca="1" si="16"/>
        <v>m</v>
      </c>
      <c r="G10" s="178" t="s">
        <v>55</v>
      </c>
      <c r="H10" s="174" t="s">
        <v>43</v>
      </c>
      <c r="I10">
        <f t="shared" ca="1" si="2"/>
        <v>0.20488382085575652</v>
      </c>
      <c r="J10" t="str">
        <f t="shared" ca="1" si="17"/>
        <v>kg</v>
      </c>
      <c r="K10" s="178" t="s">
        <v>44</v>
      </c>
      <c r="L10" s="174" t="s">
        <v>68</v>
      </c>
      <c r="M10">
        <f t="shared" ca="1" si="4"/>
        <v>0.85906230846120135</v>
      </c>
      <c r="N10" t="str">
        <f t="shared" ca="1" si="18"/>
        <v>kg</v>
      </c>
      <c r="O10" s="178" t="s">
        <v>69</v>
      </c>
      <c r="P10" s="174" t="s">
        <v>65</v>
      </c>
      <c r="Q10">
        <f t="shared" ca="1" si="6"/>
        <v>0.17514069451697126</v>
      </c>
      <c r="R10" t="str">
        <f t="shared" ca="1" si="19"/>
        <v>kg</v>
      </c>
      <c r="S10" s="178" t="s">
        <v>67</v>
      </c>
      <c r="T10" s="174" t="s">
        <v>93</v>
      </c>
      <c r="U10">
        <f t="shared" ca="1" si="8"/>
        <v>0.28764959999999995</v>
      </c>
      <c r="V10" t="str">
        <f t="shared" ca="1" si="20"/>
        <v>kg</v>
      </c>
      <c r="W10" s="178" t="s">
        <v>94</v>
      </c>
      <c r="X10" s="174" t="s">
        <v>91</v>
      </c>
      <c r="Y10">
        <f t="shared" ca="1" si="10"/>
        <v>0.31761801833625214</v>
      </c>
      <c r="Z10" t="str">
        <f t="shared" ca="1" si="21"/>
        <v>kg</v>
      </c>
      <c r="AA10" s="178" t="s">
        <v>92</v>
      </c>
      <c r="AB10" s="174" t="s">
        <v>84</v>
      </c>
      <c r="AC10">
        <f t="shared" ca="1" si="12"/>
        <v>0.28764959999999995</v>
      </c>
      <c r="AD10" t="str">
        <f t="shared" ca="1" si="22"/>
        <v>kg</v>
      </c>
      <c r="AE10" s="178" t="s">
        <v>85</v>
      </c>
      <c r="AF10" s="174" t="s">
        <v>79</v>
      </c>
      <c r="AG10">
        <f t="shared" ca="1" si="14"/>
        <v>0.20040663470845821</v>
      </c>
      <c r="AH10" t="str">
        <f t="shared" ca="1" si="23"/>
        <v>kg</v>
      </c>
      <c r="AI10" s="178" t="s">
        <v>81</v>
      </c>
      <c r="AJ10" s="174"/>
      <c r="AK10" s="178"/>
      <c r="AL10" s="174"/>
      <c r="AM10" s="178"/>
      <c r="AN10" s="174"/>
      <c r="AO10" s="178"/>
      <c r="AP10" s="174"/>
      <c r="AQ10" s="178"/>
      <c r="AR10" s="174"/>
      <c r="AS10" s="178"/>
      <c r="AT10" s="174"/>
      <c r="AU10" s="182">
        <v>5.43</v>
      </c>
      <c r="AV10" t="s">
        <v>0</v>
      </c>
      <c r="AW10" s="178"/>
    </row>
    <row r="11" spans="2:49" x14ac:dyDescent="0.3">
      <c r="B11" s="166" t="s">
        <v>270</v>
      </c>
      <c r="C11" s="170" t="s">
        <v>254</v>
      </c>
      <c r="D11" s="174" t="s">
        <v>54</v>
      </c>
      <c r="E11">
        <f t="shared" ca="1" si="0"/>
        <v>176.59677996974443</v>
      </c>
      <c r="F11" t="str">
        <f t="shared" ca="1" si="16"/>
        <v>m</v>
      </c>
      <c r="G11" s="178" t="s">
        <v>55</v>
      </c>
      <c r="H11" s="174" t="s">
        <v>43</v>
      </c>
      <c r="I11">
        <f t="shared" ca="1" si="2"/>
        <v>0.20488382085575652</v>
      </c>
      <c r="J11" t="str">
        <f t="shared" ca="1" si="17"/>
        <v>kg</v>
      </c>
      <c r="K11" s="178" t="s">
        <v>44</v>
      </c>
      <c r="L11" s="174" t="s">
        <v>70</v>
      </c>
      <c r="M11">
        <f t="shared" ca="1" si="4"/>
        <v>0.34571540425531921</v>
      </c>
      <c r="N11" t="str">
        <f t="shared" ca="1" si="18"/>
        <v>kg</v>
      </c>
      <c r="O11" s="178" t="s">
        <v>71</v>
      </c>
      <c r="P11" s="174" t="s">
        <v>65</v>
      </c>
      <c r="Q11">
        <f t="shared" ca="1" si="6"/>
        <v>0.17514069451697126</v>
      </c>
      <c r="R11" t="str">
        <f t="shared" ca="1" si="19"/>
        <v>kg</v>
      </c>
      <c r="S11" s="178" t="s">
        <v>67</v>
      </c>
      <c r="T11" s="174" t="s">
        <v>88</v>
      </c>
      <c r="U11">
        <f t="shared" ca="1" si="8"/>
        <v>0</v>
      </c>
      <c r="V11" t="str">
        <f t="shared" ca="1" si="20"/>
        <v>kg</v>
      </c>
      <c r="W11" s="178" t="s">
        <v>90</v>
      </c>
      <c r="X11" s="174" t="s">
        <v>91</v>
      </c>
      <c r="Y11">
        <f t="shared" ca="1" si="10"/>
        <v>0.31761801833625214</v>
      </c>
      <c r="Z11" t="str">
        <f t="shared" ca="1" si="21"/>
        <v>kg</v>
      </c>
      <c r="AA11" s="178" t="s">
        <v>92</v>
      </c>
      <c r="AB11" s="174" t="s">
        <v>86</v>
      </c>
      <c r="AC11">
        <f t="shared" ca="1" si="12"/>
        <v>0.34571540425531921</v>
      </c>
      <c r="AD11" t="str">
        <f t="shared" ca="1" si="22"/>
        <v>kg</v>
      </c>
      <c r="AE11" s="178" t="s">
        <v>87</v>
      </c>
      <c r="AF11" s="174" t="s">
        <v>79</v>
      </c>
      <c r="AG11">
        <f t="shared" ca="1" si="14"/>
        <v>0.20040663470845821</v>
      </c>
      <c r="AH11" t="str">
        <f t="shared" ca="1" si="23"/>
        <v>kg</v>
      </c>
      <c r="AI11" s="178" t="s">
        <v>81</v>
      </c>
      <c r="AJ11" s="174"/>
      <c r="AK11" s="178"/>
      <c r="AL11" s="174"/>
      <c r="AM11" s="178"/>
      <c r="AN11" s="174"/>
      <c r="AO11" s="178"/>
      <c r="AP11" s="174"/>
      <c r="AQ11" s="178"/>
      <c r="AR11" s="174"/>
      <c r="AS11" s="178"/>
      <c r="AT11" s="174"/>
      <c r="AU11" s="182">
        <v>5.37</v>
      </c>
      <c r="AV11" t="s">
        <v>0</v>
      </c>
      <c r="AW11" s="178"/>
    </row>
    <row r="12" spans="2:49" ht="15" thickBot="1" x14ac:dyDescent="0.35">
      <c r="B12" s="167" t="s">
        <v>270</v>
      </c>
      <c r="C12" s="171" t="s">
        <v>255</v>
      </c>
      <c r="D12" s="176" t="s">
        <v>54</v>
      </c>
      <c r="E12" s="194">
        <f t="shared" ca="1" si="0"/>
        <v>176.59677996974443</v>
      </c>
      <c r="F12" s="194" t="str">
        <f t="shared" ca="1" si="16"/>
        <v>m</v>
      </c>
      <c r="G12" s="179" t="s">
        <v>55</v>
      </c>
      <c r="H12" s="176" t="s">
        <v>43</v>
      </c>
      <c r="I12" s="194">
        <f t="shared" ca="1" si="2"/>
        <v>0.20488382085575652</v>
      </c>
      <c r="J12" s="194" t="str">
        <f t="shared" ca="1" si="17"/>
        <v>kg</v>
      </c>
      <c r="K12" s="179" t="s">
        <v>44</v>
      </c>
      <c r="L12" s="176" t="s">
        <v>72</v>
      </c>
      <c r="M12" s="194">
        <f t="shared" ca="1" si="4"/>
        <v>0.78099706737065233</v>
      </c>
      <c r="N12" s="194" t="str">
        <f t="shared" ca="1" si="18"/>
        <v>kg</v>
      </c>
      <c r="O12" s="179" t="s">
        <v>73</v>
      </c>
      <c r="P12" s="176" t="s">
        <v>65</v>
      </c>
      <c r="Q12" s="194">
        <f t="shared" ca="1" si="6"/>
        <v>0.17514069451697126</v>
      </c>
      <c r="R12" s="194" t="str">
        <f t="shared" ca="1" si="19"/>
        <v>kg</v>
      </c>
      <c r="S12" s="179" t="s">
        <v>67</v>
      </c>
      <c r="T12" s="176" t="s">
        <v>93</v>
      </c>
      <c r="U12" s="194">
        <f t="shared" ca="1" si="8"/>
        <v>0.28764959999999995</v>
      </c>
      <c r="V12" s="194" t="str">
        <f t="shared" ca="1" si="20"/>
        <v>kg</v>
      </c>
      <c r="W12" s="179" t="s">
        <v>94</v>
      </c>
      <c r="X12" s="176" t="s">
        <v>91</v>
      </c>
      <c r="Y12" s="194">
        <f t="shared" ca="1" si="10"/>
        <v>0.31761801833625214</v>
      </c>
      <c r="Z12" s="194" t="str">
        <f t="shared" ca="1" si="21"/>
        <v>kg</v>
      </c>
      <c r="AA12" s="179" t="s">
        <v>92</v>
      </c>
      <c r="AB12" s="176" t="s">
        <v>84</v>
      </c>
      <c r="AC12" s="194">
        <f t="shared" ca="1" si="12"/>
        <v>0.28764959999999995</v>
      </c>
      <c r="AD12" s="194" t="str">
        <f t="shared" ca="1" si="22"/>
        <v>kg</v>
      </c>
      <c r="AE12" s="179" t="s">
        <v>85</v>
      </c>
      <c r="AF12" s="176" t="s">
        <v>79</v>
      </c>
      <c r="AG12" s="194">
        <f t="shared" ca="1" si="14"/>
        <v>0.20040663470845821</v>
      </c>
      <c r="AH12" s="194" t="str">
        <f t="shared" ca="1" si="23"/>
        <v>kg</v>
      </c>
      <c r="AI12" s="179" t="s">
        <v>81</v>
      </c>
      <c r="AJ12" s="176"/>
      <c r="AK12" s="179"/>
      <c r="AL12" s="176"/>
      <c r="AM12" s="179"/>
      <c r="AN12" s="176"/>
      <c r="AO12" s="179"/>
      <c r="AP12" s="176"/>
      <c r="AQ12" s="179"/>
      <c r="AR12" s="176"/>
      <c r="AS12" s="179"/>
      <c r="AT12" s="176"/>
      <c r="AU12" s="183">
        <v>5.37</v>
      </c>
      <c r="AV12" s="194" t="s">
        <v>0</v>
      </c>
      <c r="AW12" s="179"/>
    </row>
    <row r="13" spans="2:49" ht="15" thickBot="1" x14ac:dyDescent="0.35"/>
    <row r="14" spans="2:49" x14ac:dyDescent="0.3">
      <c r="B14" s="165" t="s">
        <v>292</v>
      </c>
      <c r="C14" s="202" t="s">
        <v>231</v>
      </c>
      <c r="D14"/>
    </row>
    <row r="15" spans="2:49" x14ac:dyDescent="0.3">
      <c r="B15" s="166" t="s">
        <v>293</v>
      </c>
      <c r="C15" s="203" t="s">
        <v>296</v>
      </c>
      <c r="D15"/>
    </row>
    <row r="16" spans="2:49" x14ac:dyDescent="0.3">
      <c r="B16" s="166" t="s">
        <v>294</v>
      </c>
      <c r="C16" s="203" t="s">
        <v>280</v>
      </c>
      <c r="D16"/>
    </row>
    <row r="17" spans="2:4" ht="15" thickBot="1" x14ac:dyDescent="0.35">
      <c r="B17" s="167" t="s">
        <v>295</v>
      </c>
      <c r="C17" s="204" t="s">
        <v>297</v>
      </c>
      <c r="D17"/>
    </row>
  </sheetData>
  <sheetProtection sheet="1" objects="1" scenarios="1" formatCells="0" formatColumns="0" formatRows="0" insertColumns="0" insertRows="0" insertHyperlinks="0" deleteColumns="0" deleteRows="0" sort="0"/>
  <phoneticPr fontId="2"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A8CFC-E9A3-47EB-A549-83D647EF8B51}">
  <sheetPr>
    <tabColor theme="2"/>
  </sheetPr>
  <dimension ref="B2:E34"/>
  <sheetViews>
    <sheetView workbookViewId="0">
      <selection activeCell="H4" sqref="H4"/>
    </sheetView>
  </sheetViews>
  <sheetFormatPr defaultColWidth="9.109375" defaultRowHeight="14.4" x14ac:dyDescent="0.3"/>
  <cols>
    <col min="1" max="1" width="9.109375" style="249"/>
    <col min="2" max="2" width="21.44140625" style="249" customWidth="1"/>
    <col min="3" max="5" width="55.6640625" style="249" customWidth="1"/>
    <col min="6" max="16384" width="9.109375" style="249"/>
  </cols>
  <sheetData>
    <row r="2" spans="2:5" ht="31.2" x14ac:dyDescent="0.6">
      <c r="B2" s="262" t="s">
        <v>485</v>
      </c>
    </row>
    <row r="3" spans="2:5" ht="33.75" customHeight="1" x14ac:dyDescent="0.3">
      <c r="B3" s="276" t="s">
        <v>486</v>
      </c>
      <c r="C3" s="276"/>
      <c r="D3" s="276"/>
    </row>
    <row r="5" spans="2:5" ht="36" customHeight="1" x14ac:dyDescent="0.3">
      <c r="B5" s="276" t="s">
        <v>505</v>
      </c>
      <c r="C5" s="276"/>
      <c r="D5" s="276"/>
    </row>
    <row r="6" spans="2:5" ht="21" customHeight="1" x14ac:dyDescent="0.3">
      <c r="B6" s="289" t="s">
        <v>507</v>
      </c>
      <c r="C6" s="289"/>
      <c r="D6" s="289"/>
    </row>
    <row r="7" spans="2:5" ht="18" customHeight="1" x14ac:dyDescent="0.3">
      <c r="B7" s="263" t="s">
        <v>488</v>
      </c>
      <c r="C7" s="161" t="s">
        <v>258</v>
      </c>
      <c r="D7" s="290" t="s">
        <v>259</v>
      </c>
      <c r="E7" s="290"/>
    </row>
    <row r="8" spans="2:5" x14ac:dyDescent="0.3">
      <c r="B8" s="1" t="s">
        <v>475</v>
      </c>
      <c r="C8" s="88" t="s">
        <v>53</v>
      </c>
      <c r="D8" s="288" t="s">
        <v>487</v>
      </c>
      <c r="E8" s="288"/>
    </row>
    <row r="9" spans="2:5" x14ac:dyDescent="0.3">
      <c r="B9" s="1" t="s">
        <v>476</v>
      </c>
      <c r="C9" s="88" t="s">
        <v>45</v>
      </c>
      <c r="D9" s="288" t="s">
        <v>500</v>
      </c>
      <c r="E9" s="288"/>
    </row>
    <row r="10" spans="2:5" x14ac:dyDescent="0.3">
      <c r="B10" s="1" t="s">
        <v>477</v>
      </c>
      <c r="C10" s="88" t="s">
        <v>45</v>
      </c>
      <c r="D10" s="288" t="s">
        <v>499</v>
      </c>
      <c r="E10" s="288"/>
    </row>
    <row r="11" spans="2:5" x14ac:dyDescent="0.3">
      <c r="B11" s="1" t="s">
        <v>478</v>
      </c>
      <c r="C11" s="88" t="s">
        <v>45</v>
      </c>
      <c r="D11" s="288" t="s">
        <v>501</v>
      </c>
      <c r="E11" s="288"/>
    </row>
    <row r="12" spans="2:5" x14ac:dyDescent="0.3">
      <c r="B12" s="1" t="s">
        <v>479</v>
      </c>
      <c r="C12" s="88" t="s">
        <v>45</v>
      </c>
      <c r="D12" s="288" t="s">
        <v>499</v>
      </c>
      <c r="E12" s="288"/>
    </row>
    <row r="13" spans="2:5" x14ac:dyDescent="0.3">
      <c r="B13" s="1" t="s">
        <v>480</v>
      </c>
      <c r="C13" s="88" t="s">
        <v>45</v>
      </c>
      <c r="D13" s="288" t="s">
        <v>502</v>
      </c>
      <c r="E13" s="288"/>
    </row>
    <row r="14" spans="2:5" x14ac:dyDescent="0.3">
      <c r="B14" s="1" t="s">
        <v>482</v>
      </c>
      <c r="C14" s="88" t="s">
        <v>45</v>
      </c>
      <c r="D14" s="288" t="s">
        <v>503</v>
      </c>
      <c r="E14" s="288"/>
    </row>
    <row r="15" spans="2:5" x14ac:dyDescent="0.3">
      <c r="B15" s="1" t="s">
        <v>481</v>
      </c>
      <c r="C15" s="88" t="s">
        <v>45</v>
      </c>
      <c r="D15" s="288" t="s">
        <v>504</v>
      </c>
      <c r="E15" s="288"/>
    </row>
    <row r="16" spans="2:5" ht="7.5" customHeight="1" x14ac:dyDescent="0.3"/>
    <row r="17" spans="2:5" x14ac:dyDescent="0.3">
      <c r="B17" s="250" t="s">
        <v>489</v>
      </c>
    </row>
    <row r="18" spans="2:5" ht="16.2" x14ac:dyDescent="0.3">
      <c r="C18" s="249" t="s">
        <v>490</v>
      </c>
      <c r="D18" s="249" t="s">
        <v>520</v>
      </c>
    </row>
    <row r="19" spans="2:5" ht="16.2" x14ac:dyDescent="0.3">
      <c r="C19" s="249" t="s">
        <v>498</v>
      </c>
      <c r="D19" s="249" t="s">
        <v>521</v>
      </c>
    </row>
    <row r="20" spans="2:5" ht="16.2" x14ac:dyDescent="0.3">
      <c r="C20" s="249" t="s">
        <v>497</v>
      </c>
      <c r="D20" s="249" t="s">
        <v>522</v>
      </c>
    </row>
    <row r="21" spans="2:5" ht="16.2" x14ac:dyDescent="0.3">
      <c r="C21" s="249" t="s">
        <v>496</v>
      </c>
      <c r="D21" s="249" t="s">
        <v>523</v>
      </c>
    </row>
    <row r="22" spans="2:5" x14ac:dyDescent="0.3">
      <c r="C22" s="249" t="s">
        <v>491</v>
      </c>
      <c r="D22" s="249" t="s">
        <v>524</v>
      </c>
    </row>
    <row r="23" spans="2:5" x14ac:dyDescent="0.3">
      <c r="C23" s="249" t="s">
        <v>492</v>
      </c>
      <c r="D23" s="249" t="s">
        <v>525</v>
      </c>
    </row>
    <row r="24" spans="2:5" x14ac:dyDescent="0.3">
      <c r="C24" s="249" t="s">
        <v>493</v>
      </c>
      <c r="D24" s="249" t="s">
        <v>526</v>
      </c>
    </row>
    <row r="25" spans="2:5" ht="16.2" x14ac:dyDescent="0.3">
      <c r="C25" s="249" t="s">
        <v>494</v>
      </c>
      <c r="D25" s="249" t="s">
        <v>528</v>
      </c>
    </row>
    <row r="26" spans="2:5" ht="16.2" x14ac:dyDescent="0.3">
      <c r="C26" s="249" t="s">
        <v>495</v>
      </c>
      <c r="D26" s="249" t="s">
        <v>527</v>
      </c>
    </row>
    <row r="28" spans="2:5" ht="39.75" customHeight="1" x14ac:dyDescent="0.3">
      <c r="B28" s="276" t="s">
        <v>506</v>
      </c>
      <c r="C28" s="276"/>
      <c r="D28" s="276"/>
    </row>
    <row r="29" spans="2:5" ht="21" customHeight="1" x14ac:dyDescent="0.3">
      <c r="B29" s="289" t="s">
        <v>508</v>
      </c>
      <c r="C29" s="289"/>
      <c r="D29" s="289"/>
    </row>
    <row r="30" spans="2:5" ht="18" customHeight="1" x14ac:dyDescent="0.3">
      <c r="B30" s="263" t="s">
        <v>488</v>
      </c>
      <c r="C30" s="161" t="s">
        <v>510</v>
      </c>
      <c r="D30" s="263" t="s">
        <v>511</v>
      </c>
      <c r="E30" s="263" t="s">
        <v>509</v>
      </c>
    </row>
    <row r="31" spans="2:5" ht="16.2" x14ac:dyDescent="0.3">
      <c r="B31" s="1" t="s">
        <v>476</v>
      </c>
      <c r="C31" s="264" t="s">
        <v>249</v>
      </c>
      <c r="D31" s="264" t="s">
        <v>249</v>
      </c>
      <c r="E31" s="264" t="s">
        <v>251</v>
      </c>
    </row>
    <row r="32" spans="2:5" ht="16.2" x14ac:dyDescent="0.3">
      <c r="B32" s="1" t="s">
        <v>399</v>
      </c>
      <c r="C32" s="264" t="s">
        <v>248</v>
      </c>
      <c r="D32" s="264" t="s">
        <v>250</v>
      </c>
      <c r="E32" s="264" t="s">
        <v>248</v>
      </c>
    </row>
    <row r="33" spans="2:5" ht="16.2" x14ac:dyDescent="0.3">
      <c r="B33" s="1" t="s">
        <v>479</v>
      </c>
      <c r="C33" s="264" t="s">
        <v>248</v>
      </c>
      <c r="D33" s="264" t="s">
        <v>249</v>
      </c>
      <c r="E33" s="264" t="s">
        <v>248</v>
      </c>
    </row>
    <row r="34" spans="2:5" ht="15.75" customHeight="1" x14ac:dyDescent="0.3">
      <c r="B34" s="1" t="s">
        <v>482</v>
      </c>
      <c r="C34" s="264" t="s">
        <v>249</v>
      </c>
      <c r="D34" s="264" t="s">
        <v>249</v>
      </c>
      <c r="E34" s="264" t="s">
        <v>250</v>
      </c>
    </row>
  </sheetData>
  <sheetProtection sheet="1" objects="1" scenarios="1" insertColumns="0" insertRows="0" deleteColumns="0" deleteRows="0" sort="0"/>
  <mergeCells count="14">
    <mergeCell ref="D12:E12"/>
    <mergeCell ref="B3:D3"/>
    <mergeCell ref="B5:D5"/>
    <mergeCell ref="B6:D6"/>
    <mergeCell ref="D7:E7"/>
    <mergeCell ref="D8:E8"/>
    <mergeCell ref="D9:E9"/>
    <mergeCell ref="D10:E10"/>
    <mergeCell ref="D11:E11"/>
    <mergeCell ref="D13:E13"/>
    <mergeCell ref="D14:E14"/>
    <mergeCell ref="D15:E15"/>
    <mergeCell ref="B28:D28"/>
    <mergeCell ref="B29:D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TemplafyFormConfiguration><![CDATA[{"formFields":[],"formDataEntries":[]}]]></TemplafyFormConfiguration>
</file>

<file path=customXml/item2.xml><?xml version="1.0" encoding="utf-8"?>
<TemplafyTemplateConfiguration><![CDATA[{"transformationConfigurations":[],"templateName":"blankspreadsheet","templateDescription":"","enableDocumentContentUpdater":false,"version":"2.0"}]]></TemplafyTemplateConfiguration>
</file>

<file path=customXml/itemProps1.xml><?xml version="1.0" encoding="utf-8"?>
<ds:datastoreItem xmlns:ds="http://schemas.openxmlformats.org/officeDocument/2006/customXml" ds:itemID="{613AEFFE-C095-42A7-A0AC-5564FFC1D197}">
  <ds:schemaRefs/>
</ds:datastoreItem>
</file>

<file path=customXml/itemProps2.xml><?xml version="1.0" encoding="utf-8"?>
<ds:datastoreItem xmlns:ds="http://schemas.openxmlformats.org/officeDocument/2006/customXml" ds:itemID="{7408D0D6-C97A-426B-8466-DDDAA7A3F420}">
  <ds:schemaRefs/>
</ds:datastoreItem>
</file>

<file path=docMetadata/LabelInfo.xml><?xml version="1.0" encoding="utf-8"?>
<clbl:labelList xmlns:clbl="http://schemas.microsoft.com/office/2020/mipLabelMetadata">
  <clbl:label id="{61fd1d36-fecb-47ca-b7d7-d0df0370a198}" enabled="0" method="" siteId="{61fd1d36-fecb-47ca-b7d7-d0df0370a198}" removed="1"/>
</clbl:labelLis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Introduction</vt:lpstr>
      <vt:lpstr>Guide</vt:lpstr>
      <vt:lpstr>KQ_all</vt:lpstr>
      <vt:lpstr>KQ_StructuralRegressionY</vt:lpstr>
      <vt:lpstr>KQ_StructuralRegressionF</vt:lpstr>
      <vt:lpstr>KE_all</vt:lpstr>
      <vt:lpstr>KE_Energy</vt:lpstr>
      <vt:lpstr>KE_Structural</vt:lpstr>
      <vt:lpstr>KR_Preservation</vt:lpstr>
      <vt:lpstr>KQ_WWR</vt:lpstr>
      <vt:lpstr>KQ_NettoBrutto</vt:lpstr>
      <vt:lpstr>KQ_InnerWall</vt:lpstr>
      <vt:lpstr>KQ_CoreWall</vt:lpstr>
      <vt:lpstr>KQ_Heating</vt:lpstr>
      <vt:lpstr>KQ_Electricity</vt:lpstr>
      <vt:lpstr>KQ_ElectricityA5</vt:lpstr>
      <vt:lpstr>KQ_DieselA5</vt:lpstr>
      <vt:lpstr>KE_Facade</vt:lpstr>
      <vt:lpstr>KE_FacadeBasement</vt:lpstr>
      <vt:lpstr>KE_GroundSlap</vt:lpstr>
      <vt:lpstr>KE_BasementGroundSlap</vt:lpstr>
      <vt:lpstr>KE_Roof</vt:lpstr>
      <vt:lpstr>KE_Window</vt:lpstr>
      <vt:lpstr>KE_CoreWall</vt:lpstr>
      <vt:lpstr>KE_InnerWall</vt:lpstr>
      <vt:lpstr>KE_FireWall</vt:lpstr>
      <vt:lpstr>KE_Floor</vt:lpstr>
      <vt:lpstr>KE_Ceiling</vt:lpstr>
      <vt:lpstr>KE_Utilities</vt:lpstr>
      <vt:lpstr>KE_Stairs</vt:lpstr>
      <vt:lpstr>KE_ElevatorMeter</vt:lpstr>
      <vt:lpstr>KE_ElevatorCounts</vt:lpstr>
      <vt:lpstr>Plan22-data</vt:lpstr>
      <vt:lpstr>KE_StructuralData</vt:lpstr>
      <vt:lpstr>Guide_StructuralRegressionModel</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2025-06-19T09:00:16Z</dcterms:created>
  <dcterms:modified xsi:type="dcterms:W3CDTF">2026-03-13T19:40:59Z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fyTenantId">
    <vt:lpwstr>auoffice</vt:lpwstr>
  </property>
  <property fmtid="{D5CDD505-2E9C-101B-9397-08002B2CF9AE}" pid="3" name="TemplafyTemplateId">
    <vt:lpwstr>1054884838842826804</vt:lpwstr>
  </property>
  <property fmtid="{D5CDD505-2E9C-101B-9397-08002B2CF9AE}" pid="4" name="TemplafyUserProfileId">
    <vt:lpwstr>1208441842597104015</vt:lpwstr>
  </property>
  <property fmtid="{D5CDD505-2E9C-101B-9397-08002B2CF9AE}" pid="5" name="TemplafyLanguageCode">
    <vt:lpwstr>en-GB</vt:lpwstr>
  </property>
  <property fmtid="{D5CDD505-2E9C-101B-9397-08002B2CF9AE}" pid="6" name="TemplafyFromBlank">
    <vt:bool>true</vt:bool>
  </property>
</Properties>
</file>